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SkunkWorks\2025.2 CHILI\2 CHILI Project Development\Kurt Work Area\"/>
    </mc:Choice>
  </mc:AlternateContent>
  <xr:revisionPtr revIDLastSave="0" documentId="13_ncr:1_{EC769772-705F-4298-B017-8A75EFB41F9A}" xr6:coauthVersionLast="47" xr6:coauthVersionMax="47" xr10:uidLastSave="{00000000-0000-0000-0000-000000000000}"/>
  <bookViews>
    <workbookView xWindow="-120" yWindow="-120" windowWidth="29040" windowHeight="15840" firstSheet="2" activeTab="2" xr2:uid="{F4379C25-6919-4347-AA61-5AF8108F8A82}"/>
    <workbookView xWindow="28680" yWindow="-120" windowWidth="29040" windowHeight="15840" firstSheet="2" activeTab="5" xr2:uid="{8C7B2BA5-C1A8-462B-8A52-8D54F45DA0DF}"/>
  </bookViews>
  <sheets>
    <sheet name="Rev History" sheetId="10" state="hidden" r:id="rId1"/>
    <sheet name="RateSheet25" sheetId="17" state="hidden" r:id="rId2"/>
    <sheet name="Start EST" sheetId="15" r:id="rId3"/>
    <sheet name="Rates Sheet" sheetId="9" state="hidden" r:id="rId4"/>
    <sheet name="REFERENCE" sheetId="16" state="hidden" r:id="rId5"/>
    <sheet name="60 L1" sheetId="6" r:id="rId6"/>
    <sheet name="60 L2" sheetId="3" r:id="rId7"/>
    <sheet name="60 L3" sheetId="18" r:id="rId8"/>
    <sheet name="60 MTO" sheetId="4" r:id="rId9"/>
    <sheet name="60 L5" sheetId="19" r:id="rId10"/>
  </sheets>
  <functionGroups builtInGroupCount="19"/>
  <definedNames>
    <definedName name="_Order1" hidden="1">255</definedName>
    <definedName name="_Order2" hidden="1">255</definedName>
    <definedName name="Absent" localSheetId="1">#REF!</definedName>
    <definedName name="Absent">#REF!</definedName>
    <definedName name="AD" localSheetId="1">#REF!</definedName>
    <definedName name="AD">#REF!</definedName>
    <definedName name="Budgetary">#REF!</definedName>
    <definedName name="ByEngineering">#REF!</definedName>
    <definedName name="ByEstimating">#REF!</definedName>
    <definedName name="CnD">#REF!</definedName>
    <definedName name="CnE">#REF!</definedName>
    <definedName name="CnT">#REF!</definedName>
    <definedName name="CON">#REF!</definedName>
    <definedName name="CSA_D">#REF!</definedName>
    <definedName name="CSA_E">#REF!</definedName>
    <definedName name="CSA_T">#REF!</definedName>
    <definedName name="DC">#REF!</definedName>
    <definedName name="DM">#REF!</definedName>
    <definedName name="ED">#REF!</definedName>
    <definedName name="EE">#REF!</definedName>
    <definedName name="ENG">#REF!</definedName>
    <definedName name="Escalation">#REF!</definedName>
    <definedName name="EST">#REF!</definedName>
    <definedName name="EstimatingPrice">#REF!</definedName>
    <definedName name="ET">#REF!</definedName>
    <definedName name="EXP">#REF!</definedName>
    <definedName name="F_AD">#REF!</definedName>
    <definedName name="F_DC">#REF!</definedName>
    <definedName name="F_ENG">#REF!</definedName>
    <definedName name="F_PC">#REF!</definedName>
    <definedName name="F_TECH">#REF!</definedName>
    <definedName name="Factor">#REF!</definedName>
    <definedName name="FieldInst">#REF!</definedName>
    <definedName name="Firm">#REF!</definedName>
    <definedName name="HO_CM">#REF!</definedName>
    <definedName name="ID">#REF!</definedName>
    <definedName name="IE">#REF!</definedName>
    <definedName name="IFC">#REF!</definedName>
    <definedName name="InlineInst">#REF!</definedName>
    <definedName name="INS">#REF!</definedName>
    <definedName name="InstPkgs">#REF!</definedName>
    <definedName name="IT">#REF!</definedName>
    <definedName name="L2_">#REF!</definedName>
    <definedName name="L3_">#REF!</definedName>
    <definedName name="L4_">#REF!</definedName>
    <definedName name="L5_">#REF!</definedName>
    <definedName name="L6_">#REF!</definedName>
    <definedName name="L7_">#REF!</definedName>
    <definedName name="LAB_RATE">#REF!</definedName>
    <definedName name="Last_Incurred_Column">#REF!</definedName>
    <definedName name="LOG">#REF!</definedName>
    <definedName name="MAT">#REF!</definedName>
    <definedName name="ME">#REF!</definedName>
    <definedName name="MechPkgs">#REF!</definedName>
    <definedName name="MOV">#REF!</definedName>
    <definedName name="MT">#REF!</definedName>
    <definedName name="NonInlineInst">#REF!</definedName>
    <definedName name="PC">#REF!</definedName>
    <definedName name="PE">#REF!</definedName>
    <definedName name="PercentBreakdown">#REF!</definedName>
    <definedName name="PM">#REF!</definedName>
    <definedName name="PneuValves">#REF!</definedName>
    <definedName name="PPD">#REF!</definedName>
    <definedName name="PrE">#REF!</definedName>
    <definedName name="_xlnm.Print_Area" localSheetId="5">'60 L1'!$A$2:$E$10</definedName>
    <definedName name="_xlnm.Print_Area" localSheetId="6">'60 L2'!$A$1:$F$32</definedName>
    <definedName name="_xlnm.Print_Area" localSheetId="3">'Rates Sheet'!$A$2:$J$37</definedName>
    <definedName name="PRINT_AREA_MI" localSheetId="1">#REF!</definedName>
    <definedName name="PRINT_AREA_MI">#REF!</definedName>
    <definedName name="PRO" localSheetId="1">#REF!</definedName>
    <definedName name="PRO">#REF!</definedName>
    <definedName name="PrT" localSheetId="1">#REF!</definedName>
    <definedName name="PrT">#REF!</definedName>
    <definedName name="PT">#REF!</definedName>
    <definedName name="RESOURCE">#REF!</definedName>
    <definedName name="SCH">#REF!</definedName>
    <definedName name="SCM">#REF!</definedName>
    <definedName name="TCA_D">#REF!</definedName>
    <definedName name="TCA_E">#REF!</definedName>
    <definedName name="TCA_T">#REF!</definedName>
    <definedName name="TECH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queInlineInst">#REF!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/>
  <c r="D13" i="4" l="1"/>
  <c r="D10" i="4"/>
  <c r="D9" i="4"/>
  <c r="H126" i="4"/>
  <c r="H26" i="4"/>
  <c r="H22" i="4"/>
  <c r="H15" i="4"/>
  <c r="F230" i="4" l="1"/>
  <c r="F231" i="4"/>
  <c r="DO232" i="4"/>
  <c r="DP232" i="4"/>
  <c r="DQ232" i="4"/>
  <c r="DR232" i="4"/>
  <c r="DS232" i="4"/>
  <c r="DT232" i="4"/>
  <c r="DU232" i="4"/>
  <c r="DV232" i="4"/>
  <c r="DW232" i="4"/>
  <c r="DX232" i="4"/>
  <c r="DY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A232" i="4"/>
  <c r="BB232" i="4"/>
  <c r="BC232" i="4"/>
  <c r="BD232" i="4"/>
  <c r="BE232" i="4"/>
  <c r="BF232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CY232" i="4"/>
  <c r="CZ232" i="4"/>
  <c r="DA232" i="4"/>
  <c r="DB232" i="4"/>
  <c r="DC232" i="4"/>
  <c r="DD232" i="4"/>
  <c r="DE232" i="4"/>
  <c r="DF232" i="4"/>
  <c r="DG232" i="4"/>
  <c r="DH232" i="4"/>
  <c r="DI232" i="4"/>
  <c r="DJ232" i="4"/>
  <c r="DK232" i="4"/>
  <c r="DL232" i="4"/>
  <c r="DM232" i="4"/>
  <c r="DN232" i="4"/>
  <c r="I232" i="4"/>
  <c r="J232" i="4"/>
  <c r="F224" i="4"/>
  <c r="F223" i="4"/>
  <c r="F222" i="4"/>
  <c r="F221" i="4"/>
  <c r="H232" i="4"/>
  <c r="H220" i="4"/>
  <c r="EA4" i="4" a="1"/>
  <c r="EQ4" i="4" a="1"/>
  <c r="EO4" i="4" a="1"/>
  <c r="EO4" i="4" l="1"/>
  <c r="EA4" i="4"/>
  <c r="EQ4" i="4"/>
  <c r="EQ5" i="4" s="1"/>
  <c r="F18" i="4" l="1"/>
  <c r="P3" i="16"/>
  <c r="D11" i="4" s="1"/>
  <c r="EG5" i="4"/>
  <c r="EF5" i="4"/>
  <c r="EB5" i="4"/>
  <c r="EC5" i="4"/>
  <c r="ED5" i="4"/>
  <c r="EE5" i="4"/>
  <c r="EA5" i="4"/>
  <c r="F267" i="4"/>
  <c r="F268" i="4"/>
  <c r="F269" i="4"/>
  <c r="F270" i="4"/>
  <c r="F271" i="4"/>
  <c r="F272" i="4"/>
  <c r="F273" i="4"/>
  <c r="F274" i="4"/>
  <c r="F275" i="4"/>
  <c r="F276" i="4"/>
  <c r="F277" i="4"/>
  <c r="F266" i="4"/>
  <c r="F258" i="4"/>
  <c r="F259" i="4"/>
  <c r="F260" i="4"/>
  <c r="F261" i="4"/>
  <c r="F262" i="4"/>
  <c r="F263" i="4"/>
  <c r="F257" i="4"/>
  <c r="F240" i="4"/>
  <c r="F218" i="4"/>
  <c r="F206" i="4"/>
  <c r="F197" i="4"/>
  <c r="F192" i="4"/>
  <c r="DX265" i="4"/>
  <c r="DX256" i="4"/>
  <c r="DY245" i="4"/>
  <c r="DX245" i="4"/>
  <c r="DY220" i="4"/>
  <c r="DV220" i="4"/>
  <c r="DW220" i="4"/>
  <c r="DX220" i="4"/>
  <c r="DU220" i="4"/>
  <c r="DU208" i="4"/>
  <c r="DU196" i="4"/>
  <c r="DU245" i="4"/>
  <c r="F247" i="4"/>
  <c r="F248" i="4"/>
  <c r="F249" i="4"/>
  <c r="F250" i="4"/>
  <c r="F246" i="4"/>
  <c r="F234" i="4"/>
  <c r="F235" i="4"/>
  <c r="F236" i="4"/>
  <c r="F237" i="4"/>
  <c r="F238" i="4"/>
  <c r="F239" i="4"/>
  <c r="F241" i="4"/>
  <c r="F242" i="4"/>
  <c r="F243" i="4"/>
  <c r="F244" i="4"/>
  <c r="F233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A245" i="4"/>
  <c r="BB245" i="4"/>
  <c r="BC245" i="4"/>
  <c r="BD245" i="4"/>
  <c r="BE245" i="4"/>
  <c r="BF245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CY245" i="4"/>
  <c r="CZ245" i="4"/>
  <c r="DA245" i="4"/>
  <c r="DB245" i="4"/>
  <c r="DC245" i="4"/>
  <c r="DD245" i="4"/>
  <c r="DE245" i="4"/>
  <c r="DF245" i="4"/>
  <c r="DG245" i="4"/>
  <c r="DH245" i="4"/>
  <c r="DI245" i="4"/>
  <c r="DJ245" i="4"/>
  <c r="DK245" i="4"/>
  <c r="DL245" i="4"/>
  <c r="DM245" i="4"/>
  <c r="DN245" i="4"/>
  <c r="DO245" i="4"/>
  <c r="DP245" i="4"/>
  <c r="DQ245" i="4"/>
  <c r="DR245" i="4"/>
  <c r="DS245" i="4"/>
  <c r="DT245" i="4"/>
  <c r="DV245" i="4"/>
  <c r="DW245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A220" i="4"/>
  <c r="BB220" i="4"/>
  <c r="BC220" i="4"/>
  <c r="BD220" i="4"/>
  <c r="BE220" i="4"/>
  <c r="BF220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CY220" i="4"/>
  <c r="CZ220" i="4"/>
  <c r="DA220" i="4"/>
  <c r="DB220" i="4"/>
  <c r="DC220" i="4"/>
  <c r="DD220" i="4"/>
  <c r="DE220" i="4"/>
  <c r="DF220" i="4"/>
  <c r="DG220" i="4"/>
  <c r="DH220" i="4"/>
  <c r="DI220" i="4"/>
  <c r="DJ220" i="4"/>
  <c r="DK220" i="4"/>
  <c r="DL220" i="4"/>
  <c r="DM220" i="4"/>
  <c r="DN220" i="4"/>
  <c r="DO220" i="4"/>
  <c r="DP220" i="4"/>
  <c r="DQ220" i="4"/>
  <c r="DR220" i="4"/>
  <c r="DS220" i="4"/>
  <c r="DT220" i="4"/>
  <c r="F225" i="4"/>
  <c r="F226" i="4"/>
  <c r="F227" i="4"/>
  <c r="F228" i="4"/>
  <c r="F229" i="4"/>
  <c r="F210" i="4"/>
  <c r="F211" i="4"/>
  <c r="F212" i="4"/>
  <c r="F213" i="4"/>
  <c r="F214" i="4"/>
  <c r="F215" i="4"/>
  <c r="F216" i="4"/>
  <c r="F217" i="4"/>
  <c r="F209" i="4"/>
  <c r="F198" i="4"/>
  <c r="F199" i="4"/>
  <c r="F200" i="4"/>
  <c r="F201" i="4"/>
  <c r="F202" i="4"/>
  <c r="F203" i="4"/>
  <c r="F204" i="4"/>
  <c r="F205" i="4"/>
  <c r="F182" i="4"/>
  <c r="F183" i="4"/>
  <c r="F184" i="4"/>
  <c r="F185" i="4"/>
  <c r="F186" i="4"/>
  <c r="F187" i="4"/>
  <c r="F188" i="4"/>
  <c r="F189" i="4"/>
  <c r="F190" i="4"/>
  <c r="F191" i="4"/>
  <c r="F193" i="4"/>
  <c r="F194" i="4"/>
  <c r="F195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64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40" i="4"/>
  <c r="F141" i="4"/>
  <c r="F142" i="4"/>
  <c r="F143" i="4"/>
  <c r="F144" i="4"/>
  <c r="F145" i="4"/>
  <c r="F146" i="4"/>
  <c r="F147" i="4"/>
  <c r="F148" i="4"/>
  <c r="F149" i="4"/>
  <c r="F150" i="4"/>
  <c r="F139" i="4"/>
  <c r="F138" i="4"/>
  <c r="F136" i="4"/>
  <c r="F135" i="4"/>
  <c r="F128" i="4"/>
  <c r="F129" i="4"/>
  <c r="F130" i="4"/>
  <c r="F131" i="4"/>
  <c r="F132" i="4"/>
  <c r="F127" i="4"/>
  <c r="F116" i="4"/>
  <c r="F117" i="4"/>
  <c r="F118" i="4"/>
  <c r="F119" i="4"/>
  <c r="F120" i="4"/>
  <c r="F121" i="4"/>
  <c r="F122" i="4"/>
  <c r="F123" i="4"/>
  <c r="F124" i="4"/>
  <c r="F125" i="4"/>
  <c r="F114" i="4"/>
  <c r="F115" i="4"/>
  <c r="F110" i="4"/>
  <c r="F111" i="4"/>
  <c r="F112" i="4"/>
  <c r="F99" i="4"/>
  <c r="F100" i="4"/>
  <c r="F101" i="4"/>
  <c r="F102" i="4"/>
  <c r="F103" i="4"/>
  <c r="F104" i="4"/>
  <c r="F105" i="4"/>
  <c r="F106" i="4"/>
  <c r="F107" i="4"/>
  <c r="F108" i="4"/>
  <c r="F109" i="4"/>
  <c r="F98" i="4"/>
  <c r="F88" i="4"/>
  <c r="F89" i="4"/>
  <c r="F90" i="4"/>
  <c r="F91" i="4"/>
  <c r="F92" i="4"/>
  <c r="F93" i="4"/>
  <c r="F94" i="4"/>
  <c r="F95" i="4"/>
  <c r="F96" i="4"/>
  <c r="F87" i="4"/>
  <c r="F75" i="4"/>
  <c r="F76" i="4"/>
  <c r="F77" i="4"/>
  <c r="F78" i="4"/>
  <c r="F79" i="4"/>
  <c r="F80" i="4"/>
  <c r="F81" i="4"/>
  <c r="F82" i="4"/>
  <c r="F83" i="4"/>
  <c r="F84" i="4"/>
  <c r="F85" i="4"/>
  <c r="F74" i="4"/>
  <c r="F61" i="4"/>
  <c r="F62" i="4"/>
  <c r="F63" i="4"/>
  <c r="F64" i="4"/>
  <c r="F65" i="4"/>
  <c r="F66" i="4"/>
  <c r="F67" i="4"/>
  <c r="F68" i="4"/>
  <c r="F69" i="4"/>
  <c r="F70" i="4"/>
  <c r="F71" i="4"/>
  <c r="F72" i="4"/>
  <c r="F60" i="4"/>
  <c r="F59" i="4"/>
  <c r="F57" i="4"/>
  <c r="F56" i="4"/>
  <c r="F45" i="4"/>
  <c r="F46" i="4"/>
  <c r="F47" i="4"/>
  <c r="F48" i="4"/>
  <c r="F49" i="4"/>
  <c r="F50" i="4"/>
  <c r="F51" i="4"/>
  <c r="F52" i="4"/>
  <c r="F53" i="4"/>
  <c r="F44" i="4"/>
  <c r="F42" i="4"/>
  <c r="F41" i="4"/>
  <c r="F40" i="4"/>
  <c r="F39" i="4"/>
  <c r="F36" i="4"/>
  <c r="F37" i="4"/>
  <c r="F35" i="4"/>
  <c r="F28" i="4"/>
  <c r="F29" i="4"/>
  <c r="F30" i="4"/>
  <c r="F31" i="4"/>
  <c r="F32" i="4"/>
  <c r="F27" i="4"/>
  <c r="F25" i="4"/>
  <c r="F23" i="4"/>
  <c r="F24" i="4"/>
  <c r="F17" i="4"/>
  <c r="F19" i="4"/>
  <c r="F20" i="4"/>
  <c r="F15" i="4" s="1"/>
  <c r="F21" i="4"/>
  <c r="F16" i="4"/>
  <c r="F10" i="4"/>
  <c r="F12" i="4"/>
  <c r="F14" i="4"/>
  <c r="F9" i="4"/>
  <c r="U219" i="4" a="1"/>
  <c r="AR219" i="4" a="1"/>
  <c r="V219" i="4" a="1"/>
  <c r="BM219" i="4" a="1"/>
  <c r="CA219" i="4" a="1"/>
  <c r="BK219" i="4" a="1"/>
  <c r="AO219" i="4" a="1"/>
  <c r="CC219" i="4" a="1"/>
  <c r="AI219" i="4" a="1"/>
  <c r="P219" i="4" a="1"/>
  <c r="CR219" i="4" a="1"/>
  <c r="BJ219" i="4" a="1"/>
  <c r="CE219" i="4" a="1"/>
  <c r="AN219" i="4" a="1"/>
  <c r="T219" i="4" a="1"/>
  <c r="BP219" i="4" a="1"/>
  <c r="BN219" i="4" a="1"/>
  <c r="DX219" i="4" a="1"/>
  <c r="BH219" i="4" a="1"/>
  <c r="AK219" i="4" a="1"/>
  <c r="AY219" i="4" a="1"/>
  <c r="DJ219" i="4" a="1"/>
  <c r="AH219" i="4" a="1"/>
  <c r="AE219" i="4" a="1"/>
  <c r="DL219" i="4" a="1"/>
  <c r="DP219" i="4" a="1"/>
  <c r="DW219" i="4" a="1"/>
  <c r="AW219" i="4" a="1"/>
  <c r="DH219" i="4" a="1"/>
  <c r="BZ219" i="4" a="1"/>
  <c r="DF219" i="4" a="1"/>
  <c r="CM219" i="4" a="1"/>
  <c r="CP219" i="4" a="1"/>
  <c r="K219" i="4" a="1"/>
  <c r="DN219" i="4" a="1"/>
  <c r="DR219" i="4" a="1"/>
  <c r="BL219" i="4" a="1"/>
  <c r="BS219" i="4" a="1"/>
  <c r="DV219" i="4" a="1"/>
  <c r="CX219" i="4" a="1"/>
  <c r="BW219" i="4" a="1"/>
  <c r="S219" i="4" a="1"/>
  <c r="BR219" i="4" a="1"/>
  <c r="I219" i="4" a="1"/>
  <c r="CQ219" i="4" a="1"/>
  <c r="M219" i="4" a="1"/>
  <c r="AL219" i="4" a="1"/>
  <c r="AP219" i="4" a="1"/>
  <c r="BO219" i="4" a="1"/>
  <c r="Q219" i="4" a="1"/>
  <c r="DC219" i="4" a="1"/>
  <c r="DU219" i="4" a="1"/>
  <c r="AM219" i="4" a="1"/>
  <c r="O219" i="4" a="1"/>
  <c r="AZ219" i="4" a="1"/>
  <c r="Z219" i="4" a="1"/>
  <c r="BG219" i="4" a="1"/>
  <c r="BU219" i="4" a="1"/>
  <c r="BA219" i="4" a="1"/>
  <c r="BQ219" i="4" a="1"/>
  <c r="CN219" i="4" a="1"/>
  <c r="CJ219" i="4" a="1"/>
  <c r="DB219" i="4" a="1"/>
  <c r="CS219" i="4" a="1"/>
  <c r="BF219" i="4" a="1"/>
  <c r="CO219" i="4" a="1"/>
  <c r="CG219" i="4" a="1"/>
  <c r="CH219" i="4" a="1"/>
  <c r="AC219" i="4" a="1"/>
  <c r="CD219" i="4" a="1"/>
  <c r="AT219" i="4" a="1"/>
  <c r="AD219" i="4" a="1"/>
  <c r="N219" i="4" a="1"/>
  <c r="X219" i="4" a="1"/>
  <c r="CV219" i="4" a="1"/>
  <c r="AQ219" i="4" a="1"/>
  <c r="BC219" i="4" a="1"/>
  <c r="BT219" i="4" a="1"/>
  <c r="AJ219" i="4" a="1"/>
  <c r="CI219" i="4" a="1"/>
  <c r="DQ219" i="4" a="1"/>
  <c r="AB219" i="4" a="1"/>
  <c r="CW219" i="4" a="1"/>
  <c r="H219" i="4" a="1"/>
  <c r="BE219" i="4" a="1"/>
  <c r="L219" i="4" a="1"/>
  <c r="DK219" i="4" a="1"/>
  <c r="AV219" i="4" a="1"/>
  <c r="DT219" i="4" a="1"/>
  <c r="DD219" i="4" a="1"/>
  <c r="DI219" i="4" a="1"/>
  <c r="BX219" i="4" a="1"/>
  <c r="DE219" i="4" a="1"/>
  <c r="BB219" i="4" a="1"/>
  <c r="DG219" i="4" a="1"/>
  <c r="J219" i="4" a="1"/>
  <c r="DS219" i="4" a="1"/>
  <c r="BD219" i="4" a="1"/>
  <c r="R219" i="4" a="1"/>
  <c r="AF219" i="4" a="1"/>
  <c r="AG219" i="4" a="1"/>
  <c r="DY219" i="4" a="1"/>
  <c r="DM219" i="4" a="1"/>
  <c r="AU219" i="4" a="1"/>
  <c r="CL219" i="4" a="1"/>
  <c r="BI219" i="4" a="1"/>
  <c r="BV219" i="4" a="1"/>
  <c r="AS219" i="4" a="1"/>
  <c r="CT219" i="4" a="1"/>
  <c r="CF219" i="4" a="1"/>
  <c r="DO219" i="4" a="1"/>
  <c r="AA219" i="4" a="1"/>
  <c r="AX219" i="4" a="1"/>
  <c r="W219" i="4" a="1"/>
  <c r="BY219" i="4" a="1"/>
  <c r="CB219" i="4" a="1"/>
  <c r="CK219" i="4" a="1"/>
  <c r="CY219" i="4" a="1"/>
  <c r="Y219" i="4" a="1"/>
  <c r="DA219" i="4" a="1"/>
  <c r="CZ219" i="4" a="1"/>
  <c r="CU219" i="4" a="1"/>
  <c r="DY8" i="4" l="1"/>
  <c r="L8" i="4"/>
  <c r="P8" i="4"/>
  <c r="T8" i="4"/>
  <c r="X8" i="4"/>
  <c r="AB8" i="4"/>
  <c r="AF8" i="4"/>
  <c r="AJ8" i="4"/>
  <c r="AN8" i="4"/>
  <c r="AR8" i="4"/>
  <c r="AV8" i="4"/>
  <c r="AZ8" i="4"/>
  <c r="BD8" i="4"/>
  <c r="BH8" i="4"/>
  <c r="BL8" i="4"/>
  <c r="BP8" i="4"/>
  <c r="BT8" i="4"/>
  <c r="BX8" i="4"/>
  <c r="CB8" i="4"/>
  <c r="CF8" i="4"/>
  <c r="CJ8" i="4"/>
  <c r="CN8" i="4"/>
  <c r="CR8" i="4"/>
  <c r="CV8" i="4"/>
  <c r="CZ8" i="4"/>
  <c r="DD8" i="4"/>
  <c r="DH8" i="4"/>
  <c r="DL8" i="4"/>
  <c r="DP8" i="4"/>
  <c r="DT8" i="4"/>
  <c r="DX8" i="4"/>
  <c r="DU8" i="4"/>
  <c r="I8" i="4"/>
  <c r="M8" i="4"/>
  <c r="Q8" i="4"/>
  <c r="U8" i="4"/>
  <c r="Y8" i="4"/>
  <c r="AC8" i="4"/>
  <c r="AG8" i="4"/>
  <c r="AK8" i="4"/>
  <c r="AO8" i="4"/>
  <c r="AS8" i="4"/>
  <c r="AW8" i="4"/>
  <c r="BA8" i="4"/>
  <c r="BE8" i="4"/>
  <c r="BI8" i="4"/>
  <c r="BM8" i="4"/>
  <c r="BQ8" i="4"/>
  <c r="BU8" i="4"/>
  <c r="BY8" i="4"/>
  <c r="CC8" i="4"/>
  <c r="CG8" i="4"/>
  <c r="CK8" i="4"/>
  <c r="CO8" i="4"/>
  <c r="CS8" i="4"/>
  <c r="CW8" i="4"/>
  <c r="DA8" i="4"/>
  <c r="DE8" i="4"/>
  <c r="DI8" i="4"/>
  <c r="DM8" i="4"/>
  <c r="H8" i="4"/>
  <c r="J8" i="4"/>
  <c r="N8" i="4"/>
  <c r="R8" i="4"/>
  <c r="V8" i="4"/>
  <c r="Z8" i="4"/>
  <c r="AD8" i="4"/>
  <c r="AH8" i="4"/>
  <c r="AL8" i="4"/>
  <c r="AP8" i="4"/>
  <c r="AT8" i="4"/>
  <c r="AX8" i="4"/>
  <c r="BB8" i="4"/>
  <c r="BF8" i="4"/>
  <c r="BJ8" i="4"/>
  <c r="BN8" i="4"/>
  <c r="BR8" i="4"/>
  <c r="BV8" i="4"/>
  <c r="BZ8" i="4"/>
  <c r="CD8" i="4"/>
  <c r="CH8" i="4"/>
  <c r="CL8" i="4"/>
  <c r="CP8" i="4"/>
  <c r="CT8" i="4"/>
  <c r="CX8" i="4"/>
  <c r="DB8" i="4"/>
  <c r="DF8" i="4"/>
  <c r="DJ8" i="4"/>
  <c r="DN8" i="4"/>
  <c r="DR8" i="4"/>
  <c r="DV8" i="4"/>
  <c r="K8" i="4"/>
  <c r="O8" i="4"/>
  <c r="S8" i="4"/>
  <c r="W8" i="4"/>
  <c r="AA8" i="4"/>
  <c r="AE8" i="4"/>
  <c r="AI8" i="4"/>
  <c r="AM8" i="4"/>
  <c r="AQ8" i="4"/>
  <c r="AU8" i="4"/>
  <c r="AY8" i="4"/>
  <c r="BC8" i="4"/>
  <c r="BG8" i="4"/>
  <c r="BK8" i="4"/>
  <c r="BO8" i="4"/>
  <c r="BS8" i="4"/>
  <c r="BW8" i="4"/>
  <c r="CA8" i="4"/>
  <c r="CE8" i="4"/>
  <c r="CI8" i="4"/>
  <c r="CM8" i="4"/>
  <c r="CQ8" i="4"/>
  <c r="CU8" i="4"/>
  <c r="CY8" i="4"/>
  <c r="DC8" i="4"/>
  <c r="DG8" i="4"/>
  <c r="DK8" i="4"/>
  <c r="DO8" i="4"/>
  <c r="DS8" i="4"/>
  <c r="DW8" i="4"/>
  <c r="DQ8" i="4"/>
  <c r="DT219" i="4"/>
  <c r="DH219" i="4"/>
  <c r="CZ219" i="4"/>
  <c r="CN219" i="4"/>
  <c r="BX219" i="4"/>
  <c r="BL219" i="4"/>
  <c r="AZ219" i="4"/>
  <c r="AN219" i="4"/>
  <c r="AB219" i="4"/>
  <c r="P219" i="4"/>
  <c r="DS219" i="4"/>
  <c r="DO219" i="4"/>
  <c r="DK219" i="4"/>
  <c r="DG219" i="4"/>
  <c r="DC219" i="4"/>
  <c r="CY219" i="4"/>
  <c r="CU219" i="4"/>
  <c r="CQ219" i="4"/>
  <c r="CM219" i="4"/>
  <c r="CI219" i="4"/>
  <c r="CE219" i="4"/>
  <c r="CA219" i="4"/>
  <c r="BW219" i="4"/>
  <c r="BS219" i="4"/>
  <c r="BO219" i="4"/>
  <c r="BK219" i="4"/>
  <c r="BG219" i="4"/>
  <c r="BC219" i="4"/>
  <c r="AY219" i="4"/>
  <c r="AU219" i="4"/>
  <c r="AQ219" i="4"/>
  <c r="AM219" i="4"/>
  <c r="AI219" i="4"/>
  <c r="AE219" i="4"/>
  <c r="AA219" i="4"/>
  <c r="W219" i="4"/>
  <c r="S219" i="4"/>
  <c r="O219" i="4"/>
  <c r="K219" i="4"/>
  <c r="DU219" i="4"/>
  <c r="DX219" i="4"/>
  <c r="DL219" i="4"/>
  <c r="CV219" i="4"/>
  <c r="CJ219" i="4"/>
  <c r="CB219" i="4"/>
  <c r="BH219" i="4"/>
  <c r="AV219" i="4"/>
  <c r="AJ219" i="4"/>
  <c r="T219" i="4"/>
  <c r="DW219" i="4"/>
  <c r="DR219" i="4"/>
  <c r="DN219" i="4"/>
  <c r="DJ219" i="4"/>
  <c r="DF219" i="4"/>
  <c r="DB219" i="4"/>
  <c r="CX219" i="4"/>
  <c r="CT219" i="4"/>
  <c r="CP219" i="4"/>
  <c r="CL219" i="4"/>
  <c r="CH219" i="4"/>
  <c r="CD219" i="4"/>
  <c r="BZ219" i="4"/>
  <c r="BV219" i="4"/>
  <c r="BR219" i="4"/>
  <c r="BN219" i="4"/>
  <c r="BJ219" i="4"/>
  <c r="BF219" i="4"/>
  <c r="BB219" i="4"/>
  <c r="AX219" i="4"/>
  <c r="AT219" i="4"/>
  <c r="AP219" i="4"/>
  <c r="AL219" i="4"/>
  <c r="AH219" i="4"/>
  <c r="AD219" i="4"/>
  <c r="Z219" i="4"/>
  <c r="V219" i="4"/>
  <c r="R219" i="4"/>
  <c r="N219" i="4"/>
  <c r="J219" i="4"/>
  <c r="DY219" i="4"/>
  <c r="DP219" i="4"/>
  <c r="DD219" i="4"/>
  <c r="CR219" i="4"/>
  <c r="CF219" i="4"/>
  <c r="BT219" i="4"/>
  <c r="BP219" i="4"/>
  <c r="BD219" i="4"/>
  <c r="AR219" i="4"/>
  <c r="AF219" i="4"/>
  <c r="X219" i="4"/>
  <c r="L219" i="4"/>
  <c r="H219" i="4"/>
  <c r="DV219" i="4"/>
  <c r="DQ219" i="4"/>
  <c r="DM219" i="4"/>
  <c r="DI219" i="4"/>
  <c r="DE219" i="4"/>
  <c r="DA219" i="4"/>
  <c r="CW219" i="4"/>
  <c r="CS219" i="4"/>
  <c r="CO219" i="4"/>
  <c r="CK219" i="4"/>
  <c r="CG219" i="4"/>
  <c r="CC219" i="4"/>
  <c r="BY219" i="4"/>
  <c r="BU219" i="4"/>
  <c r="BQ219" i="4"/>
  <c r="BM219" i="4"/>
  <c r="BI219" i="4"/>
  <c r="BE219" i="4"/>
  <c r="BA219" i="4"/>
  <c r="AW219" i="4"/>
  <c r="AS219" i="4"/>
  <c r="AO219" i="4"/>
  <c r="AK219" i="4"/>
  <c r="AG219" i="4"/>
  <c r="AC219" i="4"/>
  <c r="Y219" i="4"/>
  <c r="U219" i="4"/>
  <c r="Q219" i="4"/>
  <c r="M219" i="4"/>
  <c r="I219" i="4"/>
  <c r="F220" i="4"/>
  <c r="F232" i="4"/>
  <c r="F245" i="4"/>
  <c r="F13" i="4"/>
  <c r="F11" i="4"/>
  <c r="H256" i="4"/>
  <c r="H265" i="4"/>
  <c r="H264" i="4" s="1"/>
  <c r="F219" i="4" a="1"/>
  <c r="F8" i="4" l="1"/>
  <c r="F219" i="4"/>
  <c r="D27" i="3"/>
  <c r="D25" i="3"/>
  <c r="D26" i="3"/>
  <c r="L163" i="4"/>
  <c r="I196" i="4"/>
  <c r="N265" i="4"/>
  <c r="L256" i="4"/>
  <c r="I256" i="4"/>
  <c r="H208" i="4"/>
  <c r="F251" i="4"/>
  <c r="F252" i="4"/>
  <c r="F253" i="4"/>
  <c r="F254" i="4"/>
  <c r="F255" i="4"/>
  <c r="I26" i="4"/>
  <c r="I22" i="4"/>
  <c r="BP15" i="4"/>
  <c r="BS256" i="4"/>
  <c r="C20" i="3"/>
  <c r="H207" i="4" a="1"/>
  <c r="H207" i="4" l="1"/>
  <c r="I265" i="4"/>
  <c r="I264" i="4" s="1"/>
  <c r="J265" i="4"/>
  <c r="J264" i="4" s="1"/>
  <c r="K265" i="4"/>
  <c r="K264" i="4" s="1"/>
  <c r="L265" i="4"/>
  <c r="L264" i="4" s="1"/>
  <c r="M265" i="4"/>
  <c r="M264" i="4" s="1"/>
  <c r="N264" i="4"/>
  <c r="O265" i="4"/>
  <c r="O264" i="4" s="1"/>
  <c r="P265" i="4"/>
  <c r="P264" i="4" s="1"/>
  <c r="Q265" i="4"/>
  <c r="Q264" i="4" s="1"/>
  <c r="R265" i="4"/>
  <c r="R264" i="4" s="1"/>
  <c r="S265" i="4"/>
  <c r="S264" i="4" s="1"/>
  <c r="T265" i="4"/>
  <c r="T264" i="4" s="1"/>
  <c r="U265" i="4"/>
  <c r="U264" i="4" s="1"/>
  <c r="V265" i="4"/>
  <c r="V264" i="4" s="1"/>
  <c r="W265" i="4"/>
  <c r="W264" i="4" s="1"/>
  <c r="X265" i="4"/>
  <c r="X264" i="4" s="1"/>
  <c r="Y265" i="4"/>
  <c r="Y264" i="4" s="1"/>
  <c r="Z265" i="4"/>
  <c r="Z264" i="4" s="1"/>
  <c r="AA265" i="4"/>
  <c r="AA264" i="4" s="1"/>
  <c r="AB265" i="4"/>
  <c r="AB264" i="4" s="1"/>
  <c r="AC265" i="4"/>
  <c r="AC264" i="4" s="1"/>
  <c r="AD265" i="4"/>
  <c r="AD264" i="4" s="1"/>
  <c r="AE265" i="4"/>
  <c r="AE264" i="4" s="1"/>
  <c r="AF265" i="4"/>
  <c r="AF264" i="4" s="1"/>
  <c r="AG265" i="4"/>
  <c r="AG264" i="4" s="1"/>
  <c r="AH265" i="4"/>
  <c r="AH264" i="4" s="1"/>
  <c r="AI265" i="4"/>
  <c r="AI264" i="4" s="1"/>
  <c r="AJ265" i="4"/>
  <c r="AJ264" i="4" s="1"/>
  <c r="AK265" i="4"/>
  <c r="AK264" i="4" s="1"/>
  <c r="AL265" i="4"/>
  <c r="AL264" i="4" s="1"/>
  <c r="AM265" i="4"/>
  <c r="AM264" i="4" s="1"/>
  <c r="AN265" i="4"/>
  <c r="AN264" i="4" s="1"/>
  <c r="AO265" i="4"/>
  <c r="AO264" i="4" s="1"/>
  <c r="AP265" i="4"/>
  <c r="AP264" i="4" s="1"/>
  <c r="AQ265" i="4"/>
  <c r="AQ264" i="4" s="1"/>
  <c r="AR265" i="4"/>
  <c r="AR264" i="4" s="1"/>
  <c r="AS265" i="4"/>
  <c r="AS264" i="4" s="1"/>
  <c r="AT265" i="4"/>
  <c r="AT264" i="4" s="1"/>
  <c r="AU265" i="4"/>
  <c r="AU264" i="4" s="1"/>
  <c r="AV265" i="4"/>
  <c r="AV264" i="4" s="1"/>
  <c r="AW265" i="4"/>
  <c r="AW264" i="4" s="1"/>
  <c r="AX265" i="4"/>
  <c r="AX264" i="4" s="1"/>
  <c r="AY265" i="4"/>
  <c r="AY264" i="4" s="1"/>
  <c r="AZ265" i="4"/>
  <c r="AZ264" i="4" s="1"/>
  <c r="BA265" i="4"/>
  <c r="BA264" i="4" s="1"/>
  <c r="BB265" i="4"/>
  <c r="BB264" i="4" s="1"/>
  <c r="BC265" i="4"/>
  <c r="BC264" i="4" s="1"/>
  <c r="BD265" i="4"/>
  <c r="BD264" i="4" s="1"/>
  <c r="BE265" i="4"/>
  <c r="BE264" i="4" s="1"/>
  <c r="BF265" i="4"/>
  <c r="BF264" i="4" s="1"/>
  <c r="BG265" i="4"/>
  <c r="BG264" i="4" s="1"/>
  <c r="BH265" i="4"/>
  <c r="BH264" i="4" s="1"/>
  <c r="BI265" i="4"/>
  <c r="BI264" i="4" s="1"/>
  <c r="BJ265" i="4"/>
  <c r="BJ264" i="4" s="1"/>
  <c r="BK265" i="4"/>
  <c r="BK264" i="4" s="1"/>
  <c r="BL265" i="4"/>
  <c r="BL264" i="4" s="1"/>
  <c r="BM265" i="4"/>
  <c r="BM264" i="4" s="1"/>
  <c r="BN265" i="4"/>
  <c r="BN264" i="4" s="1"/>
  <c r="BO265" i="4"/>
  <c r="BO264" i="4" s="1"/>
  <c r="BP265" i="4"/>
  <c r="BP264" i="4" s="1"/>
  <c r="BQ265" i="4"/>
  <c r="BQ264" i="4" s="1"/>
  <c r="BR265" i="4"/>
  <c r="BR264" i="4" s="1"/>
  <c r="BS265" i="4"/>
  <c r="BS264" i="4" s="1"/>
  <c r="BT265" i="4"/>
  <c r="BT264" i="4" s="1"/>
  <c r="BU265" i="4"/>
  <c r="BU264" i="4" s="1"/>
  <c r="BV265" i="4"/>
  <c r="BV264" i="4" s="1"/>
  <c r="BW265" i="4"/>
  <c r="BW264" i="4" s="1"/>
  <c r="BX265" i="4"/>
  <c r="BX264" i="4" s="1"/>
  <c r="BY265" i="4"/>
  <c r="BY264" i="4" s="1"/>
  <c r="BZ265" i="4"/>
  <c r="BZ264" i="4" s="1"/>
  <c r="CA265" i="4"/>
  <c r="CA264" i="4" s="1"/>
  <c r="CB265" i="4"/>
  <c r="CB264" i="4" s="1"/>
  <c r="CC265" i="4"/>
  <c r="CC264" i="4" s="1"/>
  <c r="CD265" i="4"/>
  <c r="CD264" i="4" s="1"/>
  <c r="CE265" i="4"/>
  <c r="CE264" i="4" s="1"/>
  <c r="CF265" i="4"/>
  <c r="CF264" i="4" s="1"/>
  <c r="CG265" i="4"/>
  <c r="CG264" i="4" s="1"/>
  <c r="CH265" i="4"/>
  <c r="CH264" i="4" s="1"/>
  <c r="CI265" i="4"/>
  <c r="CI264" i="4" s="1"/>
  <c r="CJ265" i="4"/>
  <c r="CJ264" i="4" s="1"/>
  <c r="CK265" i="4"/>
  <c r="CK264" i="4" s="1"/>
  <c r="CL265" i="4"/>
  <c r="CL264" i="4" s="1"/>
  <c r="CM265" i="4"/>
  <c r="CM264" i="4" s="1"/>
  <c r="CN265" i="4"/>
  <c r="CN264" i="4" s="1"/>
  <c r="CO265" i="4"/>
  <c r="CO264" i="4" s="1"/>
  <c r="CP265" i="4"/>
  <c r="CP264" i="4" s="1"/>
  <c r="CQ265" i="4"/>
  <c r="CQ264" i="4" s="1"/>
  <c r="CR265" i="4"/>
  <c r="CR264" i="4" s="1"/>
  <c r="CS265" i="4"/>
  <c r="CS264" i="4" s="1"/>
  <c r="CT265" i="4"/>
  <c r="CT264" i="4" s="1"/>
  <c r="CU265" i="4"/>
  <c r="CU264" i="4" s="1"/>
  <c r="CV265" i="4"/>
  <c r="CV264" i="4" s="1"/>
  <c r="CW265" i="4"/>
  <c r="CW264" i="4" s="1"/>
  <c r="CX265" i="4"/>
  <c r="CX264" i="4" s="1"/>
  <c r="CY265" i="4"/>
  <c r="CY264" i="4" s="1"/>
  <c r="CZ265" i="4"/>
  <c r="CZ264" i="4" s="1"/>
  <c r="DA265" i="4"/>
  <c r="DA264" i="4" s="1"/>
  <c r="DB265" i="4"/>
  <c r="DB264" i="4" s="1"/>
  <c r="DC265" i="4"/>
  <c r="DC264" i="4" s="1"/>
  <c r="DD265" i="4"/>
  <c r="DD264" i="4" s="1"/>
  <c r="DE265" i="4"/>
  <c r="DE264" i="4" s="1"/>
  <c r="DF265" i="4"/>
  <c r="DF264" i="4" s="1"/>
  <c r="DG265" i="4"/>
  <c r="DG264" i="4" s="1"/>
  <c r="DH265" i="4"/>
  <c r="DH264" i="4" s="1"/>
  <c r="DI265" i="4"/>
  <c r="DI264" i="4" s="1"/>
  <c r="DJ265" i="4"/>
  <c r="DJ264" i="4" s="1"/>
  <c r="DK265" i="4"/>
  <c r="DK264" i="4" s="1"/>
  <c r="DL265" i="4"/>
  <c r="DL264" i="4" s="1"/>
  <c r="DM265" i="4"/>
  <c r="DM264" i="4" s="1"/>
  <c r="DN265" i="4"/>
  <c r="DN264" i="4" s="1"/>
  <c r="DO265" i="4"/>
  <c r="DO264" i="4" s="1"/>
  <c r="DP265" i="4"/>
  <c r="DP264" i="4" s="1"/>
  <c r="DQ265" i="4"/>
  <c r="DQ264" i="4" s="1"/>
  <c r="DR265" i="4"/>
  <c r="DR264" i="4" s="1"/>
  <c r="DS265" i="4"/>
  <c r="DS264" i="4" s="1"/>
  <c r="DT265" i="4"/>
  <c r="DT264" i="4" s="1"/>
  <c r="DU265" i="4"/>
  <c r="DU264" i="4" s="1"/>
  <c r="DV265" i="4"/>
  <c r="DV264" i="4" s="1"/>
  <c r="DW265" i="4"/>
  <c r="DW264" i="4" s="1"/>
  <c r="DX264" i="4"/>
  <c r="DY265" i="4"/>
  <c r="DY264" i="4" s="1"/>
  <c r="J256" i="4"/>
  <c r="K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A256" i="4"/>
  <c r="BB256" i="4"/>
  <c r="BC256" i="4"/>
  <c r="BD256" i="4"/>
  <c r="BE256" i="4"/>
  <c r="BF256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CY256" i="4"/>
  <c r="CZ256" i="4"/>
  <c r="DA256" i="4"/>
  <c r="DB256" i="4"/>
  <c r="DC256" i="4"/>
  <c r="DD256" i="4"/>
  <c r="DE256" i="4"/>
  <c r="DF256" i="4"/>
  <c r="DG256" i="4"/>
  <c r="DH256" i="4"/>
  <c r="DI256" i="4"/>
  <c r="DJ256" i="4"/>
  <c r="DK256" i="4"/>
  <c r="DL256" i="4"/>
  <c r="DM256" i="4"/>
  <c r="DN256" i="4"/>
  <c r="DO256" i="4"/>
  <c r="DP256" i="4"/>
  <c r="DQ256" i="4"/>
  <c r="DR256" i="4"/>
  <c r="DS256" i="4"/>
  <c r="DT256" i="4"/>
  <c r="DU256" i="4"/>
  <c r="DV256" i="4"/>
  <c r="DW256" i="4"/>
  <c r="DY256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BE208" i="4"/>
  <c r="BF208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CY208" i="4"/>
  <c r="CZ208" i="4"/>
  <c r="DA208" i="4"/>
  <c r="DB208" i="4"/>
  <c r="DC208" i="4"/>
  <c r="DD208" i="4"/>
  <c r="DE208" i="4"/>
  <c r="DF208" i="4"/>
  <c r="DG208" i="4"/>
  <c r="DH208" i="4"/>
  <c r="DI208" i="4"/>
  <c r="DJ208" i="4"/>
  <c r="DK208" i="4"/>
  <c r="DL208" i="4"/>
  <c r="DM208" i="4"/>
  <c r="DN208" i="4"/>
  <c r="DO208" i="4"/>
  <c r="DP208" i="4"/>
  <c r="DQ208" i="4"/>
  <c r="DR208" i="4"/>
  <c r="DS208" i="4"/>
  <c r="DT208" i="4"/>
  <c r="DV208" i="4"/>
  <c r="DW208" i="4"/>
  <c r="DX208" i="4"/>
  <c r="DY208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A196" i="4"/>
  <c r="BB196" i="4"/>
  <c r="BC196" i="4"/>
  <c r="BD196" i="4"/>
  <c r="BE196" i="4"/>
  <c r="BF196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CY196" i="4"/>
  <c r="CZ196" i="4"/>
  <c r="DA196" i="4"/>
  <c r="DB196" i="4"/>
  <c r="DC196" i="4"/>
  <c r="DD196" i="4"/>
  <c r="DE196" i="4"/>
  <c r="DF196" i="4"/>
  <c r="DG196" i="4"/>
  <c r="DH196" i="4"/>
  <c r="DI196" i="4"/>
  <c r="DJ196" i="4"/>
  <c r="DK196" i="4"/>
  <c r="DL196" i="4"/>
  <c r="DM196" i="4"/>
  <c r="DN196" i="4"/>
  <c r="DO196" i="4"/>
  <c r="DP196" i="4"/>
  <c r="DQ196" i="4"/>
  <c r="DR196" i="4"/>
  <c r="DS196" i="4"/>
  <c r="DT196" i="4"/>
  <c r="DV196" i="4"/>
  <c r="DW196" i="4"/>
  <c r="DX196" i="4"/>
  <c r="DY196" i="4"/>
  <c r="H196" i="4"/>
  <c r="I163" i="4"/>
  <c r="J163" i="4"/>
  <c r="K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/>
  <c r="DI163" i="4"/>
  <c r="DJ163" i="4"/>
  <c r="DK163" i="4"/>
  <c r="DL163" i="4"/>
  <c r="DM163" i="4"/>
  <c r="DN163" i="4"/>
  <c r="DO163" i="4"/>
  <c r="DP163" i="4"/>
  <c r="DQ163" i="4"/>
  <c r="DR163" i="4"/>
  <c r="DS163" i="4"/>
  <c r="DT163" i="4"/>
  <c r="DU163" i="4"/>
  <c r="DV163" i="4"/>
  <c r="DW163" i="4"/>
  <c r="DX163" i="4"/>
  <c r="DY163" i="4"/>
  <c r="H163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DI137" i="4"/>
  <c r="DJ137" i="4"/>
  <c r="DK137" i="4"/>
  <c r="DL137" i="4"/>
  <c r="DM137" i="4"/>
  <c r="DN137" i="4"/>
  <c r="DO137" i="4"/>
  <c r="DP137" i="4"/>
  <c r="DQ137" i="4"/>
  <c r="DR137" i="4"/>
  <c r="DS137" i="4"/>
  <c r="DT137" i="4"/>
  <c r="DU137" i="4"/>
  <c r="DV137" i="4"/>
  <c r="DW137" i="4"/>
  <c r="DX137" i="4"/>
  <c r="DY137" i="4"/>
  <c r="H137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X134" i="4"/>
  <c r="DY134" i="4"/>
  <c r="H134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DY126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DY113" i="4"/>
  <c r="H113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H97" i="4"/>
  <c r="BT86" i="4"/>
  <c r="BU73" i="4"/>
  <c r="BV58" i="4"/>
  <c r="BU55" i="4"/>
  <c r="BV43" i="4"/>
  <c r="BW38" i="4"/>
  <c r="BV34" i="4"/>
  <c r="BP34" i="4"/>
  <c r="BP38" i="4"/>
  <c r="BP26" i="4"/>
  <c r="BP22" i="4"/>
  <c r="BQ15" i="4"/>
  <c r="BR15" i="4"/>
  <c r="BS15" i="4"/>
  <c r="BT15" i="4"/>
  <c r="BU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BO26" i="4"/>
  <c r="H86" i="4"/>
  <c r="M86" i="4"/>
  <c r="C8" i="6" l="1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V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H38" i="4"/>
  <c r="BQ38" i="4"/>
  <c r="I86" i="4"/>
  <c r="J86" i="4"/>
  <c r="K86" i="4"/>
  <c r="L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H73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H58" i="4"/>
  <c r="H55" i="4"/>
  <c r="H43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Y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Q34" i="4"/>
  <c r="BR34" i="4"/>
  <c r="BS34" i="4"/>
  <c r="BT34" i="4"/>
  <c r="BU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H34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BT38" i="4" l="1"/>
  <c r="BS38" i="4"/>
  <c r="BR38" i="4"/>
  <c r="BU38" i="4"/>
  <c r="BU113" i="4" l="1"/>
  <c r="BT113" i="4"/>
  <c r="BR113" i="4"/>
  <c r="BS113" i="4"/>
  <c r="BP113" i="4"/>
  <c r="BQ113" i="4"/>
  <c r="F113" i="4" l="1"/>
  <c r="BP3" i="4"/>
  <c r="BQ3" i="4"/>
  <c r="BR3" i="4"/>
  <c r="BS3" i="4"/>
  <c r="BT3" i="4"/>
  <c r="BU3" i="4"/>
  <c r="CF133" i="4" a="1"/>
  <c r="BA133" i="4" a="1"/>
  <c r="AN54" i="4" a="1"/>
  <c r="Z133" i="4" a="1"/>
  <c r="BM33" i="4" a="1"/>
  <c r="CU133" i="4" a="1"/>
  <c r="Y133" i="4" a="1"/>
  <c r="CX33" i="4" a="1"/>
  <c r="AS133" i="4" a="1"/>
  <c r="AG33" i="4" a="1"/>
  <c r="AA133" i="4" a="1"/>
  <c r="BZ54" i="4" a="1"/>
  <c r="DU207" i="4" a="1"/>
  <c r="CT133" i="4" a="1"/>
  <c r="BO133" i="4" a="1"/>
  <c r="BG54" i="4" a="1"/>
  <c r="DL133" i="4" a="1"/>
  <c r="BH33" i="4" a="1"/>
  <c r="CB133" i="4" a="1"/>
  <c r="CC54" i="4" a="1"/>
  <c r="AI207" i="4" a="1"/>
  <c r="J7" i="4" a="1"/>
  <c r="Y33" i="4" a="1"/>
  <c r="CN207" i="4" a="1"/>
  <c r="O207" i="4" a="1"/>
  <c r="AW133" i="4" a="1"/>
  <c r="K54" i="4" a="1"/>
  <c r="AZ33" i="4" a="1"/>
  <c r="DL54" i="4" a="1"/>
  <c r="BB33" i="4" a="1"/>
  <c r="AU7" i="4" a="1"/>
  <c r="CD133" i="4" a="1"/>
  <c r="DT54" i="4" a="1"/>
  <c r="AY7" i="4" a="1"/>
  <c r="DG133" i="4" a="1"/>
  <c r="BY54" i="4" a="1"/>
  <c r="AX133" i="4" a="1"/>
  <c r="CW33" i="4" a="1"/>
  <c r="CZ133" i="4" a="1"/>
  <c r="AR7" i="4" a="1"/>
  <c r="DI54" i="4" a="1"/>
  <c r="AL7" i="4" a="1"/>
  <c r="DB133" i="4" a="1"/>
  <c r="CT33" i="4" a="1"/>
  <c r="DW133" i="4" a="1"/>
  <c r="CO7" i="4" a="1"/>
  <c r="AT133" i="4" a="1"/>
  <c r="AN7" i="4" a="1"/>
  <c r="BO7" i="4" a="1"/>
  <c r="DD7" i="4" a="1"/>
  <c r="AT7" i="4" a="1"/>
  <c r="BO207" i="4" a="1"/>
  <c r="BZ133" i="4" a="1"/>
  <c r="BJ207" i="4" a="1"/>
  <c r="CF7" i="4" a="1"/>
  <c r="CA54" i="4" a="1"/>
  <c r="BD207" i="4" a="1"/>
  <c r="DK207" i="4" a="1"/>
  <c r="DM33" i="4" a="1"/>
  <c r="CF54" i="4" a="1"/>
  <c r="CC133" i="4" a="1"/>
  <c r="CD7" i="4" a="1"/>
  <c r="BS133" i="4" a="1"/>
  <c r="CS54" i="4" a="1"/>
  <c r="AM54" i="4" a="1"/>
  <c r="CW133" i="4" a="1"/>
  <c r="W7" i="4" a="1"/>
  <c r="N133" i="4" a="1"/>
  <c r="I7" i="4" a="1"/>
  <c r="BB133" i="4" a="1"/>
  <c r="AW7" i="4" a="1"/>
  <c r="DC54" i="4" a="1"/>
  <c r="CH7" i="4" a="1"/>
  <c r="AN133" i="4" a="1"/>
  <c r="DN7" i="4" a="1"/>
  <c r="AG133" i="4" a="1"/>
  <c r="AS7" i="4" a="1"/>
  <c r="AX54" i="4" a="1"/>
  <c r="H54" i="4" a="1"/>
  <c r="CI7" i="4" a="1"/>
  <c r="V7" i="4" a="1"/>
  <c r="BA7" i="4" a="1"/>
  <c r="CX207" i="4" a="1"/>
  <c r="DK33" i="4" a="1"/>
  <c r="R7" i="4" a="1"/>
  <c r="CR7" i="4" a="1"/>
  <c r="AR133" i="4" a="1"/>
  <c r="BC207" i="4" a="1"/>
  <c r="ED4" i="4" a="1"/>
  <c r="BC54" i="4" a="1"/>
  <c r="AI33" i="4" a="1"/>
  <c r="CS7" i="4" a="1"/>
  <c r="AB7" i="4" a="1"/>
  <c r="BP7" i="4" a="1"/>
  <c r="AQ7" i="4" a="1"/>
  <c r="DS7" i="4" a="1"/>
  <c r="DT207" i="4" a="1"/>
  <c r="L207" i="4" a="1"/>
  <c r="AE54" i="4" a="1"/>
  <c r="AY207" i="4" a="1"/>
  <c r="DR133" i="4" a="1"/>
  <c r="AW33" i="4" a="1"/>
  <c r="EP4" i="4" a="1"/>
  <c r="CR207" i="4" a="1"/>
  <c r="AA54" i="4" a="1"/>
  <c r="X207" i="4" a="1"/>
  <c r="DB7" i="4" a="1"/>
  <c r="BZ33" i="4" a="1"/>
  <c r="DV133" i="4" a="1"/>
  <c r="CV133" i="4" a="1"/>
  <c r="P33" i="4" a="1"/>
  <c r="Z33" i="4" a="1"/>
  <c r="BX33" i="4" a="1"/>
  <c r="BA54" i="4" a="1"/>
  <c r="BI133" i="4" a="1"/>
  <c r="DL33" i="4" a="1"/>
  <c r="BN54" i="4" a="1"/>
  <c r="AZ133" i="4" a="1"/>
  <c r="DG7" i="4" a="1"/>
  <c r="DY133" i="4" a="1"/>
  <c r="CM7" i="4" a="1"/>
  <c r="BP207" i="4" a="1"/>
  <c r="AL133" i="4" a="1"/>
  <c r="CG33" i="4" a="1"/>
  <c r="Q7" i="4" a="1"/>
  <c r="AM133" i="4" a="1"/>
  <c r="CX7" i="4" a="1"/>
  <c r="BW133" i="4" a="1"/>
  <c r="CL7" i="4" a="1"/>
  <c r="CH133" i="4" a="1"/>
  <c r="AS54" i="4" a="1"/>
  <c r="CQ133" i="4" a="1"/>
  <c r="T207" i="4" a="1"/>
  <c r="EB4" i="4" a="1"/>
  <c r="AL207" i="4" a="1"/>
  <c r="AH33" i="4" a="1"/>
  <c r="BA33" i="4" a="1"/>
  <c r="J54" i="4" a="1"/>
  <c r="DV33" i="4" a="1"/>
  <c r="BN207" i="4" a="1"/>
  <c r="CN33" i="4" a="1"/>
  <c r="AQ33" i="4" a="1"/>
  <c r="AF54" i="4" a="1"/>
  <c r="AL54" i="4" a="1"/>
  <c r="P207" i="4" a="1"/>
  <c r="DO54" i="4" a="1"/>
  <c r="CF207" i="4" a="1"/>
  <c r="AL33" i="4" a="1"/>
  <c r="DC207" i="4" a="1"/>
  <c r="BI54" i="4" a="1"/>
  <c r="AT54" i="4" a="1"/>
  <c r="W54" i="4" a="1"/>
  <c r="V207" i="4" a="1"/>
  <c r="CS33" i="4" a="1"/>
  <c r="AE207" i="4" a="1"/>
  <c r="BE133" i="4" a="1"/>
  <c r="J207" i="4" a="1"/>
  <c r="AU133" i="4" a="1"/>
  <c r="CI133" i="4" a="1"/>
  <c r="K207" i="4" a="1"/>
  <c r="EH4" i="4" a="1"/>
  <c r="BG7" i="4" a="1"/>
  <c r="CS133" i="4" a="1"/>
  <c r="CJ33" i="4" a="1"/>
  <c r="BC133" i="4" a="1"/>
  <c r="Z207" i="4" a="1"/>
  <c r="CC207" i="4" a="1"/>
  <c r="DP33" i="4" a="1"/>
  <c r="BM7" i="4" a="1"/>
  <c r="Q133" i="4" a="1"/>
  <c r="CD207" i="4" a="1"/>
  <c r="DU133" i="4" a="1"/>
  <c r="AR33" i="4" a="1"/>
  <c r="DY7" i="4" a="1"/>
  <c r="DH133" i="4" a="1"/>
  <c r="DG207" i="4" a="1"/>
  <c r="AF133" i="4" a="1"/>
  <c r="EG4" i="4" a="1"/>
  <c r="DF133" i="4" a="1"/>
  <c r="DR207" i="4" a="1"/>
  <c r="AC54" i="4" a="1"/>
  <c r="DV7" i="4" a="1"/>
  <c r="AO133" i="4" a="1"/>
  <c r="DD207" i="4" a="1"/>
  <c r="CG133" i="4" a="1"/>
  <c r="DP207" i="4" a="1"/>
  <c r="BV133" i="4" a="1"/>
  <c r="AF207" i="4" a="1"/>
  <c r="AI133" i="4" a="1"/>
  <c r="I54" i="4" a="1"/>
  <c r="BH207" i="4" a="1"/>
  <c r="CA7" i="4" a="1"/>
  <c r="U207" i="4" a="1"/>
  <c r="AJ133" i="4" a="1"/>
  <c r="CV33" i="4" a="1"/>
  <c r="CI54" i="4" a="1"/>
  <c r="CP54" i="4" a="1"/>
  <c r="Y207" i="4" a="1"/>
  <c r="AU207" i="4" a="1"/>
  <c r="DX33" i="4" a="1"/>
  <c r="DB54" i="4" a="1"/>
  <c r="CF33" i="4" a="1"/>
  <c r="BK54" i="4" a="1"/>
  <c r="BJ54" i="4" a="1"/>
  <c r="AC7" i="4" a="1"/>
  <c r="BQ133" i="4" a="1"/>
  <c r="AV207" i="4" a="1"/>
  <c r="BX133" i="4" a="1"/>
  <c r="AV133" i="4" a="1"/>
  <c r="AZ7" i="4" a="1"/>
  <c r="CG7" i="4" a="1"/>
  <c r="DL207" i="4" a="1"/>
  <c r="BN133" i="4" a="1"/>
  <c r="AQ207" i="4" a="1"/>
  <c r="AB207" i="4" a="1"/>
  <c r="AO207" i="4" a="1"/>
  <c r="DF7" i="4" a="1"/>
  <c r="CE133" i="4" a="1"/>
  <c r="DP54" i="4" a="1"/>
  <c r="DI133" i="4" a="1"/>
  <c r="Q54" i="4" a="1"/>
  <c r="CT54" i="4" a="1"/>
  <c r="BF33" i="4" a="1"/>
  <c r="AD7" i="4" a="1"/>
  <c r="AZ207" i="4" a="1"/>
  <c r="DI207" i="4" a="1"/>
  <c r="CP7" i="4" a="1"/>
  <c r="AR54" i="4" a="1"/>
  <c r="CZ207" i="4" a="1"/>
  <c r="DY207" i="4" a="1"/>
  <c r="BB7" i="4" a="1"/>
  <c r="DS207" i="4" a="1"/>
  <c r="CE33" i="4" a="1"/>
  <c r="AM33" i="4" a="1"/>
  <c r="Z7" i="4" a="1"/>
  <c r="CG207" i="4" a="1"/>
  <c r="CU54" i="4" a="1"/>
  <c r="AP33" i="4" a="1"/>
  <c r="CP33" i="4" a="1"/>
  <c r="DA7" i="4" a="1"/>
  <c r="DM54" i="4" a="1"/>
  <c r="AY54" i="4" a="1"/>
  <c r="BF54" i="4" a="1"/>
  <c r="AI54" i="4" a="1"/>
  <c r="BE7" i="4" a="1"/>
  <c r="DW33" i="4" a="1"/>
  <c r="BJ7" i="4" a="1"/>
  <c r="DT33" i="4" a="1"/>
  <c r="N7" i="4" a="1"/>
  <c r="N33" i="4" a="1"/>
  <c r="DU33" i="4" a="1"/>
  <c r="AO54" i="4" a="1"/>
  <c r="DX7" i="4" a="1"/>
  <c r="P54" i="4" a="1"/>
  <c r="AH7" i="4" a="1"/>
  <c r="AP133" i="4" a="1"/>
  <c r="CB54" i="4" a="1"/>
  <c r="BO54" i="4" a="1"/>
  <c r="DT7" i="4" a="1"/>
  <c r="O7" i="4" a="1"/>
  <c r="Q207" i="4" a="1"/>
  <c r="AF33" i="4" a="1"/>
  <c r="BY207" i="4" a="1"/>
  <c r="AU54" i="4" a="1"/>
  <c r="BB54" i="4" a="1"/>
  <c r="CA133" i="4" a="1"/>
  <c r="AG54" i="4" a="1"/>
  <c r="X133" i="4" a="1"/>
  <c r="DN33" i="4" a="1"/>
  <c r="DQ54" i="4" a="1"/>
  <c r="DN133" i="4" a="1"/>
  <c r="L54" i="4" a="1"/>
  <c r="BP133" i="4" a="1"/>
  <c r="BM54" i="4" a="1"/>
  <c r="AN33" i="4" a="1"/>
  <c r="DH33" i="4" a="1"/>
  <c r="M207" i="4" a="1"/>
  <c r="CU33" i="4" a="1"/>
  <c r="W133" i="4" a="1"/>
  <c r="X33" i="4" a="1"/>
  <c r="CM54" i="4" a="1"/>
  <c r="BI33" i="4" a="1"/>
  <c r="DA33" i="4" a="1"/>
  <c r="DW54" i="4" a="1"/>
  <c r="BE207" i="4" a="1"/>
  <c r="AF7" i="4" a="1"/>
  <c r="DS54" i="4" a="1"/>
  <c r="EI4" i="4" a="1"/>
  <c r="AS207" i="4" a="1"/>
  <c r="BG33" i="4" a="1"/>
  <c r="AW54" i="4" a="1"/>
  <c r="CV54" i="4" a="1"/>
  <c r="CQ33" i="4" a="1"/>
  <c r="AP207" i="4" a="1"/>
  <c r="BK207" i="4" a="1"/>
  <c r="CO54" i="4" a="1"/>
  <c r="AV33" i="4" a="1"/>
  <c r="CO33" i="4" a="1"/>
  <c r="Z54" i="4" a="1"/>
  <c r="DU54" i="4" a="1"/>
  <c r="BL33" i="4" a="1"/>
  <c r="AZ54" i="4" a="1"/>
  <c r="CL33" i="4" a="1"/>
  <c r="BE33" i="4" a="1"/>
  <c r="DX54" i="4" a="1"/>
  <c r="CZ33" i="4" a="1"/>
  <c r="H33" i="4" a="1"/>
  <c r="BQ207" i="4" a="1"/>
  <c r="S54" i="4" a="1"/>
  <c r="CY33" i="4" a="1"/>
  <c r="BJ33" i="4" a="1"/>
  <c r="CE54" i="4" a="1"/>
  <c r="DJ54" i="4" a="1"/>
  <c r="DJ33" i="4" a="1"/>
  <c r="CI33" i="4" a="1"/>
  <c r="EN4" i="4" a="1"/>
  <c r="N207" i="4" a="1"/>
  <c r="BY133" i="4" a="1"/>
  <c r="BL207" i="4" a="1"/>
  <c r="CL207" i="4" a="1"/>
  <c r="CJ7" i="4" a="1"/>
  <c r="AM7" i="4" a="1"/>
  <c r="BD33" i="4" a="1"/>
  <c r="DB33" i="4" a="1"/>
  <c r="CS207" i="4" a="1"/>
  <c r="CY54" i="4" a="1"/>
  <c r="T133" i="4" a="1"/>
  <c r="CQ54" i="4" a="1"/>
  <c r="DY54" i="4" a="1"/>
  <c r="AK7" i="4" a="1"/>
  <c r="BW7" i="4" a="1"/>
  <c r="BY7" i="4" a="1"/>
  <c r="EL4" i="4" a="1"/>
  <c r="DM207" i="4" a="1"/>
  <c r="CT207" i="4" a="1"/>
  <c r="DP133" i="4" a="1"/>
  <c r="BI7" i="4" a="1"/>
  <c r="BV54" i="4" a="1"/>
  <c r="X7" i="4" a="1"/>
  <c r="BY33" i="4" a="1"/>
  <c r="DT133" i="4" a="1"/>
  <c r="DK7" i="4" a="1"/>
  <c r="S33" i="4" a="1"/>
  <c r="AG7" i="4" a="1"/>
  <c r="W33" i="4" a="1"/>
  <c r="AX7" i="4" a="1"/>
  <c r="AU33" i="4" a="1"/>
  <c r="I33" i="4" a="1"/>
  <c r="DA54" i="4" a="1"/>
  <c r="BX7" i="4" a="1"/>
  <c r="BW33" i="4" a="1"/>
  <c r="DE7" i="4" a="1"/>
  <c r="BH54" i="4" a="1"/>
  <c r="U7" i="4" a="1"/>
  <c r="AY33" i="4" a="1"/>
  <c r="S7" i="4" a="1"/>
  <c r="CH33" i="4" a="1"/>
  <c r="BB207" i="4" a="1"/>
  <c r="W207" i="4" a="1"/>
  <c r="DF207" i="4" a="1"/>
  <c r="AB133" i="4" a="1"/>
  <c r="CV207" i="4" a="1"/>
  <c r="DQ33" i="4" a="1"/>
  <c r="BL133" i="4" a="1"/>
  <c r="CJ133" i="4" a="1"/>
  <c r="BH7" i="4" a="1"/>
  <c r="AC133" i="4" a="1"/>
  <c r="BV7" i="4" a="1"/>
  <c r="CY133" i="4" a="1"/>
  <c r="DS133" i="4" a="1"/>
  <c r="L7" i="4" a="1"/>
  <c r="CP133" i="4" a="1"/>
  <c r="CC7" i="4" a="1"/>
  <c r="BD133" i="4" a="1"/>
  <c r="AA7" i="4" a="1"/>
  <c r="L133" i="4" a="1"/>
  <c r="AQ133" i="4" a="1"/>
  <c r="BM133" i="4" a="1"/>
  <c r="CE7" i="4" a="1"/>
  <c r="BU133" i="4" a="1"/>
  <c r="CN7" i="4" a="1"/>
  <c r="S133" i="4" a="1"/>
  <c r="DQ7" i="4" a="1"/>
  <c r="BR133" i="4" a="1"/>
  <c r="T54" i="4" a="1"/>
  <c r="AP54" i="4" a="1"/>
  <c r="CK7" i="4" a="1"/>
  <c r="DB207" i="4" a="1"/>
  <c r="AW207" i="4" a="1"/>
  <c r="AA33" i="4" a="1"/>
  <c r="DH207" i="4" a="1"/>
  <c r="CP207" i="4" a="1"/>
  <c r="AR207" i="4" a="1"/>
  <c r="DK133" i="4" a="1"/>
  <c r="DR54" i="4" a="1"/>
  <c r="DA133" i="4" a="1"/>
  <c r="H7" i="4" a="1"/>
  <c r="DJ133" i="4" a="1"/>
  <c r="J133" i="4" a="1"/>
  <c r="R54" i="4" a="1"/>
  <c r="CL133" i="4" a="1"/>
  <c r="P7" i="4" a="1"/>
  <c r="AK54" i="4" a="1"/>
  <c r="BL7" i="4" a="1"/>
  <c r="DG54" i="4" a="1"/>
  <c r="AE7" i="4" a="1"/>
  <c r="DQ133" i="4" a="1"/>
  <c r="AJ54" i="4" a="1"/>
  <c r="BN33" i="4" a="1"/>
  <c r="DR7" i="4" a="1"/>
  <c r="AJ33" i="4" a="1"/>
  <c r="DH7" i="4" a="1"/>
  <c r="CK54" i="4" a="1"/>
  <c r="DD54" i="4" a="1"/>
  <c r="DS33" i="4" a="1"/>
  <c r="BJ133" i="4" a="1"/>
  <c r="DE33" i="4" a="1"/>
  <c r="BG207" i="4" a="1"/>
  <c r="EC4" i="4" a="1"/>
  <c r="DJ207" i="4" a="1"/>
  <c r="V54" i="4" a="1"/>
  <c r="BT133" i="4" a="1"/>
  <c r="BF207" i="4" a="1"/>
  <c r="DX207" i="4" a="1"/>
  <c r="DE133" i="4" a="1"/>
  <c r="DC7" i="4" a="1"/>
  <c r="AD133" i="4" a="1"/>
  <c r="CB33" i="4" a="1"/>
  <c r="DD133" i="4" a="1"/>
  <c r="AH54" i="4" a="1"/>
  <c r="BV33" i="4" a="1"/>
  <c r="DH54" i="4" a="1"/>
  <c r="DY33" i="4" a="1"/>
  <c r="CJ207" i="4" a="1"/>
  <c r="CQ207" i="4" a="1"/>
  <c r="AO7" i="4" a="1"/>
  <c r="AA207" i="4" a="1"/>
  <c r="CA207" i="4" a="1"/>
  <c r="DU7" i="4" a="1"/>
  <c r="AY133" i="4" a="1"/>
  <c r="CX133" i="4" a="1"/>
  <c r="AK133" i="4" a="1"/>
  <c r="P133" i="4" a="1"/>
  <c r="AE33" i="4" a="1"/>
  <c r="AC207" i="4" a="1"/>
  <c r="CV7" i="4" a="1"/>
  <c r="M54" i="4" a="1"/>
  <c r="BW54" i="4" a="1"/>
  <c r="CH54" i="4" a="1"/>
  <c r="EK4" i="4" a="1"/>
  <c r="CO133" i="4" a="1"/>
  <c r="T7" i="4" a="1"/>
  <c r="BK7" i="4" a="1"/>
  <c r="DL7" i="4" a="1"/>
  <c r="AO33" i="4" a="1"/>
  <c r="DG33" i="4" a="1"/>
  <c r="BA207" i="4" a="1"/>
  <c r="BO33" i="4" a="1"/>
  <c r="L33" i="4" a="1"/>
  <c r="M33" i="4" a="1"/>
  <c r="AK33" i="4" a="1"/>
  <c r="X54" i="4" a="1"/>
  <c r="DD33" i="4" a="1"/>
  <c r="CM133" i="4" a="1"/>
  <c r="AG207" i="4" a="1"/>
  <c r="AT33" i="4" a="1"/>
  <c r="AB33" i="4" a="1"/>
  <c r="CG54" i="4" a="1"/>
  <c r="BX54" i="4" a="1"/>
  <c r="AP7" i="4" a="1"/>
  <c r="AQ54" i="4" a="1"/>
  <c r="J33" i="4" a="1"/>
  <c r="DR33" i="4" a="1"/>
  <c r="K133" i="4" a="1"/>
  <c r="CZ54" i="4" a="1"/>
  <c r="Y54" i="4" a="1"/>
  <c r="AI7" i="4" a="1"/>
  <c r="BZ207" i="4" a="1"/>
  <c r="DX133" i="4" a="1"/>
  <c r="BS207" i="4" a="1"/>
  <c r="DO133" i="4" a="1"/>
  <c r="DN54" i="4" a="1"/>
  <c r="CK207" i="4" a="1"/>
  <c r="BG133" i="4" a="1"/>
  <c r="CN133" i="4" a="1"/>
  <c r="I207" i="4" a="1"/>
  <c r="BF133" i="4" a="1"/>
  <c r="BX207" i="4" a="1"/>
  <c r="AD207" i="4" a="1"/>
  <c r="CK133" i="4" a="1"/>
  <c r="BZ7" i="4" a="1"/>
  <c r="AX207" i="4" a="1"/>
  <c r="V133" i="4" a="1"/>
  <c r="BN7" i="4" a="1"/>
  <c r="DJ7" i="4" a="1"/>
  <c r="CE207" i="4" a="1"/>
  <c r="AN207" i="4" a="1"/>
  <c r="DI7" i="4" a="1"/>
  <c r="CQ7" i="4" a="1"/>
  <c r="AD54" i="4" a="1"/>
  <c r="DM7" i="4" a="1"/>
  <c r="DF54" i="4" a="1"/>
  <c r="DW7" i="4" a="1"/>
  <c r="DO33" i="4" a="1"/>
  <c r="R207" i="4" a="1"/>
  <c r="O54" i="4" a="1"/>
  <c r="BU207" i="4" a="1"/>
  <c r="CD33" i="4" a="1"/>
  <c r="CU7" i="4" a="1"/>
  <c r="DC33" i="4" a="1"/>
  <c r="CZ7" i="4" a="1"/>
  <c r="BW207" i="4" a="1"/>
  <c r="K7" i="4" a="1"/>
  <c r="DE54" i="4" a="1"/>
  <c r="Q33" i="4" a="1"/>
  <c r="U33" i="4" a="1"/>
  <c r="T33" i="4" a="1"/>
  <c r="DO207" i="4" a="1"/>
  <c r="CU207" i="4" a="1"/>
  <c r="S207" i="4" a="1"/>
  <c r="BT207" i="4" a="1"/>
  <c r="DQ207" i="4" a="1"/>
  <c r="V33" i="4" a="1"/>
  <c r="BK33" i="4" a="1"/>
  <c r="R133" i="4" a="1"/>
  <c r="DC133" i="4" a="1"/>
  <c r="BL54" i="4" a="1"/>
  <c r="K33" i="4" a="1"/>
  <c r="CD54" i="4" a="1"/>
  <c r="DV54" i="4" a="1"/>
  <c r="AJ207" i="4" a="1"/>
  <c r="CI207" i="4" a="1"/>
  <c r="AT207" i="4" a="1"/>
  <c r="EF4" i="4" a="1"/>
  <c r="DI33" i="4" a="1"/>
  <c r="AX33" i="4" a="1"/>
  <c r="U133" i="4" a="1"/>
  <c r="AK207" i="4" a="1"/>
  <c r="AD33" i="4" a="1"/>
  <c r="M7" i="4" a="1"/>
  <c r="N54" i="4" a="1"/>
  <c r="CY7" i="4" a="1"/>
  <c r="CC33" i="4" a="1"/>
  <c r="BC7" i="4" a="1"/>
  <c r="CY207" i="4" a="1"/>
  <c r="AH133" i="4" a="1"/>
  <c r="DV207" i="4" a="1"/>
  <c r="CM207" i="4" a="1"/>
  <c r="CN54" i="4" a="1"/>
  <c r="DM133" i="4" a="1"/>
  <c r="CO207" i="4" a="1"/>
  <c r="BI207" i="4" a="1"/>
  <c r="DE207" i="4" a="1"/>
  <c r="O33" i="4" a="1"/>
  <c r="CR54" i="4" a="1"/>
  <c r="CL54" i="4" a="1"/>
  <c r="AM207" i="4" a="1"/>
  <c r="CW207" i="4" a="1"/>
  <c r="AS33" i="4" a="1"/>
  <c r="BF7" i="4" a="1"/>
  <c r="BV207" i="4" a="1"/>
  <c r="M133" i="4" a="1"/>
  <c r="CB207" i="4" a="1"/>
  <c r="CR133" i="4" a="1"/>
  <c r="DF33" i="4" a="1"/>
  <c r="CM33" i="4" a="1"/>
  <c r="AJ7" i="4" a="1"/>
  <c r="BD54" i="4" a="1"/>
  <c r="CW7" i="4" a="1"/>
  <c r="AV54" i="4" a="1"/>
  <c r="AE133" i="4" a="1"/>
  <c r="BK133" i="4" a="1"/>
  <c r="DW207" i="4" a="1"/>
  <c r="CH207" i="4" a="1"/>
  <c r="AC33" i="4" a="1"/>
  <c r="BH133" i="4" a="1"/>
  <c r="EM4" i="4" a="1"/>
  <c r="I133" i="4" a="1"/>
  <c r="AH207" i="4" a="1"/>
  <c r="U54" i="4" a="1"/>
  <c r="CT7" i="4" a="1"/>
  <c r="CX54" i="4" a="1"/>
  <c r="O133" i="4" a="1"/>
  <c r="BM207" i="4" a="1"/>
  <c r="DK54" i="4" a="1"/>
  <c r="DA207" i="4" a="1"/>
  <c r="BE54" i="4" a="1"/>
  <c r="AV7" i="4" a="1"/>
  <c r="AB54" i="4" a="1"/>
  <c r="CK33" i="4" a="1"/>
  <c r="DN207" i="4" a="1"/>
  <c r="BC33" i="4" a="1"/>
  <c r="CJ54" i="4" a="1"/>
  <c r="BD7" i="4" a="1"/>
  <c r="CW54" i="4" a="1"/>
  <c r="CR33" i="4" a="1"/>
  <c r="CA33" i="4" a="1"/>
  <c r="CB7" i="4" a="1"/>
  <c r="DP7" i="4" a="1"/>
  <c r="EJ4" i="4" a="1"/>
  <c r="DO7" i="4" a="1"/>
  <c r="BR207" i="4" a="1"/>
  <c r="H133" i="4" a="1"/>
  <c r="EE4" i="4" a="1"/>
  <c r="Y7" i="4" a="1"/>
  <c r="R33" i="4" a="1"/>
  <c r="R33" i="4" l="1"/>
  <c r="Y7" i="4"/>
  <c r="EE4" i="4"/>
  <c r="H133" i="4"/>
  <c r="BR207" i="4"/>
  <c r="DO7" i="4"/>
  <c r="EJ4" i="4"/>
  <c r="DP7" i="4"/>
  <c r="CB7" i="4"/>
  <c r="CA33" i="4"/>
  <c r="CR33" i="4"/>
  <c r="CW54" i="4"/>
  <c r="BD7" i="4"/>
  <c r="CJ54" i="4"/>
  <c r="BC33" i="4"/>
  <c r="DN207" i="4"/>
  <c r="CK33" i="4"/>
  <c r="AB54" i="4"/>
  <c r="AV7" i="4"/>
  <c r="BE54" i="4"/>
  <c r="DA207" i="4"/>
  <c r="DK54" i="4"/>
  <c r="BM207" i="4"/>
  <c r="O133" i="4"/>
  <c r="CX54" i="4"/>
  <c r="CT7" i="4"/>
  <c r="U54" i="4"/>
  <c r="AH207" i="4"/>
  <c r="I133" i="4"/>
  <c r="EM4" i="4"/>
  <c r="BH133" i="4"/>
  <c r="AC33" i="4"/>
  <c r="CH207" i="4"/>
  <c r="DW207" i="4"/>
  <c r="BK133" i="4"/>
  <c r="AE133" i="4"/>
  <c r="AV54" i="4"/>
  <c r="CW7" i="4"/>
  <c r="BD54" i="4"/>
  <c r="AJ7" i="4"/>
  <c r="CM33" i="4"/>
  <c r="DF33" i="4"/>
  <c r="CR133" i="4"/>
  <c r="CB207" i="4"/>
  <c r="M133" i="4"/>
  <c r="BV207" i="4"/>
  <c r="BF7" i="4"/>
  <c r="AS33" i="4"/>
  <c r="CW207" i="4"/>
  <c r="AM207" i="4"/>
  <c r="CL54" i="4"/>
  <c r="CR54" i="4"/>
  <c r="O33" i="4"/>
  <c r="DE207" i="4"/>
  <c r="BI207" i="4"/>
  <c r="CO207" i="4"/>
  <c r="DM133" i="4"/>
  <c r="CN54" i="4"/>
  <c r="CM207" i="4"/>
  <c r="DV207" i="4"/>
  <c r="AH133" i="4"/>
  <c r="CY207" i="4"/>
  <c r="BC7" i="4"/>
  <c r="CC33" i="4"/>
  <c r="CY7" i="4"/>
  <c r="N54" i="4"/>
  <c r="M7" i="4"/>
  <c r="AD33" i="4"/>
  <c r="AK207" i="4"/>
  <c r="U133" i="4"/>
  <c r="AX33" i="4"/>
  <c r="DI33" i="4"/>
  <c r="EF4" i="4"/>
  <c r="AT207" i="4"/>
  <c r="CI207" i="4"/>
  <c r="AJ207" i="4"/>
  <c r="DV54" i="4"/>
  <c r="CD54" i="4"/>
  <c r="K33" i="4"/>
  <c r="BL54" i="4"/>
  <c r="DC133" i="4"/>
  <c r="R133" i="4"/>
  <c r="BK33" i="4"/>
  <c r="V33" i="4"/>
  <c r="DQ207" i="4"/>
  <c r="BT207" i="4"/>
  <c r="S207" i="4"/>
  <c r="CU207" i="4"/>
  <c r="DO207" i="4"/>
  <c r="T33" i="4"/>
  <c r="U33" i="4"/>
  <c r="Q33" i="4"/>
  <c r="DE54" i="4"/>
  <c r="K7" i="4"/>
  <c r="BW207" i="4"/>
  <c r="CZ7" i="4"/>
  <c r="DC33" i="4"/>
  <c r="CU7" i="4"/>
  <c r="CD33" i="4"/>
  <c r="BU207" i="4"/>
  <c r="O54" i="4"/>
  <c r="R207" i="4"/>
  <c r="DO33" i="4"/>
  <c r="DW7" i="4"/>
  <c r="DF54" i="4"/>
  <c r="DM7" i="4"/>
  <c r="AD54" i="4"/>
  <c r="CQ7" i="4"/>
  <c r="DI7" i="4"/>
  <c r="AN207" i="4"/>
  <c r="CE207" i="4"/>
  <c r="DJ7" i="4"/>
  <c r="BN7" i="4"/>
  <c r="V133" i="4"/>
  <c r="AX207" i="4"/>
  <c r="BZ7" i="4"/>
  <c r="CK133" i="4"/>
  <c r="AD207" i="4"/>
  <c r="BX207" i="4"/>
  <c r="BF133" i="4"/>
  <c r="I207" i="4"/>
  <c r="CN133" i="4"/>
  <c r="BG133" i="4"/>
  <c r="CK207" i="4"/>
  <c r="DN54" i="4"/>
  <c r="DO133" i="4"/>
  <c r="BS207" i="4"/>
  <c r="DX133" i="4"/>
  <c r="BZ207" i="4"/>
  <c r="AI7" i="4"/>
  <c r="Y54" i="4"/>
  <c r="CZ54" i="4"/>
  <c r="K133" i="4"/>
  <c r="DR33" i="4"/>
  <c r="J33" i="4"/>
  <c r="AQ54" i="4"/>
  <c r="AP7" i="4"/>
  <c r="BX54" i="4"/>
  <c r="CG54" i="4"/>
  <c r="AB33" i="4"/>
  <c r="AT33" i="4"/>
  <c r="AG207" i="4"/>
  <c r="CM133" i="4"/>
  <c r="DD33" i="4"/>
  <c r="X54" i="4"/>
  <c r="AK33" i="4"/>
  <c r="M33" i="4"/>
  <c r="L33" i="4"/>
  <c r="BO33" i="4"/>
  <c r="BA207" i="4"/>
  <c r="DG33" i="4"/>
  <c r="AO33" i="4"/>
  <c r="DL7" i="4"/>
  <c r="BK7" i="4"/>
  <c r="T7" i="4"/>
  <c r="CO133" i="4"/>
  <c r="EK4" i="4"/>
  <c r="CH54" i="4"/>
  <c r="BW54" i="4"/>
  <c r="M54" i="4"/>
  <c r="CV7" i="4"/>
  <c r="AC207" i="4"/>
  <c r="AE33" i="4"/>
  <c r="P133" i="4"/>
  <c r="AK133" i="4"/>
  <c r="CX133" i="4"/>
  <c r="AY133" i="4"/>
  <c r="DU7" i="4"/>
  <c r="CA207" i="4"/>
  <c r="AA207" i="4"/>
  <c r="AO7" i="4"/>
  <c r="CQ207" i="4"/>
  <c r="CJ207" i="4"/>
  <c r="DY33" i="4"/>
  <c r="DH54" i="4"/>
  <c r="BV33" i="4"/>
  <c r="AH54" i="4"/>
  <c r="DD133" i="4"/>
  <c r="CB33" i="4"/>
  <c r="AD133" i="4"/>
  <c r="DC7" i="4"/>
  <c r="DE133" i="4"/>
  <c r="DX207" i="4"/>
  <c r="BF207" i="4"/>
  <c r="BT133" i="4"/>
  <c r="V54" i="4"/>
  <c r="DJ207" i="4"/>
  <c r="EC4" i="4"/>
  <c r="BG207" i="4"/>
  <c r="DE33" i="4"/>
  <c r="BJ133" i="4"/>
  <c r="DS33" i="4"/>
  <c r="DD54" i="4"/>
  <c r="CK54" i="4"/>
  <c r="DH7" i="4"/>
  <c r="AJ33" i="4"/>
  <c r="DR7" i="4"/>
  <c r="BN33" i="4"/>
  <c r="AJ54" i="4"/>
  <c r="DQ133" i="4"/>
  <c r="AE7" i="4"/>
  <c r="DG54" i="4"/>
  <c r="BL7" i="4"/>
  <c r="AK54" i="4"/>
  <c r="P7" i="4"/>
  <c r="CL133" i="4"/>
  <c r="R54" i="4"/>
  <c r="J133" i="4"/>
  <c r="DJ133" i="4"/>
  <c r="H7" i="4"/>
  <c r="DA133" i="4"/>
  <c r="DR54" i="4"/>
  <c r="DK133" i="4"/>
  <c r="AR207" i="4"/>
  <c r="CP207" i="4"/>
  <c r="DH207" i="4"/>
  <c r="AA33" i="4"/>
  <c r="AW207" i="4"/>
  <c r="DB207" i="4"/>
  <c r="CK7" i="4"/>
  <c r="AP54" i="4"/>
  <c r="T54" i="4"/>
  <c r="BR133" i="4"/>
  <c r="DQ7" i="4"/>
  <c r="S133" i="4"/>
  <c r="CN7" i="4"/>
  <c r="BU133" i="4"/>
  <c r="CE7" i="4"/>
  <c r="BM133" i="4"/>
  <c r="AQ133" i="4"/>
  <c r="L133" i="4"/>
  <c r="AA7" i="4"/>
  <c r="BD133" i="4"/>
  <c r="CC7" i="4"/>
  <c r="CP133" i="4"/>
  <c r="L7" i="4"/>
  <c r="DS133" i="4"/>
  <c r="CY133" i="4"/>
  <c r="BV7" i="4"/>
  <c r="AC133" i="4"/>
  <c r="BH7" i="4"/>
  <c r="CJ133" i="4"/>
  <c r="BL133" i="4"/>
  <c r="DQ33" i="4"/>
  <c r="CV207" i="4"/>
  <c r="AB133" i="4"/>
  <c r="DF207" i="4"/>
  <c r="W207" i="4"/>
  <c r="BB207" i="4"/>
  <c r="CH33" i="4"/>
  <c r="S7" i="4"/>
  <c r="AY33" i="4"/>
  <c r="U7" i="4"/>
  <c r="BH54" i="4"/>
  <c r="DE7" i="4"/>
  <c r="BW33" i="4"/>
  <c r="BX7" i="4"/>
  <c r="DA54" i="4"/>
  <c r="I33" i="4"/>
  <c r="AU33" i="4"/>
  <c r="AX7" i="4"/>
  <c r="W33" i="4"/>
  <c r="AG7" i="4"/>
  <c r="S33" i="4"/>
  <c r="DK7" i="4"/>
  <c r="DT133" i="4"/>
  <c r="BY33" i="4"/>
  <c r="X7" i="4"/>
  <c r="BV54" i="4"/>
  <c r="BI7" i="4"/>
  <c r="DP133" i="4"/>
  <c r="CT207" i="4"/>
  <c r="DM207" i="4"/>
  <c r="EL4" i="4"/>
  <c r="BY7" i="4"/>
  <c r="BW7" i="4"/>
  <c r="AK7" i="4"/>
  <c r="DY54" i="4"/>
  <c r="CQ54" i="4"/>
  <c r="T133" i="4"/>
  <c r="CY54" i="4"/>
  <c r="CS207" i="4"/>
  <c r="DB33" i="4"/>
  <c r="BD33" i="4"/>
  <c r="AM7" i="4"/>
  <c r="CJ7" i="4"/>
  <c r="CL207" i="4"/>
  <c r="BL207" i="4"/>
  <c r="BY133" i="4"/>
  <c r="N207" i="4"/>
  <c r="EN4" i="4"/>
  <c r="CI33" i="4"/>
  <c r="DJ33" i="4"/>
  <c r="DJ54" i="4"/>
  <c r="CE54" i="4"/>
  <c r="BJ33" i="4"/>
  <c r="CY33" i="4"/>
  <c r="S54" i="4"/>
  <c r="BQ207" i="4"/>
  <c r="H33" i="4"/>
  <c r="CZ33" i="4"/>
  <c r="DX54" i="4"/>
  <c r="BE33" i="4"/>
  <c r="CL33" i="4"/>
  <c r="AZ54" i="4"/>
  <c r="BL33" i="4"/>
  <c r="DU54" i="4"/>
  <c r="Z54" i="4"/>
  <c r="CO33" i="4"/>
  <c r="AV33" i="4"/>
  <c r="CO54" i="4"/>
  <c r="BK207" i="4"/>
  <c r="AP207" i="4"/>
  <c r="CQ33" i="4"/>
  <c r="CV54" i="4"/>
  <c r="AW54" i="4"/>
  <c r="BG33" i="4"/>
  <c r="AS207" i="4"/>
  <c r="EI4" i="4"/>
  <c r="DS54" i="4"/>
  <c r="AF7" i="4"/>
  <c r="BE207" i="4"/>
  <c r="DW54" i="4"/>
  <c r="DA33" i="4"/>
  <c r="BI33" i="4"/>
  <c r="CM54" i="4"/>
  <c r="X33" i="4"/>
  <c r="W133" i="4"/>
  <c r="CU33" i="4"/>
  <c r="M207" i="4"/>
  <c r="DH33" i="4"/>
  <c r="AN33" i="4"/>
  <c r="BM54" i="4"/>
  <c r="BP133" i="4"/>
  <c r="L54" i="4"/>
  <c r="DN133" i="4"/>
  <c r="DQ54" i="4"/>
  <c r="DN33" i="4"/>
  <c r="X133" i="4"/>
  <c r="AG54" i="4"/>
  <c r="CA133" i="4"/>
  <c r="BB54" i="4"/>
  <c r="AU54" i="4"/>
  <c r="BY207" i="4"/>
  <c r="AF33" i="4"/>
  <c r="Q207" i="4"/>
  <c r="O7" i="4"/>
  <c r="DT7" i="4"/>
  <c r="BO54" i="4"/>
  <c r="CB54" i="4"/>
  <c r="AP133" i="4"/>
  <c r="AH7" i="4"/>
  <c r="P54" i="4"/>
  <c r="DX7" i="4"/>
  <c r="AO54" i="4"/>
  <c r="DU33" i="4"/>
  <c r="N33" i="4"/>
  <c r="N7" i="4"/>
  <c r="DT33" i="4"/>
  <c r="BJ7" i="4"/>
  <c r="DW33" i="4"/>
  <c r="BE7" i="4"/>
  <c r="AI54" i="4"/>
  <c r="BF54" i="4"/>
  <c r="AY54" i="4"/>
  <c r="DM54" i="4"/>
  <c r="DA7" i="4"/>
  <c r="CP33" i="4"/>
  <c r="AP33" i="4"/>
  <c r="CU54" i="4"/>
  <c r="CG207" i="4"/>
  <c r="Z7" i="4"/>
  <c r="AM33" i="4"/>
  <c r="CE33" i="4"/>
  <c r="DS207" i="4"/>
  <c r="BB7" i="4"/>
  <c r="DY207" i="4"/>
  <c r="CZ207" i="4"/>
  <c r="AR54" i="4"/>
  <c r="CP7" i="4"/>
  <c r="DI207" i="4"/>
  <c r="AZ207" i="4"/>
  <c r="AD7" i="4"/>
  <c r="BF33" i="4"/>
  <c r="CT54" i="4"/>
  <c r="Q54" i="4"/>
  <c r="DI133" i="4"/>
  <c r="DP54" i="4"/>
  <c r="CE133" i="4"/>
  <c r="DF7" i="4"/>
  <c r="AO207" i="4"/>
  <c r="AB207" i="4"/>
  <c r="AQ207" i="4"/>
  <c r="BN133" i="4"/>
  <c r="DL207" i="4"/>
  <c r="CG7" i="4"/>
  <c r="AZ7" i="4"/>
  <c r="AV133" i="4"/>
  <c r="BX133" i="4"/>
  <c r="AV207" i="4"/>
  <c r="BQ133" i="4"/>
  <c r="AC7" i="4"/>
  <c r="BJ54" i="4"/>
  <c r="BK54" i="4"/>
  <c r="CF33" i="4"/>
  <c r="DB54" i="4"/>
  <c r="DX33" i="4"/>
  <c r="AU207" i="4"/>
  <c r="Y207" i="4"/>
  <c r="CP54" i="4"/>
  <c r="CI54" i="4"/>
  <c r="CV33" i="4"/>
  <c r="AJ133" i="4"/>
  <c r="U207" i="4"/>
  <c r="CA7" i="4"/>
  <c r="BH207" i="4"/>
  <c r="I54" i="4"/>
  <c r="AI133" i="4"/>
  <c r="AF207" i="4"/>
  <c r="BV133" i="4"/>
  <c r="DP207" i="4"/>
  <c r="CG133" i="4"/>
  <c r="DD207" i="4"/>
  <c r="AO133" i="4"/>
  <c r="DV7" i="4"/>
  <c r="AC54" i="4"/>
  <c r="DR207" i="4"/>
  <c r="DF133" i="4"/>
  <c r="EG4" i="4"/>
  <c r="AF133" i="4"/>
  <c r="DG207" i="4"/>
  <c r="DH133" i="4"/>
  <c r="DY7" i="4"/>
  <c r="AR33" i="4"/>
  <c r="DU133" i="4"/>
  <c r="CD207" i="4"/>
  <c r="Q133" i="4"/>
  <c r="BM7" i="4"/>
  <c r="DP33" i="4"/>
  <c r="CC207" i="4"/>
  <c r="Z207" i="4"/>
  <c r="BC133" i="4"/>
  <c r="CJ33" i="4"/>
  <c r="CS133" i="4"/>
  <c r="BG7" i="4"/>
  <c r="EH4" i="4"/>
  <c r="K207" i="4"/>
  <c r="CI133" i="4"/>
  <c r="AU133" i="4"/>
  <c r="J207" i="4"/>
  <c r="BE133" i="4"/>
  <c r="AE207" i="4"/>
  <c r="CS33" i="4"/>
  <c r="V207" i="4"/>
  <c r="W54" i="4"/>
  <c r="AT54" i="4"/>
  <c r="BI54" i="4"/>
  <c r="DC207" i="4"/>
  <c r="AL33" i="4"/>
  <c r="CF207" i="4"/>
  <c r="DO54" i="4"/>
  <c r="P207" i="4"/>
  <c r="AL54" i="4"/>
  <c r="AF54" i="4"/>
  <c r="AQ33" i="4"/>
  <c r="CN33" i="4"/>
  <c r="BN207" i="4"/>
  <c r="DV33" i="4"/>
  <c r="J54" i="4"/>
  <c r="BA33" i="4"/>
  <c r="AH33" i="4"/>
  <c r="AL207" i="4"/>
  <c r="EB4" i="4"/>
  <c r="T207" i="4"/>
  <c r="CQ133" i="4"/>
  <c r="AS54" i="4"/>
  <c r="CH133" i="4"/>
  <c r="CL7" i="4"/>
  <c r="BW133" i="4"/>
  <c r="CX7" i="4"/>
  <c r="AM133" i="4"/>
  <c r="Q7" i="4"/>
  <c r="CG33" i="4"/>
  <c r="AL133" i="4"/>
  <c r="BP207" i="4"/>
  <c r="CM7" i="4"/>
  <c r="DY133" i="4"/>
  <c r="DG7" i="4"/>
  <c r="AZ133" i="4"/>
  <c r="BN54" i="4"/>
  <c r="DL33" i="4"/>
  <c r="BI133" i="4"/>
  <c r="BA54" i="4"/>
  <c r="BX33" i="4"/>
  <c r="Z33" i="4"/>
  <c r="P33" i="4"/>
  <c r="CV133" i="4"/>
  <c r="DV133" i="4"/>
  <c r="BZ33" i="4"/>
  <c r="DB7" i="4"/>
  <c r="X207" i="4"/>
  <c r="AA54" i="4"/>
  <c r="CR207" i="4"/>
  <c r="EP4" i="4"/>
  <c r="AW33" i="4"/>
  <c r="DR133" i="4"/>
  <c r="AY207" i="4"/>
  <c r="AE54" i="4"/>
  <c r="L207" i="4"/>
  <c r="DT207" i="4"/>
  <c r="DS7" i="4"/>
  <c r="AQ7" i="4"/>
  <c r="BP7" i="4"/>
  <c r="AB7" i="4"/>
  <c r="CS7" i="4"/>
  <c r="AI33" i="4"/>
  <c r="BC54" i="4"/>
  <c r="ED4" i="4"/>
  <c r="BC207" i="4"/>
  <c r="AR133" i="4"/>
  <c r="CR7" i="4"/>
  <c r="R7" i="4"/>
  <c r="DK33" i="4"/>
  <c r="CX207" i="4"/>
  <c r="BA7" i="4"/>
  <c r="V7" i="4"/>
  <c r="CI7" i="4"/>
  <c r="H54" i="4"/>
  <c r="AX54" i="4"/>
  <c r="AS7" i="4"/>
  <c r="AG133" i="4"/>
  <c r="DN7" i="4"/>
  <c r="AN133" i="4"/>
  <c r="CH7" i="4"/>
  <c r="DC54" i="4"/>
  <c r="AW7" i="4"/>
  <c r="BB133" i="4"/>
  <c r="I7" i="4"/>
  <c r="N133" i="4"/>
  <c r="W7" i="4"/>
  <c r="CW133" i="4"/>
  <c r="AM54" i="4"/>
  <c r="CS54" i="4"/>
  <c r="BS133" i="4"/>
  <c r="CD7" i="4"/>
  <c r="CC133" i="4"/>
  <c r="CF54" i="4"/>
  <c r="DM33" i="4"/>
  <c r="DK207" i="4"/>
  <c r="BD207" i="4"/>
  <c r="CA54" i="4"/>
  <c r="CF7" i="4"/>
  <c r="BJ207" i="4"/>
  <c r="BZ133" i="4"/>
  <c r="BO207" i="4"/>
  <c r="AT7" i="4"/>
  <c r="DD7" i="4"/>
  <c r="BO7" i="4"/>
  <c r="AN7" i="4"/>
  <c r="AT133" i="4"/>
  <c r="CO7" i="4"/>
  <c r="DW133" i="4"/>
  <c r="CT33" i="4"/>
  <c r="DB133" i="4"/>
  <c r="AL7" i="4"/>
  <c r="DI54" i="4"/>
  <c r="AR7" i="4"/>
  <c r="CZ133" i="4"/>
  <c r="CW33" i="4"/>
  <c r="AX133" i="4"/>
  <c r="BY54" i="4"/>
  <c r="DG133" i="4"/>
  <c r="AY7" i="4"/>
  <c r="DT54" i="4"/>
  <c r="CD133" i="4"/>
  <c r="AU7" i="4"/>
  <c r="BB33" i="4"/>
  <c r="DL54" i="4"/>
  <c r="AZ33" i="4"/>
  <c r="K54" i="4"/>
  <c r="AW133" i="4"/>
  <c r="O207" i="4"/>
  <c r="CN207" i="4"/>
  <c r="Y33" i="4"/>
  <c r="J7" i="4"/>
  <c r="AI207" i="4"/>
  <c r="CC54" i="4"/>
  <c r="CB133" i="4"/>
  <c r="BH33" i="4"/>
  <c r="DL133" i="4"/>
  <c r="BG54" i="4"/>
  <c r="BO133" i="4"/>
  <c r="CT133" i="4"/>
  <c r="DU207" i="4"/>
  <c r="BZ54" i="4"/>
  <c r="AA133" i="4"/>
  <c r="AG33" i="4"/>
  <c r="AS133" i="4"/>
  <c r="CX33" i="4"/>
  <c r="Y133" i="4"/>
  <c r="CU133" i="4"/>
  <c r="BM33" i="4"/>
  <c r="Z133" i="4"/>
  <c r="AN54" i="4"/>
  <c r="BA133" i="4"/>
  <c r="CF133" i="4"/>
  <c r="BQ55" i="4"/>
  <c r="BT73" i="4"/>
  <c r="BP86" i="4"/>
  <c r="BQ73" i="4"/>
  <c r="BU43" i="4"/>
  <c r="BS86" i="4"/>
  <c r="BS73" i="4"/>
  <c r="BQ86" i="4"/>
  <c r="BT55" i="4"/>
  <c r="BR58" i="4"/>
  <c r="BS58" i="4"/>
  <c r="BP73" i="4"/>
  <c r="BP58" i="4"/>
  <c r="BT58" i="4"/>
  <c r="BP55" i="4"/>
  <c r="BU58" i="4"/>
  <c r="BT26" i="4"/>
  <c r="BS22" i="4"/>
  <c r="BQ58" i="4"/>
  <c r="BR86" i="4"/>
  <c r="BR73" i="4"/>
  <c r="BU86" i="4"/>
  <c r="BQ22" i="4"/>
  <c r="BR43" i="4"/>
  <c r="BS55" i="4"/>
  <c r="BR26" i="4"/>
  <c r="BS26" i="4"/>
  <c r="BR22" i="4"/>
  <c r="BU22" i="4"/>
  <c r="BS43" i="4"/>
  <c r="BT43" i="4"/>
  <c r="BU26" i="4"/>
  <c r="BT22" i="4"/>
  <c r="BQ26" i="4"/>
  <c r="BQ43" i="4"/>
  <c r="BR55" i="4"/>
  <c r="BP43" i="4"/>
  <c r="DA4" i="4" a="1"/>
  <c r="CH4" i="4" a="1"/>
  <c r="CW4" i="4" a="1"/>
  <c r="AK4" i="4" a="1"/>
  <c r="DQ4" i="4" a="1"/>
  <c r="DO4" i="4" a="1"/>
  <c r="I4" i="4" a="1"/>
  <c r="BZ4" i="4" a="1"/>
  <c r="CA4" i="4" a="1"/>
  <c r="CJ4" i="4" a="1"/>
  <c r="BG4" i="4" a="1"/>
  <c r="CV4" i="4" a="1"/>
  <c r="BB4" i="4" a="1"/>
  <c r="DM4" i="4" a="1"/>
  <c r="AP4" i="4" a="1"/>
  <c r="DY4" i="4" a="1"/>
  <c r="DI4" i="4" a="1"/>
  <c r="AQ4" i="4" a="1"/>
  <c r="Y4" i="4" a="1"/>
  <c r="DP4" i="4" a="1"/>
  <c r="Z4" i="4" a="1"/>
  <c r="X4" i="4" a="1"/>
  <c r="L4" i="4" a="1"/>
  <c r="DK4" i="4" a="1"/>
  <c r="BJ4" i="4" a="1"/>
  <c r="BT54" i="4" a="1"/>
  <c r="BT33" i="4" a="1"/>
  <c r="BU7" i="4" a="1"/>
  <c r="BQ7" i="4" a="1"/>
  <c r="BT7" i="4" a="1"/>
  <c r="DW4" i="4" a="1"/>
  <c r="BV4" i="4" a="1"/>
  <c r="AM4" i="4" a="1"/>
  <c r="DE4" i="4" a="1"/>
  <c r="CY4" i="4" a="1"/>
  <c r="AT4" i="4" a="1"/>
  <c r="R4" i="4" a="1"/>
  <c r="AN4" i="4" a="1"/>
  <c r="AD4" i="4" a="1"/>
  <c r="AG4" i="4" a="1"/>
  <c r="BA4" i="4" a="1"/>
  <c r="AC4" i="4" a="1"/>
  <c r="AA4" i="4" a="1"/>
  <c r="AR4" i="4" a="1"/>
  <c r="AW4" i="4" a="1"/>
  <c r="CS4" i="4" a="1"/>
  <c r="N4" i="4" a="1"/>
  <c r="AS4" i="4" a="1"/>
  <c r="BE4" i="4" a="1"/>
  <c r="M4" i="4" a="1"/>
  <c r="Q4" i="4" a="1"/>
  <c r="CZ4" i="4" a="1"/>
  <c r="AZ4" i="4" a="1"/>
  <c r="U4" i="4" a="1"/>
  <c r="J4" i="4" a="1"/>
  <c r="V4" i="4" a="1"/>
  <c r="DC4" i="4" a="1"/>
  <c r="P4" i="4" a="1"/>
  <c r="T4" i="4" a="1"/>
  <c r="DT4" i="4" a="1"/>
  <c r="BD4" i="4" a="1"/>
  <c r="O4" i="4" a="1"/>
  <c r="AI4" i="4" a="1"/>
  <c r="DU4" i="4" a="1"/>
  <c r="BR7" i="4" a="1"/>
  <c r="BS33" i="4" a="1"/>
  <c r="BU33" i="4" a="1"/>
  <c r="BQ33" i="4" a="1"/>
  <c r="BS54" i="4" a="1"/>
  <c r="BP33" i="4" a="1"/>
  <c r="BM4" i="4" a="1"/>
  <c r="BI4" i="4" a="1"/>
  <c r="CM4" i="4" a="1"/>
  <c r="CI4" i="4" a="1"/>
  <c r="S4" i="4" a="1"/>
  <c r="BW4" i="4" a="1"/>
  <c r="CE4" i="4" a="1"/>
  <c r="AX4" i="4" a="1"/>
  <c r="BX4" i="4" a="1"/>
  <c r="DX4" i="4" a="1"/>
  <c r="DJ4" i="4" a="1"/>
  <c r="CP4" i="4" a="1"/>
  <c r="DB4" i="4" a="1"/>
  <c r="DF4" i="4" a="1"/>
  <c r="CL4" i="4" a="1"/>
  <c r="CG4" i="4" a="1"/>
  <c r="DS4" i="4" a="1"/>
  <c r="AO4" i="4" a="1"/>
  <c r="DL4" i="4" a="1"/>
  <c r="AF4" i="4" a="1"/>
  <c r="DD4" i="4" a="1"/>
  <c r="DR4" i="4" a="1"/>
  <c r="DG4" i="4" a="1"/>
  <c r="K4" i="4" a="1"/>
  <c r="BN4" i="4" a="1"/>
  <c r="CR4" i="4" a="1"/>
  <c r="AY4" i="4" a="1"/>
  <c r="BC4" i="4" a="1"/>
  <c r="BO4" i="4" a="1"/>
  <c r="CN4" i="4" a="1"/>
  <c r="BS7" i="4" a="1"/>
  <c r="BQ54" i="4" a="1"/>
  <c r="BR54" i="4" a="1"/>
  <c r="BP54" i="4" a="1"/>
  <c r="BU54" i="4" a="1"/>
  <c r="BR33" i="4" a="1"/>
  <c r="H4" i="4" a="1"/>
  <c r="DN4" i="4" a="1"/>
  <c r="AH4" i="4" a="1"/>
  <c r="CB4" i="4" a="1"/>
  <c r="CO4" i="4" a="1"/>
  <c r="DV4" i="4" a="1"/>
  <c r="AJ4" i="4" a="1"/>
  <c r="CU4" i="4" a="1"/>
  <c r="CK4" i="4" a="1"/>
  <c r="CQ4" i="4" a="1"/>
  <c r="BF4" i="4" a="1"/>
  <c r="DH4" i="4" a="1"/>
  <c r="W4" i="4" a="1"/>
  <c r="CT4" i="4" a="1"/>
  <c r="BL4" i="4" a="1"/>
  <c r="BK4" i="4" a="1"/>
  <c r="BY4" i="4" a="1"/>
  <c r="AB4" i="4" a="1"/>
  <c r="AV4" i="4" a="1"/>
  <c r="AU4" i="4" a="1"/>
  <c r="BH4" i="4" a="1"/>
  <c r="CD4" i="4" a="1"/>
  <c r="CC4" i="4" a="1"/>
  <c r="AE4" i="4" a="1"/>
  <c r="CF4" i="4" a="1"/>
  <c r="AL4" i="4" a="1"/>
  <c r="CX4" i="4" a="1"/>
  <c r="CX4" i="4" l="1"/>
  <c r="AL4" i="4"/>
  <c r="CF4" i="4"/>
  <c r="AE4" i="4"/>
  <c r="CC4" i="4"/>
  <c r="CD4" i="4"/>
  <c r="BH4" i="4"/>
  <c r="AU4" i="4"/>
  <c r="AV4" i="4"/>
  <c r="AB4" i="4"/>
  <c r="BY4" i="4"/>
  <c r="BK4" i="4"/>
  <c r="BL4" i="4"/>
  <c r="CT4" i="4"/>
  <c r="W4" i="4"/>
  <c r="DH4" i="4"/>
  <c r="BF4" i="4"/>
  <c r="CQ4" i="4"/>
  <c r="CK4" i="4"/>
  <c r="CU4" i="4"/>
  <c r="AJ4" i="4"/>
  <c r="DV4" i="4"/>
  <c r="CO4" i="4"/>
  <c r="CB4" i="4"/>
  <c r="AH4" i="4"/>
  <c r="DN4" i="4"/>
  <c r="H4" i="4"/>
  <c r="CN4" i="4"/>
  <c r="BO4" i="4"/>
  <c r="BC4" i="4"/>
  <c r="AY4" i="4"/>
  <c r="CR4" i="4"/>
  <c r="BN4" i="4"/>
  <c r="K4" i="4"/>
  <c r="DG4" i="4"/>
  <c r="DR4" i="4"/>
  <c r="DD4" i="4"/>
  <c r="AF4" i="4"/>
  <c r="DL4" i="4"/>
  <c r="AO4" i="4"/>
  <c r="DS4" i="4"/>
  <c r="CG4" i="4"/>
  <c r="CL4" i="4"/>
  <c r="DF4" i="4"/>
  <c r="DB4" i="4"/>
  <c r="CP4" i="4"/>
  <c r="DJ4" i="4"/>
  <c r="DX4" i="4"/>
  <c r="BX4" i="4"/>
  <c r="AX4" i="4"/>
  <c r="CE4" i="4"/>
  <c r="BW4" i="4"/>
  <c r="S4" i="4"/>
  <c r="CI4" i="4"/>
  <c r="CM4" i="4"/>
  <c r="BI4" i="4"/>
  <c r="BM4" i="4"/>
  <c r="DU4" i="4"/>
  <c r="AI4" i="4"/>
  <c r="O4" i="4"/>
  <c r="BD4" i="4"/>
  <c r="DT4" i="4"/>
  <c r="T4" i="4"/>
  <c r="P4" i="4"/>
  <c r="DC4" i="4"/>
  <c r="V4" i="4"/>
  <c r="J4" i="4"/>
  <c r="U4" i="4"/>
  <c r="AZ4" i="4"/>
  <c r="CZ4" i="4"/>
  <c r="Q4" i="4"/>
  <c r="M4" i="4"/>
  <c r="BE4" i="4"/>
  <c r="AS4" i="4"/>
  <c r="N4" i="4"/>
  <c r="CS4" i="4"/>
  <c r="AW4" i="4"/>
  <c r="AR4" i="4"/>
  <c r="AA4" i="4"/>
  <c r="AC4" i="4"/>
  <c r="BA4" i="4"/>
  <c r="AG4" i="4"/>
  <c r="AD4" i="4"/>
  <c r="AN4" i="4"/>
  <c r="R4" i="4"/>
  <c r="AT4" i="4"/>
  <c r="CY4" i="4"/>
  <c r="DE4" i="4"/>
  <c r="AM4" i="4"/>
  <c r="BV4" i="4"/>
  <c r="DW4" i="4"/>
  <c r="BJ4" i="4"/>
  <c r="DK4" i="4"/>
  <c r="L4" i="4"/>
  <c r="X4" i="4"/>
  <c r="Z4" i="4"/>
  <c r="DP4" i="4"/>
  <c r="Y4" i="4"/>
  <c r="AQ4" i="4"/>
  <c r="DI4" i="4"/>
  <c r="DY4" i="4"/>
  <c r="AP4" i="4"/>
  <c r="DM4" i="4"/>
  <c r="BB4" i="4"/>
  <c r="CV4" i="4"/>
  <c r="BG4" i="4"/>
  <c r="CJ4" i="4"/>
  <c r="CA4" i="4"/>
  <c r="BZ4" i="4"/>
  <c r="I4" i="4"/>
  <c r="DO4" i="4"/>
  <c r="DQ4" i="4"/>
  <c r="AK4" i="4"/>
  <c r="CW4" i="4"/>
  <c r="CH4" i="4"/>
  <c r="DA4" i="4"/>
  <c r="BR33" i="4"/>
  <c r="BQ33" i="4"/>
  <c r="BS33" i="4"/>
  <c r="BQ7" i="4"/>
  <c r="BU54" i="4"/>
  <c r="BU7" i="4"/>
  <c r="BR54" i="4"/>
  <c r="BQ54" i="4"/>
  <c r="BS54" i="4"/>
  <c r="BT33" i="4"/>
  <c r="BT7" i="4"/>
  <c r="BP54" i="4"/>
  <c r="BR7" i="4"/>
  <c r="BT54" i="4"/>
  <c r="BU33" i="4"/>
  <c r="BS7" i="4"/>
  <c r="BP33" i="4"/>
  <c r="F265" i="4"/>
  <c r="F264" i="4" s="1"/>
  <c r="F22" i="4"/>
  <c r="D5" i="3" s="1"/>
  <c r="F34" i="4"/>
  <c r="BS4" i="4" a="1"/>
  <c r="BR4" i="4" a="1"/>
  <c r="BP4" i="4" a="1"/>
  <c r="BQ4" i="4" a="1"/>
  <c r="BU4" i="4" a="1"/>
  <c r="BT4" i="4" a="1"/>
  <c r="BP4" i="4" l="1"/>
  <c r="BQ4" i="4"/>
  <c r="BT4" i="4"/>
  <c r="BS4" i="4"/>
  <c r="BR4" i="4"/>
  <c r="BU4" i="4"/>
  <c r="D3" i="3"/>
  <c r="D30" i="3"/>
  <c r="D31" i="3" s="1"/>
  <c r="AA3" i="4"/>
  <c r="Z3" i="4"/>
  <c r="C21" i="3"/>
  <c r="C22" i="3"/>
  <c r="C16" i="3"/>
  <c r="C17" i="3"/>
  <c r="C23" i="3"/>
  <c r="C19" i="3"/>
  <c r="C8" i="3"/>
  <c r="C9" i="3"/>
  <c r="C11" i="3"/>
  <c r="C12" i="3"/>
  <c r="C13" i="3"/>
  <c r="C14" i="3"/>
  <c r="C3" i="3"/>
  <c r="C4" i="3"/>
  <c r="C5" i="3"/>
  <c r="C6" i="3"/>
  <c r="D16" i="3"/>
  <c r="H3" i="4"/>
  <c r="G4" i="4" l="1"/>
  <c r="D8" i="6"/>
  <c r="H5" i="4"/>
  <c r="X3" i="4"/>
  <c r="Y3" i="4"/>
  <c r="W3" i="4" l="1"/>
  <c r="F43" i="4" l="1"/>
  <c r="DK3" i="4"/>
  <c r="DL3" i="4"/>
  <c r="DM3" i="4"/>
  <c r="DN3" i="4"/>
  <c r="DO3" i="4"/>
  <c r="DJ3" i="4"/>
  <c r="DE3" i="4"/>
  <c r="DF3" i="4"/>
  <c r="DG3" i="4"/>
  <c r="DH3" i="4"/>
  <c r="DI3" i="4"/>
  <c r="DD3" i="4"/>
  <c r="CY3" i="4"/>
  <c r="CZ3" i="4"/>
  <c r="DA3" i="4"/>
  <c r="DB3" i="4"/>
  <c r="DC3" i="4"/>
  <c r="CX3" i="4"/>
  <c r="CR3" i="4"/>
  <c r="CS3" i="4"/>
  <c r="CT3" i="4"/>
  <c r="CU3" i="4"/>
  <c r="CV3" i="4"/>
  <c r="CW3" i="4"/>
  <c r="CQ3" i="4"/>
  <c r="C4" i="6"/>
  <c r="C5" i="6"/>
  <c r="C6" i="6"/>
  <c r="C7" i="6"/>
  <c r="E2" i="6"/>
  <c r="D2" i="6"/>
  <c r="F134" i="4"/>
  <c r="CK3" i="4"/>
  <c r="CL3" i="4"/>
  <c r="CM3" i="4"/>
  <c r="CN3" i="4"/>
  <c r="CO3" i="4"/>
  <c r="CP3" i="4"/>
  <c r="CJ3" i="4"/>
  <c r="CD3" i="4"/>
  <c r="CE3" i="4"/>
  <c r="CF3" i="4"/>
  <c r="CG3" i="4"/>
  <c r="CH3" i="4"/>
  <c r="CI3" i="4"/>
  <c r="CC3" i="4"/>
  <c r="BO3" i="4"/>
  <c r="BW3" i="4"/>
  <c r="BX3" i="4"/>
  <c r="BY3" i="4"/>
  <c r="BZ3" i="4"/>
  <c r="CA3" i="4"/>
  <c r="CB3" i="4"/>
  <c r="BI3" i="4"/>
  <c r="BJ3" i="4"/>
  <c r="BK3" i="4"/>
  <c r="BL3" i="4"/>
  <c r="BM3" i="4"/>
  <c r="BN3" i="4"/>
  <c r="BH3" i="4"/>
  <c r="BB3" i="4"/>
  <c r="BC3" i="4"/>
  <c r="BD3" i="4"/>
  <c r="BE3" i="4"/>
  <c r="BF3" i="4"/>
  <c r="BG3" i="4"/>
  <c r="BA3" i="4"/>
  <c r="AU3" i="4"/>
  <c r="AV3" i="4"/>
  <c r="AW3" i="4"/>
  <c r="AX3" i="4"/>
  <c r="AY3" i="4"/>
  <c r="AZ3" i="4"/>
  <c r="AT3" i="4"/>
  <c r="AN3" i="4"/>
  <c r="AO3" i="4"/>
  <c r="AP3" i="4"/>
  <c r="AQ3" i="4"/>
  <c r="AR3" i="4"/>
  <c r="AS3" i="4"/>
  <c r="AM3" i="4"/>
  <c r="S3" i="4"/>
  <c r="T3" i="4"/>
  <c r="U3" i="4"/>
  <c r="U5" i="4" s="1"/>
  <c r="V3" i="4"/>
  <c r="R3" i="4"/>
  <c r="AH3" i="4"/>
  <c r="AI3" i="4"/>
  <c r="AJ3" i="4"/>
  <c r="AK3" i="4"/>
  <c r="AL3" i="4"/>
  <c r="AG3" i="4"/>
  <c r="AC3" i="4"/>
  <c r="AD3" i="4"/>
  <c r="AE3" i="4"/>
  <c r="AF3" i="4"/>
  <c r="AB3" i="4"/>
  <c r="O3" i="4"/>
  <c r="P3" i="4"/>
  <c r="Q3" i="4"/>
  <c r="N3" i="4"/>
  <c r="I3" i="4"/>
  <c r="J3" i="4"/>
  <c r="K3" i="4"/>
  <c r="L3" i="4"/>
  <c r="M3" i="4"/>
  <c r="DQ3" i="4"/>
  <c r="DR3" i="4"/>
  <c r="DS3" i="4"/>
  <c r="DT3" i="4"/>
  <c r="DP3" i="4"/>
  <c r="G233" i="4" l="1"/>
  <c r="G267" i="4"/>
  <c r="G275" i="4"/>
  <c r="G262" i="4"/>
  <c r="G266" i="4"/>
  <c r="G268" i="4"/>
  <c r="G276" i="4"/>
  <c r="G209" i="4"/>
  <c r="G269" i="4"/>
  <c r="G277" i="4"/>
  <c r="G222" i="4"/>
  <c r="G247" i="4"/>
  <c r="G270" i="4"/>
  <c r="G259" i="4"/>
  <c r="G197" i="4"/>
  <c r="G271" i="4"/>
  <c r="G258" i="4"/>
  <c r="G206" i="4"/>
  <c r="G200" i="4"/>
  <c r="G272" i="4"/>
  <c r="G261" i="4"/>
  <c r="G257" i="4"/>
  <c r="G273" i="4"/>
  <c r="G260" i="4"/>
  <c r="G204" i="4"/>
  <c r="G234" i="4"/>
  <c r="G274" i="4"/>
  <c r="G263" i="4"/>
  <c r="G70" i="4"/>
  <c r="G71" i="4"/>
  <c r="G78" i="4"/>
  <c r="G117" i="4"/>
  <c r="G29" i="4"/>
  <c r="G66" i="4"/>
  <c r="G45" i="4"/>
  <c r="G122" i="4"/>
  <c r="G88" i="4"/>
  <c r="G80" i="4"/>
  <c r="G244" i="4"/>
  <c r="G48" i="4"/>
  <c r="G49" i="4"/>
  <c r="G62" i="4"/>
  <c r="G19" i="4"/>
  <c r="G30" i="4"/>
  <c r="G42" i="4"/>
  <c r="G100" i="4"/>
  <c r="G178" i="4"/>
  <c r="G131" i="4"/>
  <c r="G223" i="4"/>
  <c r="G11" i="4"/>
  <c r="G36" i="4"/>
  <c r="G72" i="4"/>
  <c r="G239" i="4"/>
  <c r="G248" i="4"/>
  <c r="G20" i="4"/>
  <c r="G31" i="4"/>
  <c r="G84" i="4"/>
  <c r="G110" i="4"/>
  <c r="G17" i="4"/>
  <c r="G212" i="4"/>
  <c r="G235" i="4"/>
  <c r="G12" i="4"/>
  <c r="G50" i="4"/>
  <c r="G228" i="4"/>
  <c r="G240" i="4"/>
  <c r="G249" i="4"/>
  <c r="G21" i="4"/>
  <c r="G68" i="4"/>
  <c r="G194" i="4"/>
  <c r="G59" i="4"/>
  <c r="G74" i="4"/>
  <c r="G224" i="4"/>
  <c r="G236" i="4"/>
  <c r="G37" i="4"/>
  <c r="G135" i="4"/>
  <c r="G229" i="4"/>
  <c r="G241" i="4"/>
  <c r="G250" i="4"/>
  <c r="G106" i="4"/>
  <c r="G40" i="4"/>
  <c r="G205" i="4"/>
  <c r="G39" i="4"/>
  <c r="G213" i="4"/>
  <c r="G225" i="4"/>
  <c r="G23" i="4"/>
  <c r="G218" i="4"/>
  <c r="G230" i="4"/>
  <c r="G242" i="4"/>
  <c r="G14" i="4"/>
  <c r="G143" i="4"/>
  <c r="G92" i="4"/>
  <c r="G25" i="4"/>
  <c r="G127" i="4"/>
  <c r="G214" i="4"/>
  <c r="G13" i="4"/>
  <c r="G198" i="4"/>
  <c r="G210" i="4"/>
  <c r="G173" i="4"/>
  <c r="G18" i="4"/>
  <c r="G211" i="4"/>
  <c r="G139" i="4"/>
  <c r="G237" i="4"/>
  <c r="G56" i="4"/>
  <c r="G164" i="4"/>
  <c r="G85" i="4"/>
  <c r="G201" i="4"/>
  <c r="G24" i="4"/>
  <c r="G169" i="4"/>
  <c r="G192" i="4"/>
  <c r="G9" i="4"/>
  <c r="G93" i="4"/>
  <c r="G186" i="4"/>
  <c r="G215" i="4"/>
  <c r="G191" i="4"/>
  <c r="G87" i="4"/>
  <c r="G118" i="4"/>
  <c r="G195" i="4"/>
  <c r="G165" i="4"/>
  <c r="G203" i="4"/>
  <c r="G138" i="4"/>
  <c r="G157" i="4"/>
  <c r="G170" i="4"/>
  <c r="G181" i="4"/>
  <c r="G41" i="4"/>
  <c r="G189" i="4"/>
  <c r="G184" i="4"/>
  <c r="G46" i="4"/>
  <c r="G174" i="4"/>
  <c r="G175" i="4"/>
  <c r="G187" i="4"/>
  <c r="G115" i="4"/>
  <c r="G144" i="4"/>
  <c r="G180" i="4"/>
  <c r="G159" i="4"/>
  <c r="G16" i="4"/>
  <c r="G136" i="4"/>
  <c r="G63" i="4"/>
  <c r="G148" i="4"/>
  <c r="G152" i="4"/>
  <c r="G153" i="4"/>
  <c r="G166" i="4"/>
  <c r="G60" i="4"/>
  <c r="G119" i="4"/>
  <c r="G158" i="4"/>
  <c r="G146" i="4"/>
  <c r="G246" i="4"/>
  <c r="G51" i="4"/>
  <c r="G10" i="4"/>
  <c r="G28" i="4"/>
  <c r="G162" i="4"/>
  <c r="G140" i="4"/>
  <c r="G176" i="4"/>
  <c r="G35" i="4"/>
  <c r="G111" i="4"/>
  <c r="G145" i="4"/>
  <c r="G129" i="4"/>
  <c r="G199" i="4"/>
  <c r="G27" i="4"/>
  <c r="G105" i="4"/>
  <c r="G216" i="4"/>
  <c r="G149" i="4"/>
  <c r="G150" i="4"/>
  <c r="G154" i="4"/>
  <c r="G107" i="4"/>
  <c r="G128" i="4"/>
  <c r="G121" i="4"/>
  <c r="G183" i="4"/>
  <c r="G79" i="4"/>
  <c r="G47" i="4"/>
  <c r="G132" i="4"/>
  <c r="G125" i="4"/>
  <c r="G141" i="4"/>
  <c r="G188" i="4"/>
  <c r="G94" i="4"/>
  <c r="G120" i="4"/>
  <c r="G99" i="4"/>
  <c r="G193" i="4"/>
  <c r="G243" i="4"/>
  <c r="G238" i="4"/>
  <c r="G124" i="4"/>
  <c r="G103" i="4"/>
  <c r="G116" i="4"/>
  <c r="G167" i="4"/>
  <c r="G81" i="4"/>
  <c r="G112" i="4"/>
  <c r="G109" i="4"/>
  <c r="G172" i="4"/>
  <c r="G156" i="4"/>
  <c r="G102" i="4"/>
  <c r="G90" i="4"/>
  <c r="G114" i="4"/>
  <c r="G177" i="4"/>
  <c r="G65" i="4"/>
  <c r="G108" i="4"/>
  <c r="G96" i="4"/>
  <c r="G160" i="4"/>
  <c r="G69" i="4"/>
  <c r="G75" i="4"/>
  <c r="G89" i="4"/>
  <c r="G77" i="4"/>
  <c r="G104" i="4"/>
  <c r="G155" i="4"/>
  <c r="G57" i="4"/>
  <c r="G95" i="4"/>
  <c r="G83" i="4"/>
  <c r="G147" i="4"/>
  <c r="G52" i="4"/>
  <c r="G64" i="4"/>
  <c r="G76" i="4"/>
  <c r="G61" i="4"/>
  <c r="G91" i="4"/>
  <c r="G142" i="4"/>
  <c r="G53" i="4"/>
  <c r="G82" i="4"/>
  <c r="G67" i="4"/>
  <c r="G130" i="4"/>
  <c r="G227" i="4"/>
  <c r="G161" i="4"/>
  <c r="G190" i="4"/>
  <c r="G182" i="4"/>
  <c r="G123" i="4"/>
  <c r="G151" i="4"/>
  <c r="G202" i="4"/>
  <c r="G226" i="4"/>
  <c r="G44" i="4"/>
  <c r="G98" i="4"/>
  <c r="G101" i="4"/>
  <c r="G185" i="4"/>
  <c r="G217" i="4"/>
  <c r="G179" i="4"/>
  <c r="G171" i="4"/>
  <c r="G32" i="4"/>
  <c r="G168" i="4"/>
  <c r="G253" i="4"/>
  <c r="E16" i="3"/>
  <c r="G255" i="4"/>
  <c r="G231" i="4"/>
  <c r="G221" i="4"/>
  <c r="G252" i="4"/>
  <c r="G254" i="4"/>
  <c r="G251" i="4"/>
  <c r="F196" i="4"/>
  <c r="F208" i="4"/>
  <c r="D24" i="3" s="1"/>
  <c r="F126" i="4"/>
  <c r="F256" i="4"/>
  <c r="F137" i="4"/>
  <c r="D20" i="3" s="1"/>
  <c r="D9" i="3"/>
  <c r="F38" i="4"/>
  <c r="D4" i="3"/>
  <c r="F26" i="4"/>
  <c r="F86" i="4"/>
  <c r="F55" i="4"/>
  <c r="D11" i="3" s="1"/>
  <c r="F73" i="4"/>
  <c r="D13" i="3" s="1"/>
  <c r="F58" i="4"/>
  <c r="D12" i="3" s="1"/>
  <c r="F33" i="4" a="1"/>
  <c r="F7" i="4" a="1"/>
  <c r="G8" i="4" l="1"/>
  <c r="G220" i="4"/>
  <c r="E25" i="3" s="1"/>
  <c r="G245" i="4"/>
  <c r="G232" i="4"/>
  <c r="F33" i="4"/>
  <c r="F7" i="4"/>
  <c r="G265" i="4"/>
  <c r="G264" i="4" s="1"/>
  <c r="D6" i="3"/>
  <c r="D7" i="3" s="1"/>
  <c r="G196" i="4"/>
  <c r="G113" i="4"/>
  <c r="G126" i="4"/>
  <c r="G208" i="4"/>
  <c r="E24" i="3" s="1"/>
  <c r="G15" i="4"/>
  <c r="G256" i="4"/>
  <c r="G134" i="4"/>
  <c r="G137" i="4"/>
  <c r="E20" i="3" s="1"/>
  <c r="D19" i="3"/>
  <c r="D14" i="3"/>
  <c r="G22" i="4"/>
  <c r="E5" i="3" s="1"/>
  <c r="G34" i="4"/>
  <c r="G43" i="4"/>
  <c r="G26" i="4"/>
  <c r="G86" i="4"/>
  <c r="G55" i="4"/>
  <c r="E11" i="3" s="1"/>
  <c r="G58" i="4"/>
  <c r="E12" i="3" s="1"/>
  <c r="G73" i="4"/>
  <c r="E13" i="3" s="1"/>
  <c r="G7" i="4" a="1"/>
  <c r="G219" i="4" a="1"/>
  <c r="G219" i="4" l="1"/>
  <c r="E27" i="3"/>
  <c r="E26" i="3"/>
  <c r="G7" i="4"/>
  <c r="E3" i="3"/>
  <c r="E4" i="3"/>
  <c r="E30" i="3"/>
  <c r="E31" i="3" s="1"/>
  <c r="E8" i="6" s="1"/>
  <c r="E9" i="3"/>
  <c r="E14" i="3"/>
  <c r="G38" i="4"/>
  <c r="E6" i="3"/>
  <c r="E19" i="3"/>
  <c r="G207" i="4" a="1"/>
  <c r="G33" i="4" a="1"/>
  <c r="G207" i="4" l="1"/>
  <c r="G33" i="4"/>
  <c r="F163" i="4"/>
  <c r="G163" i="4"/>
  <c r="G133" i="4" a="1"/>
  <c r="F133" i="4" a="1"/>
  <c r="F133" i="4" l="1"/>
  <c r="G133" i="4"/>
  <c r="D17" i="3"/>
  <c r="E17" i="3"/>
  <c r="F97" i="4"/>
  <c r="G97" i="4"/>
  <c r="F54" i="4" a="1"/>
  <c r="G54" i="4" a="1"/>
  <c r="F54" i="4" l="1"/>
  <c r="G54" i="4"/>
  <c r="E15" i="3"/>
  <c r="E18" i="3" s="1"/>
  <c r="E5" i="6" s="1"/>
  <c r="D15" i="3"/>
  <c r="D18" i="3" s="1"/>
  <c r="H13" i="3"/>
  <c r="I20" i="3"/>
  <c r="H9" i="3"/>
  <c r="H4" i="3"/>
  <c r="H14" i="3"/>
  <c r="H6" i="3"/>
  <c r="H23" i="3"/>
  <c r="H11" i="3"/>
  <c r="H17" i="3"/>
  <c r="H12" i="3"/>
  <c r="H16" i="3" l="1"/>
  <c r="H20" i="3"/>
  <c r="H5" i="3" l="1"/>
  <c r="I15" i="3" l="1"/>
  <c r="H8" i="3" l="1"/>
  <c r="H15" i="3" l="1"/>
  <c r="I8" i="6" l="1"/>
  <c r="D8" i="3" l="1"/>
  <c r="D10" i="3" s="1"/>
  <c r="E8" i="3" l="1"/>
  <c r="E10" i="3" s="1"/>
  <c r="E4" i="6" s="1"/>
  <c r="H3" i="3" l="1"/>
  <c r="I10" i="3" l="1"/>
  <c r="H10" i="3"/>
  <c r="E21" i="3" l="1"/>
  <c r="H21" i="3" l="1"/>
  <c r="H29" i="3"/>
  <c r="I29" i="3" l="1"/>
  <c r="H22" i="3"/>
  <c r="D5" i="6"/>
  <c r="I5" i="6"/>
  <c r="H5" i="6"/>
  <c r="I6" i="6"/>
  <c r="H3" i="6"/>
  <c r="G3" i="6"/>
  <c r="I3" i="6"/>
  <c r="I7" i="6"/>
  <c r="G5" i="6"/>
  <c r="G10" i="6"/>
  <c r="H9" i="6"/>
  <c r="I9" i="6"/>
  <c r="I4" i="6"/>
  <c r="G4" i="6"/>
  <c r="H4" i="6"/>
  <c r="D22" i="3" l="1"/>
  <c r="D28" i="3"/>
  <c r="D29" i="3" s="1"/>
  <c r="E28" i="3"/>
  <c r="E29" i="3" s="1"/>
  <c r="E7" i="6" s="1"/>
  <c r="E22" i="3" l="1"/>
  <c r="E23" i="3" s="1"/>
  <c r="AA5" i="4" l="1"/>
  <c r="CH5" i="4" l="1"/>
  <c r="N5" i="4" l="1"/>
  <c r="CL5" i="4" l="1"/>
  <c r="DE5" i="4" l="1"/>
  <c r="BP5" i="4" l="1"/>
  <c r="CQ5" i="4" l="1"/>
  <c r="AS5" i="4" l="1"/>
  <c r="DH5" i="4" l="1"/>
  <c r="AY5" i="4" l="1"/>
  <c r="DL5" i="4" l="1"/>
  <c r="EL5" i="4" l="1"/>
  <c r="BF5" i="4" l="1"/>
  <c r="CU5" i="4" l="1"/>
  <c r="DY5" i="4" l="1"/>
  <c r="S5" i="4" l="1"/>
  <c r="CC5" i="4" l="1"/>
  <c r="AO5" i="4" l="1"/>
  <c r="BU5" i="4" l="1"/>
  <c r="Y5" i="4" l="1"/>
  <c r="DD5" i="4" l="1"/>
  <c r="BT5" i="4" l="1"/>
  <c r="Z5" i="4" l="1"/>
  <c r="CM5" i="4" l="1"/>
  <c r="CO5" i="4" l="1"/>
  <c r="AB5" i="4" l="1"/>
  <c r="AX5" i="4" l="1"/>
  <c r="CF5" i="4" l="1"/>
  <c r="AC5" i="4" l="1"/>
  <c r="CT5" i="4" l="1"/>
  <c r="AW5" i="4" l="1"/>
  <c r="BB5" i="4" l="1"/>
  <c r="DJ5" i="4" l="1"/>
  <c r="X5" i="4" l="1"/>
  <c r="BW5" i="4" l="1"/>
  <c r="DX5" i="4" l="1"/>
  <c r="P5" i="4" l="1"/>
  <c r="AF5" i="4" l="1"/>
  <c r="EM5" i="4" l="1"/>
  <c r="DA5" i="4" l="1"/>
  <c r="DP5" i="4" l="1"/>
  <c r="BH5" i="4" l="1"/>
  <c r="AJ5" i="4" l="1"/>
  <c r="DB5" i="4" l="1"/>
  <c r="AT5" i="4" l="1"/>
  <c r="CJ5" i="4" l="1"/>
  <c r="EH5" i="4" l="1"/>
  <c r="BI5" i="4" l="1"/>
  <c r="CY5" i="4" l="1"/>
  <c r="BD5" i="4" l="1"/>
  <c r="DF5" i="4" l="1"/>
  <c r="BE5" i="4" l="1"/>
  <c r="CD5" i="4" l="1"/>
  <c r="AR5" i="4" l="1"/>
  <c r="EO5" i="4" l="1"/>
  <c r="EN5" i="4"/>
  <c r="AK5" i="4" l="1"/>
  <c r="EI5" i="4" l="1"/>
  <c r="BN5" i="4" l="1"/>
  <c r="CK5" i="4" l="1"/>
  <c r="BY5" i="4" l="1"/>
  <c r="CA5" i="4" l="1"/>
  <c r="CI5" i="4" l="1"/>
  <c r="BM5" i="4" l="1"/>
  <c r="BO5" i="4" l="1"/>
  <c r="M5" i="4" l="1"/>
  <c r="CW5" i="4" l="1"/>
  <c r="BL5" i="4" l="1"/>
  <c r="DO5" i="4" l="1"/>
  <c r="DS5" i="4" l="1"/>
  <c r="I5" i="4" l="1"/>
  <c r="DV5" i="4" l="1"/>
  <c r="DC5" i="4" l="1"/>
  <c r="BG5" i="4" l="1"/>
  <c r="DT5" i="4" l="1"/>
  <c r="BQ5" i="4" l="1"/>
  <c r="BS5" i="4" l="1"/>
  <c r="DQ5" i="4" l="1"/>
  <c r="AM5" i="4" l="1"/>
  <c r="O5" i="4" l="1"/>
  <c r="AL5" i="4" l="1"/>
  <c r="BA5" i="4" l="1"/>
  <c r="CN5" i="4" l="1"/>
  <c r="DM5" i="4" l="1"/>
  <c r="CV5" i="4" l="1"/>
  <c r="AE5" i="4" l="1"/>
  <c r="AQ5" i="4" l="1"/>
  <c r="V5" i="4" l="1"/>
  <c r="CP5" i="4" l="1"/>
  <c r="CB5" i="4" l="1"/>
  <c r="W5" i="4" l="1"/>
  <c r="AV5" i="4" l="1"/>
  <c r="Q5" i="4" l="1"/>
  <c r="BR5" i="4" l="1"/>
  <c r="L5" i="4" l="1"/>
  <c r="BZ5" i="4" l="1"/>
  <c r="CR5" i="4" l="1"/>
  <c r="R5" i="4" l="1"/>
  <c r="BV5" i="4" l="1"/>
  <c r="DR5" i="4" l="1"/>
  <c r="BK5" i="4" l="1"/>
  <c r="DK5" i="4" l="1"/>
  <c r="AU5" i="4" l="1"/>
  <c r="DN5" i="4" l="1"/>
  <c r="CG5" i="4" l="1"/>
  <c r="AP5" i="4" l="1"/>
  <c r="EJ5" i="4" l="1"/>
  <c r="AZ5" i="4" l="1"/>
  <c r="CZ5" i="4" l="1"/>
  <c r="DG5" i="4" l="1"/>
  <c r="DU5" i="4" l="1"/>
  <c r="K5" i="4" l="1"/>
  <c r="DW5" i="4" l="1"/>
  <c r="EP5" i="4"/>
  <c r="J5" i="4" l="1"/>
  <c r="BX5" i="4" l="1"/>
  <c r="DI5" i="4" l="1"/>
  <c r="E35" i="3" s="1"/>
  <c r="AN5" i="4" l="1"/>
  <c r="AG5" i="4" l="1"/>
  <c r="AI5" i="4" l="1"/>
  <c r="AH5" i="4" l="1"/>
  <c r="EK5" i="4" l="1"/>
  <c r="E34" i="3" s="1"/>
  <c r="CX5" i="4" l="1"/>
  <c r="BC5" i="4" l="1"/>
  <c r="CS5" i="4" l="1"/>
  <c r="BJ5" i="4" l="1"/>
  <c r="AD5" i="4" l="1"/>
  <c r="E36" i="3"/>
  <c r="E7" i="3" s="1"/>
  <c r="E3" i="6" s="1"/>
  <c r="E37" i="3" l="1"/>
  <c r="D4" i="6"/>
  <c r="E11" i="6" l="1"/>
  <c r="CE5" i="4"/>
  <c r="T5" i="4" l="1"/>
  <c r="G5" i="4" s="1"/>
  <c r="E6" i="6" l="1"/>
  <c r="D3" i="6" l="1"/>
  <c r="D21" i="3" l="1"/>
  <c r="D23" i="3" s="1"/>
  <c r="F207" i="4" a="1"/>
  <c r="F207" i="4" l="1"/>
  <c r="D6" i="6"/>
  <c r="D32" i="3" a="1"/>
  <c r="D32" i="3" l="1"/>
  <c r="G29" i="3" s="1"/>
  <c r="D7" i="6"/>
  <c r="D9" i="6" s="1"/>
  <c r="G18" i="3" l="1"/>
  <c r="G12" i="3"/>
  <c r="G15" i="3"/>
  <c r="G17" i="3"/>
  <c r="G24" i="3"/>
  <c r="G4" i="3"/>
  <c r="G22" i="3"/>
  <c r="G14" i="3"/>
  <c r="G8" i="3"/>
  <c r="G3" i="3"/>
  <c r="G9" i="3"/>
  <c r="G16" i="3"/>
  <c r="G30" i="3"/>
  <c r="G11" i="3"/>
  <c r="G7" i="3"/>
  <c r="G5" i="3"/>
  <c r="G20" i="3"/>
  <c r="G28" i="3"/>
  <c r="G6" i="3"/>
  <c r="G10" i="3"/>
  <c r="G19" i="3"/>
  <c r="G13" i="3"/>
  <c r="G31" i="3"/>
  <c r="G21" i="3"/>
  <c r="G23" i="3"/>
  <c r="E9" i="6"/>
  <c r="E13" i="6" s="1"/>
  <c r="E32" i="3" a="1"/>
  <c r="E32" i="3" l="1"/>
  <c r="G32" i="3" l="1"/>
  <c r="E39" i="3"/>
  <c r="I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<sst xmlns="http://schemas.openxmlformats.org/spreadsheetml/2006/main" count="1681" uniqueCount="1195">
  <si>
    <t>EST COA</t>
  </si>
  <si>
    <t>DESCRIPTION</t>
  </si>
  <si>
    <t>LEVELS</t>
  </si>
  <si>
    <t>PEP</t>
  </si>
  <si>
    <t>PROJECT ADMIN</t>
  </si>
  <si>
    <t>Project Meetings &amp; Minutes</t>
  </si>
  <si>
    <t>Cost Track &amp; Reports</t>
  </si>
  <si>
    <t>Project Man-Hour Track &amp; Reporting</t>
  </si>
  <si>
    <t>Basis Of Estimate</t>
  </si>
  <si>
    <t>Schedule Updating &amp; Reports</t>
  </si>
  <si>
    <t>Master Project Schedule</t>
  </si>
  <si>
    <t>Engineering Deliverables List</t>
  </si>
  <si>
    <t>Specifications Index</t>
  </si>
  <si>
    <t>Plot Plan Strategy</t>
  </si>
  <si>
    <t>Approval Of All Discipline Drawings</t>
  </si>
  <si>
    <t>Mechanical Suppliers' Drawings</t>
  </si>
  <si>
    <t>Electrical Suppliers' Drawings</t>
  </si>
  <si>
    <t>PROJECT DOCUMENT CONTROL</t>
  </si>
  <si>
    <t>Client Documents Filing</t>
  </si>
  <si>
    <t>Transmittals</t>
  </si>
  <si>
    <t>Suppliers Drawing Review</t>
  </si>
  <si>
    <t>Project Filing</t>
  </si>
  <si>
    <t>PROJECT REGULATORY</t>
  </si>
  <si>
    <t>Regulatory Applications</t>
  </si>
  <si>
    <t>Permit Requirements</t>
  </si>
  <si>
    <t>Line List</t>
  </si>
  <si>
    <t>Data Sheets Equipment</t>
  </si>
  <si>
    <t>Data Sheets Instruments</t>
  </si>
  <si>
    <t>Heat And Material Balance</t>
  </si>
  <si>
    <t>Specialty Item List</t>
  </si>
  <si>
    <t>ELECTRICAL ENGINEERING</t>
  </si>
  <si>
    <t>Electrical Specifications</t>
  </si>
  <si>
    <t>Electrical Equipment List</t>
  </si>
  <si>
    <t>Electrical Load List</t>
  </si>
  <si>
    <t>Electrical Calculations</t>
  </si>
  <si>
    <t>Tray And Raceway Calculations</t>
  </si>
  <si>
    <t>Electrical Data Sheets</t>
  </si>
  <si>
    <t>Instrument Index</t>
  </si>
  <si>
    <t>PSV List</t>
  </si>
  <si>
    <t>Control Valve List</t>
  </si>
  <si>
    <t>Design Calculations / Documents</t>
  </si>
  <si>
    <t>Instrument Drawings</t>
  </si>
  <si>
    <t>Supplier Drawings Review</t>
  </si>
  <si>
    <t>Controls Block Diagram</t>
  </si>
  <si>
    <t>List / Indexes</t>
  </si>
  <si>
    <t>Control Philosophy</t>
  </si>
  <si>
    <t>CSA ENGINEERING</t>
  </si>
  <si>
    <t>Building Lists</t>
  </si>
  <si>
    <t>Earthwork Design</t>
  </si>
  <si>
    <t>Piling / Foundation Design</t>
  </si>
  <si>
    <t>Structural Design</t>
  </si>
  <si>
    <t>PLC Software</t>
  </si>
  <si>
    <t>HMI Software</t>
  </si>
  <si>
    <t>Server Software</t>
  </si>
  <si>
    <t>System Optimization</t>
  </si>
  <si>
    <t>Process Schematics</t>
  </si>
  <si>
    <t>BFD</t>
  </si>
  <si>
    <t>PFD</t>
  </si>
  <si>
    <t>UFD</t>
  </si>
  <si>
    <t>P&amp;ID'S</t>
  </si>
  <si>
    <t>Piping Plan</t>
  </si>
  <si>
    <t>Piping Drawing Index</t>
  </si>
  <si>
    <t>Piping Key Plan</t>
  </si>
  <si>
    <t>Piping Specifications</t>
  </si>
  <si>
    <t>Plot Plan</t>
  </si>
  <si>
    <t>Equipment Layout</t>
  </si>
  <si>
    <t>Piping 3D Model</t>
  </si>
  <si>
    <t>Piping Isometric Drawings</t>
  </si>
  <si>
    <t>Tie-In List</t>
  </si>
  <si>
    <t>Typical Installation Details</t>
  </si>
  <si>
    <t>Area Classification Drawings</t>
  </si>
  <si>
    <t>Grounding Details</t>
  </si>
  <si>
    <t>Standards, Notes &amp; Details</t>
  </si>
  <si>
    <t>Single Line Diagrams (SLD)</t>
  </si>
  <si>
    <t>Electrical Schematics</t>
  </si>
  <si>
    <t>Electrical Equipment Layout</t>
  </si>
  <si>
    <t>Electrical Building Layout</t>
  </si>
  <si>
    <t>Tray , Grounding, Power Layout</t>
  </si>
  <si>
    <t>MCC Layout</t>
  </si>
  <si>
    <t>Raceway And Cable Tray Layout</t>
  </si>
  <si>
    <t>Electrical Heat Trace</t>
  </si>
  <si>
    <t>Supplier Design Details</t>
  </si>
  <si>
    <t>Installation Details</t>
  </si>
  <si>
    <t>Instrumentation Drawings</t>
  </si>
  <si>
    <t>Systems Architecture Schematics</t>
  </si>
  <si>
    <t>CSA DRAFTING</t>
  </si>
  <si>
    <t>Lists - Indexes - Keys</t>
  </si>
  <si>
    <t>Earthwork - Grading Design - Maps</t>
  </si>
  <si>
    <t>Structural 3D Model</t>
  </si>
  <si>
    <t>Structural Drawings</t>
  </si>
  <si>
    <t>Standard And Typical Details</t>
  </si>
  <si>
    <t xml:space="preserve">Overall Block Diagram </t>
  </si>
  <si>
    <t>Network Topology Drawings</t>
  </si>
  <si>
    <t>System Architecture Layout</t>
  </si>
  <si>
    <t>System Communication Layout</t>
  </si>
  <si>
    <t>Instrument Loop Drawings</t>
  </si>
  <si>
    <t>I/O List</t>
  </si>
  <si>
    <t>Architecture Details</t>
  </si>
  <si>
    <t>Q'ty</t>
  </si>
  <si>
    <t>Units</t>
  </si>
  <si>
    <t>hr</t>
  </si>
  <si>
    <t>SOW Verification Check</t>
  </si>
  <si>
    <t>Sizing - Equipment</t>
  </si>
  <si>
    <t>Sizing - Line Sizing /Hydraulic</t>
  </si>
  <si>
    <t>Overpressure Risk Assessment (ORA)</t>
  </si>
  <si>
    <t>PSV Sizing Calculation</t>
  </si>
  <si>
    <t>Process Operation Manuals</t>
  </si>
  <si>
    <t>Suppliers Datasheets Review</t>
  </si>
  <si>
    <t>Mechanical Calculations</t>
  </si>
  <si>
    <t>Mechanical  Specifications</t>
  </si>
  <si>
    <t>HVAC System Design</t>
  </si>
  <si>
    <t>Piping Calculations</t>
  </si>
  <si>
    <t>Client Mechanical Specifications</t>
  </si>
  <si>
    <t>Mechanical Equipment List</t>
  </si>
  <si>
    <t>Stress FEA Analysis</t>
  </si>
  <si>
    <t>Drafting/Design Standards</t>
  </si>
  <si>
    <t>3D Model -  30%</t>
  </si>
  <si>
    <t>3D Model -  60%</t>
  </si>
  <si>
    <t>3D Model -  90%</t>
  </si>
  <si>
    <t>3D Model -  100%</t>
  </si>
  <si>
    <t>Heat Tracing Layouts</t>
  </si>
  <si>
    <t>Valve Material Take-Off(MTO)</t>
  </si>
  <si>
    <t>Project Closeout</t>
  </si>
  <si>
    <t>DBM</t>
  </si>
  <si>
    <t>Project Initiated (PIF)</t>
  </si>
  <si>
    <t>Site Visit Report</t>
  </si>
  <si>
    <t>% CEP Eng</t>
  </si>
  <si>
    <t>Air Fares</t>
  </si>
  <si>
    <t>Auto Rental</t>
  </si>
  <si>
    <t>Auto Mileage</t>
  </si>
  <si>
    <t>Meals</t>
  </si>
  <si>
    <t>Misc. Travel Expenses</t>
  </si>
  <si>
    <t>Courier</t>
  </si>
  <si>
    <t>Each</t>
  </si>
  <si>
    <t>Compliance And QA</t>
  </si>
  <si>
    <t>$</t>
  </si>
  <si>
    <t>Blended Rate</t>
  </si>
  <si>
    <t>% of TEC</t>
  </si>
  <si>
    <t>Accommodations</t>
  </si>
  <si>
    <t>Cable, Bus, Duct sizing</t>
  </si>
  <si>
    <t>Vendor's Design Details</t>
  </si>
  <si>
    <t>% SUB/Task  Total</t>
  </si>
  <si>
    <t>SUB/Total</t>
  </si>
  <si>
    <t>DRAFTING GENERAL</t>
  </si>
  <si>
    <t>COST PER RESOURCE</t>
  </si>
  <si>
    <t>Piping Demolition Drawings</t>
  </si>
  <si>
    <t>CSA Demolition Drawings</t>
  </si>
  <si>
    <t>Level Subcode</t>
  </si>
  <si>
    <t>Discipline</t>
  </si>
  <si>
    <t>NA</t>
  </si>
  <si>
    <t>30-3030</t>
  </si>
  <si>
    <t>30-3050</t>
  </si>
  <si>
    <t>CATCH SERVICES</t>
  </si>
  <si>
    <t>60</t>
  </si>
  <si>
    <t>Canadian Dollard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</si>
  <si>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</si>
  <si>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</si>
  <si>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</si>
  <si>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</si>
  <si>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</si>
  <si>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</si>
  <si>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</si>
  <si>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</si>
  <si>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Trainee (TRN)</t>
  </si>
  <si>
    <t>Junior (JR)</t>
  </si>
  <si>
    <t>Intermediate (INT)</t>
  </si>
  <si>
    <t>Senior (SR)</t>
  </si>
  <si>
    <t>Lead (LD)</t>
  </si>
  <si>
    <t>Specialist (SP)</t>
  </si>
  <si>
    <t>Subject Mater Expert (SME)</t>
  </si>
  <si>
    <t>Insurance Specialist</t>
  </si>
  <si>
    <t>Admin (AD)</t>
  </si>
  <si>
    <t>Document Control (DC)</t>
  </si>
  <si>
    <t>Project Controls (PC)</t>
  </si>
  <si>
    <t>Engineering (ENG)</t>
  </si>
  <si>
    <t>Technologist (TECH)</t>
  </si>
  <si>
    <t>Drafting (DRF)</t>
  </si>
  <si>
    <t>Supply Chain (SCM)</t>
  </si>
  <si>
    <t>Project Coordinator (PCO)</t>
  </si>
  <si>
    <t>Project Engineering (PE)</t>
  </si>
  <si>
    <t>Field Engineer (FE)</t>
  </si>
  <si>
    <t>Home Office Construction Management (HOCM)</t>
  </si>
  <si>
    <t>Project Manager (PM)</t>
  </si>
  <si>
    <t>Notes:</t>
  </si>
  <si>
    <t xml:space="preserve">All rates provided will be re-evaluated on an annual basis or as market conditions necessitate. </t>
  </si>
  <si>
    <t>Thirty (30) days written notice will be provided for any applicable rate adjustments.</t>
  </si>
  <si>
    <t>Rates provided are exclusive of any travel, living or mobilization/demobilizations costs.</t>
  </si>
  <si>
    <t xml:space="preserve"> Rates provided are exclusive of any applicable taxes/VAT, duties or tariffs.</t>
  </si>
  <si>
    <t>Rates are per hour with 0.5 hour being the smallest increment.</t>
  </si>
  <si>
    <t>Rate Multipliers:</t>
  </si>
  <si>
    <t xml:space="preserve">Overtime (Only applicable when client requests overtime to be worked) - 1.3x </t>
  </si>
  <si>
    <t xml:space="preserve">A Location Uplift for client site-based activities may be required for on-site services greater than a week or spanning </t>
  </si>
  <si>
    <t>over a weekend.</t>
  </si>
  <si>
    <t>Uplift will be negotiated prior to travel and dependant on location based on published uplift for travel and hardship</t>
  </si>
  <si>
    <t>Suppliments:</t>
  </si>
  <si>
    <t>Expences and Travel:</t>
  </si>
  <si>
    <t>ETAP</t>
  </si>
  <si>
    <t>Expences Cost +</t>
  </si>
  <si>
    <t>SmartPlan</t>
  </si>
  <si>
    <t>Vehicle Usage / km</t>
  </si>
  <si>
    <t>Pathloss</t>
  </si>
  <si>
    <t>Direct and Mat cost +</t>
  </si>
  <si>
    <t>Unisim</t>
  </si>
  <si>
    <t>3rd Party Consulting cost +</t>
  </si>
  <si>
    <t>Other specialised cost +</t>
  </si>
  <si>
    <t>Courier services at cost</t>
  </si>
  <si>
    <t>Printing in house</t>
  </si>
  <si>
    <t>No Charge</t>
  </si>
  <si>
    <t>ENGINEERING</t>
  </si>
  <si>
    <t>lot</t>
  </si>
  <si>
    <t>PROJECT MANAGEMENT</t>
  </si>
  <si>
    <t>HAZOP Meeting And Log</t>
  </si>
  <si>
    <t>HAZOP Changes And Closeout</t>
  </si>
  <si>
    <t>DRAFTING &amp; MODELLING</t>
  </si>
  <si>
    <t>Anchor / Guide / Shoe Details</t>
  </si>
  <si>
    <t>Piping &amp; Fittings MTO</t>
  </si>
  <si>
    <t>EI&amp;C Demolition Drawings</t>
  </si>
  <si>
    <t>Foundation  - Piles &amp; Concrete</t>
  </si>
  <si>
    <t>Building Architectural</t>
  </si>
  <si>
    <t>Complete SPI Database - Verify</t>
  </si>
  <si>
    <t>Procurement Strategy</t>
  </si>
  <si>
    <t>Supplier Lists / Pre-Qualifications</t>
  </si>
  <si>
    <t>Contracts Strategy</t>
  </si>
  <si>
    <t>Supplier Expediting / Documentation</t>
  </si>
  <si>
    <t>Inspection Planning / Assignment</t>
  </si>
  <si>
    <t>Contracts Transportation</t>
  </si>
  <si>
    <t>Invoicing</t>
  </si>
  <si>
    <t>Man Hours</t>
  </si>
  <si>
    <t>Cost</t>
  </si>
  <si>
    <t>Date</t>
  </si>
  <si>
    <t>Revision</t>
  </si>
  <si>
    <t>Rev Description</t>
  </si>
  <si>
    <t>STD-2024</t>
  </si>
  <si>
    <t>Table STD-2024 Applicable Rates and Charges</t>
  </si>
  <si>
    <t>V1.1</t>
  </si>
  <si>
    <t>hrs</t>
  </si>
  <si>
    <t>EPCM COST</t>
  </si>
  <si>
    <t>TOTAL ENGINEERING COST (TEC)</t>
  </si>
  <si>
    <t>% TPC</t>
  </si>
  <si>
    <t>Rates</t>
  </si>
  <si>
    <t>Issued for Engineer Procure Install and Commission Estimates (EPIC)</t>
  </si>
  <si>
    <t>Shutdown Key</t>
  </si>
  <si>
    <t>Industry</t>
  </si>
  <si>
    <t>Complexity</t>
  </si>
  <si>
    <t>FEED</t>
  </si>
  <si>
    <t>Oil</t>
  </si>
  <si>
    <t>New Tech</t>
  </si>
  <si>
    <t>DED</t>
  </si>
  <si>
    <t>Gas</t>
  </si>
  <si>
    <t>New Client</t>
  </si>
  <si>
    <t>CON</t>
  </si>
  <si>
    <t>Hydrogen</t>
  </si>
  <si>
    <t>Standard</t>
  </si>
  <si>
    <t>CSU</t>
  </si>
  <si>
    <t>Renewable</t>
  </si>
  <si>
    <t>Power Generation</t>
  </si>
  <si>
    <t>Method</t>
  </si>
  <si>
    <t>Power Distribution</t>
  </si>
  <si>
    <t>Timesheet</t>
  </si>
  <si>
    <t>MTO</t>
  </si>
  <si>
    <t>Judgement</t>
  </si>
  <si>
    <t>Parameter</t>
  </si>
  <si>
    <t>Analog</t>
  </si>
  <si>
    <t>Vendor Meetings</t>
  </si>
  <si>
    <t>Client Weekly Reports</t>
  </si>
  <si>
    <t>V1.2</t>
  </si>
  <si>
    <t>V1.3</t>
  </si>
  <si>
    <t>Code Correction for 8 Quality and 9 HSE sections</t>
  </si>
  <si>
    <t>Code correction for 7 C&amp;SU for Core</t>
  </si>
  <si>
    <t>Activity code #30-3306 deleted as it was a incorrect duplicate</t>
  </si>
  <si>
    <t>V1.4</t>
  </si>
  <si>
    <t>Stick Files</t>
  </si>
  <si>
    <t>V1.5</t>
  </si>
  <si>
    <t>ME Data Sheets</t>
  </si>
  <si>
    <t>CSA Specifications</t>
  </si>
  <si>
    <t>DG As Buits</t>
  </si>
  <si>
    <t>ED Material Take-Offs</t>
  </si>
  <si>
    <t>CSA Material Take-Offs</t>
  </si>
  <si>
    <t>CSA As-Builts</t>
  </si>
  <si>
    <t>Updated duplicate descriptions of activity codes and renamed by dicipline</t>
  </si>
  <si>
    <t>V1.6</t>
  </si>
  <si>
    <t>Added new "40-4320 Junction Box" code</t>
  </si>
  <si>
    <t>Junction Box</t>
  </si>
  <si>
    <t>Rate</t>
  </si>
  <si>
    <t>Arc Flash Labels (per Lable)</t>
  </si>
  <si>
    <t>Arc Flash setup</t>
  </si>
  <si>
    <t>Electrical Drawing Index</t>
  </si>
  <si>
    <t>Project:</t>
  </si>
  <si>
    <t>Hardware Installation</t>
  </si>
  <si>
    <t>Software Configuration</t>
  </si>
  <si>
    <t>Network Setup</t>
  </si>
  <si>
    <t>Testing &amp; Troubleshooting</t>
  </si>
  <si>
    <t>Integration With Building Systems</t>
  </si>
  <si>
    <t>Calibration &amp; Fine Tuning</t>
  </si>
  <si>
    <t>Safety Testing</t>
  </si>
  <si>
    <t>User Training</t>
  </si>
  <si>
    <t>Performance Verification</t>
  </si>
  <si>
    <t>Acceptance &amp; Handover</t>
  </si>
  <si>
    <t>Maintenance &amp; Support</t>
  </si>
  <si>
    <t>Hrs</t>
  </si>
  <si>
    <t>COA</t>
  </si>
  <si>
    <t>Description</t>
  </si>
  <si>
    <t>TCA Eng EIT</t>
  </si>
  <si>
    <t>TCA Eng JR</t>
  </si>
  <si>
    <t>TCA Eng INT</t>
  </si>
  <si>
    <t>TCA Eng SR</t>
  </si>
  <si>
    <t>TCA Eng LD</t>
  </si>
  <si>
    <t>TCA Eng SP</t>
  </si>
  <si>
    <t>TCA Eng SME</t>
  </si>
  <si>
    <t>ETech TRN</t>
  </si>
  <si>
    <t>ETech JR</t>
  </si>
  <si>
    <t>ETech INT</t>
  </si>
  <si>
    <t>ETech SR</t>
  </si>
  <si>
    <t>ETech SP</t>
  </si>
  <si>
    <t>ETech SME</t>
  </si>
  <si>
    <t>ICTech TRN</t>
  </si>
  <si>
    <t>ICTech JR</t>
  </si>
  <si>
    <t>ICTech INT</t>
  </si>
  <si>
    <t>ICTech SR</t>
  </si>
  <si>
    <t>ICTech LD</t>
  </si>
  <si>
    <t>ICTech SP</t>
  </si>
  <si>
    <t>ICTech SME</t>
  </si>
  <si>
    <t>TCATech TRN</t>
  </si>
  <si>
    <t>TCATech JR</t>
  </si>
  <si>
    <t>TCATech INT</t>
  </si>
  <si>
    <t>TCATech SR</t>
  </si>
  <si>
    <t>TCATech LD</t>
  </si>
  <si>
    <t>TCATech SP</t>
  </si>
  <si>
    <t>TCATech SME</t>
  </si>
  <si>
    <t>PPDrf  TRN</t>
  </si>
  <si>
    <t>PPDrf  JR</t>
  </si>
  <si>
    <t>PPDrf  INT</t>
  </si>
  <si>
    <t>PPDrf  SR</t>
  </si>
  <si>
    <t>PPDrf  LD</t>
  </si>
  <si>
    <t>PPDrf  SP</t>
  </si>
  <si>
    <t>EICTDrf  TRN</t>
  </si>
  <si>
    <t>EICTDrf  JR</t>
  </si>
  <si>
    <t>EICTDrf  INT</t>
  </si>
  <si>
    <t>EICTDrf  SR</t>
  </si>
  <si>
    <t>EICTDrf  LD</t>
  </si>
  <si>
    <t>EICTDrf  SP</t>
  </si>
  <si>
    <t>CSADrf  TRN</t>
  </si>
  <si>
    <t>CSADrf  JR</t>
  </si>
  <si>
    <t>CSADrf  INT</t>
  </si>
  <si>
    <t>CSADrf  SR</t>
  </si>
  <si>
    <t>CSADrf  LD</t>
  </si>
  <si>
    <t>CSADrf  SP</t>
  </si>
  <si>
    <t>SC Proc TRN</t>
  </si>
  <si>
    <t>SC Proc JR</t>
  </si>
  <si>
    <t>SC Proc INT</t>
  </si>
  <si>
    <t>SC Proc SR</t>
  </si>
  <si>
    <t>SC Proc LD</t>
  </si>
  <si>
    <t>SC Cont TRN</t>
  </si>
  <si>
    <t>SC Cont JR</t>
  </si>
  <si>
    <t>SC Cont INT</t>
  </si>
  <si>
    <t>SC Cont SR</t>
  </si>
  <si>
    <t>SC Cont LD</t>
  </si>
  <si>
    <t>PM JR</t>
  </si>
  <si>
    <t>PM INT</t>
  </si>
  <si>
    <t>PM SR</t>
  </si>
  <si>
    <t>PM LD</t>
  </si>
  <si>
    <t>PM SP</t>
  </si>
  <si>
    <t>PM SME</t>
  </si>
  <si>
    <t>AD TRN</t>
  </si>
  <si>
    <t>AD JR</t>
  </si>
  <si>
    <t>AD INT</t>
  </si>
  <si>
    <t>AD SR</t>
  </si>
  <si>
    <t>PE JR</t>
  </si>
  <si>
    <t>PE INT</t>
  </si>
  <si>
    <t>PE SR</t>
  </si>
  <si>
    <t>PE LD</t>
  </si>
  <si>
    <t>PCO TRN</t>
  </si>
  <si>
    <t>PCO JR</t>
  </si>
  <si>
    <t>PCO INT</t>
  </si>
  <si>
    <t>PCO SR</t>
  </si>
  <si>
    <t>PCO LD</t>
  </si>
  <si>
    <t>PC TRN</t>
  </si>
  <si>
    <t>PC JR</t>
  </si>
  <si>
    <t>PC INT</t>
  </si>
  <si>
    <t>PC SR</t>
  </si>
  <si>
    <t>PC LD</t>
  </si>
  <si>
    <t>PC SP</t>
  </si>
  <si>
    <t>DC TRN</t>
  </si>
  <si>
    <t>DC JR</t>
  </si>
  <si>
    <t>DC INT</t>
  </si>
  <si>
    <t>DC SR</t>
  </si>
  <si>
    <t>DC LD</t>
  </si>
  <si>
    <t>PrEng EIT</t>
  </si>
  <si>
    <t>PrEng JR</t>
  </si>
  <si>
    <t>PrEng INT</t>
  </si>
  <si>
    <t>PrEng SR</t>
  </si>
  <si>
    <t>PrEng LD</t>
  </si>
  <si>
    <t>PrEng SP</t>
  </si>
  <si>
    <t>PrEng SME</t>
  </si>
  <si>
    <t>MEng EIT</t>
  </si>
  <si>
    <t>MEng JR</t>
  </si>
  <si>
    <t>MEng INT</t>
  </si>
  <si>
    <t>MEng SR</t>
  </si>
  <si>
    <t>MEng LD</t>
  </si>
  <si>
    <t>MEng SP</t>
  </si>
  <si>
    <t>MEng SME</t>
  </si>
  <si>
    <t>EEng EIT</t>
  </si>
  <si>
    <t>EEng JR</t>
  </si>
  <si>
    <t>EEng INT</t>
  </si>
  <si>
    <t>EEng SR</t>
  </si>
  <si>
    <t>EEng LD</t>
  </si>
  <si>
    <t>EEng SP</t>
  </si>
  <si>
    <t>EEng SME</t>
  </si>
  <si>
    <t>ETech LD</t>
  </si>
  <si>
    <t>PROJECT OPERATIONS</t>
  </si>
  <si>
    <t>Site Visit  and Travel Activity</t>
  </si>
  <si>
    <t>Project Estimate</t>
  </si>
  <si>
    <t>ICE Specifications</t>
  </si>
  <si>
    <t>ICE Data Sheets</t>
  </si>
  <si>
    <t>EE Studies and Reports</t>
  </si>
  <si>
    <t>Process Simulations</t>
  </si>
  <si>
    <t xml:space="preserve">Process Calculation </t>
  </si>
  <si>
    <t>ICE Studies and Report</t>
  </si>
  <si>
    <t>Control System Configuration</t>
  </si>
  <si>
    <t>Logistic Studies</t>
  </si>
  <si>
    <t>Procurement Status Reports</t>
  </si>
  <si>
    <t>Inspection Reports</t>
  </si>
  <si>
    <t>18.1 Airfares</t>
  </si>
  <si>
    <t>18.2 Auto Rental</t>
  </si>
  <si>
    <t>18.3 Auto Mileage</t>
  </si>
  <si>
    <t>18.4 Accommodations</t>
  </si>
  <si>
    <t>18.5 Meals</t>
  </si>
  <si>
    <t>18.6 Misc. Travel Expenses</t>
  </si>
  <si>
    <t>17.3 Arc Flash per Label</t>
  </si>
  <si>
    <t>17.5 Pathloss</t>
  </si>
  <si>
    <t>17.6 Unisim</t>
  </si>
  <si>
    <t>17.7 TCA Bundle</t>
  </si>
  <si>
    <t>17.4 SmartPlant</t>
  </si>
  <si>
    <t>TCA Equipment List</t>
  </si>
  <si>
    <t>TCA Equipment Specifications</t>
  </si>
  <si>
    <t>TCA Equipment Datasheets</t>
  </si>
  <si>
    <t>TCA On Site Plan</t>
  </si>
  <si>
    <t>EICT DRAFTING</t>
  </si>
  <si>
    <t>PP DRAFTING</t>
  </si>
  <si>
    <t>DCS Software</t>
  </si>
  <si>
    <t>RTU Software</t>
  </si>
  <si>
    <t>SCADA Software</t>
  </si>
  <si>
    <t>Mechanical Valve List</t>
  </si>
  <si>
    <t>PP As-Builts</t>
  </si>
  <si>
    <t>Electrical Schedules</t>
  </si>
  <si>
    <t>Arc Flash Labels (per Label)</t>
  </si>
  <si>
    <t>Controls Drawings</t>
  </si>
  <si>
    <t>Electrical As-Builts</t>
  </si>
  <si>
    <t>Instrumentation MTO</t>
  </si>
  <si>
    <t>Instrumentation As-Builts</t>
  </si>
  <si>
    <t>ENGINEERING MANAGEMENT</t>
  </si>
  <si>
    <t>Client Procedures Training</t>
  </si>
  <si>
    <t>Cycles</t>
  </si>
  <si>
    <t>12</t>
  </si>
  <si>
    <t>1</t>
  </si>
  <si>
    <t>21</t>
  </si>
  <si>
    <t>18.7 Courier</t>
  </si>
  <si>
    <t>ICEng EIT</t>
  </si>
  <si>
    <t>ICEng JR</t>
  </si>
  <si>
    <t>ICEng INT</t>
  </si>
  <si>
    <t>ICEng SR</t>
  </si>
  <si>
    <t>ICEng LD</t>
  </si>
  <si>
    <t>ICEng SP</t>
  </si>
  <si>
    <t>ICEng SME</t>
  </si>
  <si>
    <t>CSAEng EIT</t>
  </si>
  <si>
    <t>CSAEng JR</t>
  </si>
  <si>
    <t>CSAEng INT</t>
  </si>
  <si>
    <t>CSAEng SR</t>
  </si>
  <si>
    <t>CSAEng LD</t>
  </si>
  <si>
    <t>CSAEng SP</t>
  </si>
  <si>
    <t>CSAEng SME</t>
  </si>
  <si>
    <t>V1.7</t>
  </si>
  <si>
    <t>V1.8</t>
  </si>
  <si>
    <t>V1.9</t>
  </si>
  <si>
    <t>11</t>
  </si>
  <si>
    <t>19.41 TPSC PP Model</t>
  </si>
  <si>
    <t>19.35 TPSC TCA Programming</t>
  </si>
  <si>
    <t>19.36 TPSC CSA</t>
  </si>
  <si>
    <t>19.32 TPSC Mech Stress</t>
  </si>
  <si>
    <t>PROJECT COORDINATION</t>
  </si>
  <si>
    <t>EWP Squad Check</t>
  </si>
  <si>
    <t>Client Progress Reports</t>
  </si>
  <si>
    <t>PROJECT CONTROLS</t>
  </si>
  <si>
    <t>ME Studies and Report</t>
  </si>
  <si>
    <t>Process Studies and Report</t>
  </si>
  <si>
    <t>Client Electrical Specifications</t>
  </si>
  <si>
    <t>PROCESS ENGINEERING PACKAGE</t>
  </si>
  <si>
    <t>MECHANICAL ENGINEERING PACKAGE</t>
  </si>
  <si>
    <t>TCA Studies and Report</t>
  </si>
  <si>
    <t>TCA ENGINEERING PACKAGE</t>
  </si>
  <si>
    <t>IC ENGINEERING PACKAGE</t>
  </si>
  <si>
    <t>CSA Studies and Report</t>
  </si>
  <si>
    <t>SC GENERAL</t>
  </si>
  <si>
    <t>TCA  INTEGRATION CWP</t>
  </si>
  <si>
    <t>Quantity</t>
  </si>
  <si>
    <t>Category</t>
  </si>
  <si>
    <t>10</t>
  </si>
  <si>
    <t>1101</t>
  </si>
  <si>
    <t>1102</t>
  </si>
  <si>
    <t>1103</t>
  </si>
  <si>
    <t>1104</t>
  </si>
  <si>
    <t>1105</t>
  </si>
  <si>
    <t>1106</t>
  </si>
  <si>
    <t>1201</t>
  </si>
  <si>
    <t>1202</t>
  </si>
  <si>
    <t>1203</t>
  </si>
  <si>
    <t>1204</t>
  </si>
  <si>
    <t>1205</t>
  </si>
  <si>
    <t>1206</t>
  </si>
  <si>
    <t>13</t>
  </si>
  <si>
    <t>1301</t>
  </si>
  <si>
    <t>1302</t>
  </si>
  <si>
    <t>1303</t>
  </si>
  <si>
    <t>23</t>
  </si>
  <si>
    <t>2301</t>
  </si>
  <si>
    <t>2302</t>
  </si>
  <si>
    <t>2303</t>
  </si>
  <si>
    <t>2304</t>
  </si>
  <si>
    <t>2305</t>
  </si>
  <si>
    <t>2306</t>
  </si>
  <si>
    <t>20</t>
  </si>
  <si>
    <t>2101</t>
  </si>
  <si>
    <t>2102</t>
  </si>
  <si>
    <t>2103</t>
  </si>
  <si>
    <t>22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</si>
  <si>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</si>
  <si>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</si>
  <si>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</si>
  <si>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</si>
  <si>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</si>
  <si>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</si>
  <si>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</si>
  <si>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</si>
  <si>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</si>
  <si>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</si>
  <si>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30</t>
  </si>
  <si>
    <t>210</t>
  </si>
  <si>
    <t>301</t>
  </si>
  <si>
    <t>310</t>
  </si>
  <si>
    <t>320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</si>
  <si>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</si>
  <si>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</si>
  <si>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</si>
  <si>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</si>
  <si>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</si>
  <si>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</si>
  <si>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</si>
  <si>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</si>
  <si>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</si>
  <si>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</si>
  <si>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</si>
  <si>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</si>
  <si>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</si>
  <si>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</si>
  <si>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</si>
  <si>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</si>
  <si>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</si>
  <si>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</si>
  <si>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</si>
  <si>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</si>
  <si>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</si>
  <si>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</si>
  <si>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</si>
  <si>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</si>
  <si>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</si>
  <si>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</si>
  <si>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330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</si>
  <si>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</si>
  <si>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</si>
  <si>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</si>
  <si>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</si>
  <si>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</si>
  <si>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</si>
  <si>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</si>
  <si>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</si>
  <si>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</si>
  <si>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</si>
  <si>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340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</si>
  <si>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</si>
  <si>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</si>
  <si>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</si>
  <si>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</si>
  <si>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</si>
  <si>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</si>
  <si>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</si>
  <si>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</si>
  <si>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</si>
  <si>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</si>
  <si>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</si>
  <si>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</si>
  <si>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</si>
  <si>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</si>
  <si>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</si>
  <si>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350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</si>
  <si>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</si>
  <si>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</si>
  <si>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</si>
  <si>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</si>
  <si>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</si>
  <si>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</si>
  <si>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</si>
  <si>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</si>
  <si>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</si>
  <si>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</si>
  <si>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</si>
  <si>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</si>
  <si>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360</t>
  </si>
  <si>
    <t>3601</t>
  </si>
  <si>
    <t>3602</t>
  </si>
  <si>
    <t>3603</t>
  </si>
  <si>
    <t>3604</t>
  </si>
  <si>
    <t>3605</t>
  </si>
  <si>
    <t>3606</t>
  </si>
  <si>
    <t>40</t>
  </si>
  <si>
    <t>401</t>
  </si>
  <si>
    <t>4101</t>
  </si>
  <si>
    <t>4102</t>
  </si>
  <si>
    <t>410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</si>
  <si>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</si>
  <si>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</si>
  <si>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</si>
  <si>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</si>
  <si>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</si>
  <si>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</si>
  <si>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</si>
  <si>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</si>
  <si>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</si>
  <si>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</si>
  <si>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</si>
  <si>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</si>
  <si>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</si>
  <si>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</si>
  <si>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</si>
  <si>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</si>
  <si>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</si>
  <si>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</si>
  <si>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</si>
  <si>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</si>
  <si>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</si>
  <si>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</si>
  <si>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</si>
  <si>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420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</si>
  <si>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</si>
  <si>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</si>
  <si>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</si>
  <si>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</si>
  <si>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</si>
  <si>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</si>
  <si>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</si>
  <si>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</si>
  <si>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</si>
  <si>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</si>
  <si>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</si>
  <si>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</si>
  <si>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</si>
  <si>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</si>
  <si>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</si>
  <si>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</si>
  <si>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</si>
  <si>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</si>
  <si>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</si>
  <si>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</si>
  <si>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</si>
  <si>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</si>
  <si>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</si>
  <si>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</si>
  <si>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</si>
  <si>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</si>
  <si>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</si>
  <si>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</si>
  <si>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</si>
  <si>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</si>
  <si>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</si>
  <si>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</si>
  <si>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</si>
  <si>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</si>
  <si>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</si>
  <si>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</si>
  <si>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</si>
  <si>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</si>
  <si>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</si>
  <si>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</si>
  <si>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</si>
  <si>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</si>
  <si>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</si>
  <si>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50</t>
  </si>
  <si>
    <t>501</t>
  </si>
  <si>
    <t>510</t>
  </si>
  <si>
    <t>520</t>
  </si>
  <si>
    <t>5010</t>
  </si>
  <si>
    <t>5011</t>
  </si>
  <si>
    <t>5012</t>
  </si>
  <si>
    <t>5013</t>
  </si>
  <si>
    <t>5014</t>
  </si>
  <si>
    <t>5015</t>
  </si>
  <si>
    <t>5016</t>
  </si>
  <si>
    <t>5017</t>
  </si>
  <si>
    <t>610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</si>
  <si>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</si>
  <si>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</si>
  <si>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</si>
  <si>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</si>
  <si>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</si>
  <si>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</si>
  <si>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</si>
  <si>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</si>
  <si>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</si>
  <si>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</si>
  <si>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</si>
  <si>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</si>
  <si>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CONSTRUCTION WORK PACKAGES</t>
  </si>
  <si>
    <t>SUPPLY CHAIN MR PACKAGES</t>
  </si>
  <si>
    <t>SC PROCUREMENT MRP</t>
  </si>
  <si>
    <t>SC CONTRACTS CWP</t>
  </si>
  <si>
    <t>5018</t>
  </si>
  <si>
    <t>5019</t>
  </si>
  <si>
    <t>Mechanical CWP</t>
  </si>
  <si>
    <t>Structural CWP</t>
  </si>
  <si>
    <t>Civil CWP</t>
  </si>
  <si>
    <t>Electrical CWP</t>
  </si>
  <si>
    <t>I&amp;C CWP</t>
  </si>
  <si>
    <t>TCA CWP</t>
  </si>
  <si>
    <t>Miscellaneous</t>
  </si>
  <si>
    <t>2104</t>
  </si>
  <si>
    <t>Progress Reports</t>
  </si>
  <si>
    <t>PROJECT GENERAL</t>
  </si>
  <si>
    <t>C17</t>
  </si>
  <si>
    <t>C19</t>
  </si>
  <si>
    <t>THIRD PARTY SUBCONTRACT</t>
  </si>
  <si>
    <t>PROJECT OPERATION</t>
  </si>
  <si>
    <t>17.2 ETAP</t>
  </si>
  <si>
    <t>Drawing Request</t>
  </si>
  <si>
    <t>511</t>
  </si>
  <si>
    <t>Mechanical MRP</t>
  </si>
  <si>
    <t>5111</t>
  </si>
  <si>
    <t>Mechanical MRP  Vessels</t>
  </si>
  <si>
    <t>5112</t>
  </si>
  <si>
    <t>Mechanical MRP Columns</t>
  </si>
  <si>
    <t>5113</t>
  </si>
  <si>
    <t>Mechanical MRP Tanks</t>
  </si>
  <si>
    <t>5114</t>
  </si>
  <si>
    <t>Mechanical MRP Exchangers</t>
  </si>
  <si>
    <t>5115</t>
  </si>
  <si>
    <t>Mechanical MRP Boilers &amp; Fired Heaters</t>
  </si>
  <si>
    <t>5116</t>
  </si>
  <si>
    <t>Mechanical MRP Compressors &amp; Drivers</t>
  </si>
  <si>
    <t>5117</t>
  </si>
  <si>
    <t>Mechanical MRP HVAC</t>
  </si>
  <si>
    <t>5118</t>
  </si>
  <si>
    <t>Mechanical MRP Pumps &amp; Drivers</t>
  </si>
  <si>
    <t>5119</t>
  </si>
  <si>
    <t>Mechanical MRP Packaged Equipment</t>
  </si>
  <si>
    <t>513</t>
  </si>
  <si>
    <t>Electrical MRP</t>
  </si>
  <si>
    <t>5131</t>
  </si>
  <si>
    <t>Electrical MRP Cable Trays, Conduits</t>
  </si>
  <si>
    <t>5132</t>
  </si>
  <si>
    <t>Electrical MRP Transformers</t>
  </si>
  <si>
    <t>5133</t>
  </si>
  <si>
    <t>Electrical MRP Panels</t>
  </si>
  <si>
    <t>5134</t>
  </si>
  <si>
    <t>Electrical MRP Devices</t>
  </si>
  <si>
    <t>5135</t>
  </si>
  <si>
    <t>Electrical MRP HT Control Panel</t>
  </si>
  <si>
    <t>5136</t>
  </si>
  <si>
    <t>Electrical MRP UPS</t>
  </si>
  <si>
    <t>5137</t>
  </si>
  <si>
    <t>Electrical MRP MCC</t>
  </si>
  <si>
    <t>5138</t>
  </si>
  <si>
    <t>Electrical MRP Switchboards</t>
  </si>
  <si>
    <t>5139</t>
  </si>
  <si>
    <t>Electrical MRP Wires and Cables</t>
  </si>
  <si>
    <t>5140</t>
  </si>
  <si>
    <t>Electrical MRP Lighting Fixtures, Poles</t>
  </si>
  <si>
    <t>5141</t>
  </si>
  <si>
    <t>Electrical MRP Grounding Cathodic Protection</t>
  </si>
  <si>
    <t>5142</t>
  </si>
  <si>
    <t>Electrical MRP Substations and OH Distribution</t>
  </si>
  <si>
    <t>515</t>
  </si>
  <si>
    <t>5151</t>
  </si>
  <si>
    <t>I&amp;C MRP Communication Systems</t>
  </si>
  <si>
    <t>5152</t>
  </si>
  <si>
    <t>I&amp;C MRP Detection Systems</t>
  </si>
  <si>
    <t>5153</t>
  </si>
  <si>
    <t>I&amp;C MRP Testing  Systems</t>
  </si>
  <si>
    <t>TCA MRP HMI</t>
  </si>
  <si>
    <t>TCA MRP Computers</t>
  </si>
  <si>
    <t>TCA MRP Antennas</t>
  </si>
  <si>
    <t>TCA MRP DCS</t>
  </si>
  <si>
    <t>TCA MRP PLC</t>
  </si>
  <si>
    <t>TCA MRP SCADA</t>
  </si>
  <si>
    <t>TCA MRP ESD</t>
  </si>
  <si>
    <t>Internal Weekly Reports</t>
  </si>
  <si>
    <t>Client Requirements List</t>
  </si>
  <si>
    <t>Engineering QA/RAIL</t>
  </si>
  <si>
    <t>5120</t>
  </si>
  <si>
    <t>Mechanical MRP Pipe Fittings</t>
  </si>
  <si>
    <t>5121</t>
  </si>
  <si>
    <t>Mechanical MRP Specialty Items</t>
  </si>
  <si>
    <t>PE EIT</t>
  </si>
  <si>
    <t>Project Phase</t>
  </si>
  <si>
    <t>ICT MRP</t>
  </si>
  <si>
    <t>5154</t>
  </si>
  <si>
    <t>5155</t>
  </si>
  <si>
    <t>5156</t>
  </si>
  <si>
    <t>5157</t>
  </si>
  <si>
    <t>5158</t>
  </si>
  <si>
    <t>5159</t>
  </si>
  <si>
    <t>5160</t>
  </si>
  <si>
    <t>Cell Color</t>
  </si>
  <si>
    <t>COA review Electrical</t>
  </si>
  <si>
    <t>COA review Mechanical</t>
  </si>
  <si>
    <t xml:space="preserve">Annual COA review.  </t>
  </si>
  <si>
    <t>Levels</t>
  </si>
  <si>
    <t>L1</t>
  </si>
  <si>
    <t>L2</t>
  </si>
  <si>
    <t>L3</t>
  </si>
  <si>
    <t>L4</t>
  </si>
  <si>
    <t>L5</t>
  </si>
  <si>
    <t>L6</t>
  </si>
  <si>
    <t xml:space="preserve">l7 </t>
  </si>
  <si>
    <t>L8</t>
  </si>
  <si>
    <t>RsCod</t>
  </si>
  <si>
    <t>Short</t>
  </si>
  <si>
    <t>TRN</t>
  </si>
  <si>
    <t>JR</t>
  </si>
  <si>
    <t>INT</t>
  </si>
  <si>
    <t>SR</t>
  </si>
  <si>
    <t>LD</t>
  </si>
  <si>
    <t>SP</t>
  </si>
  <si>
    <t>SME</t>
  </si>
  <si>
    <t>FIN</t>
  </si>
  <si>
    <t>Admin</t>
  </si>
  <si>
    <t>AD</t>
  </si>
  <si>
    <t>Document Controller</t>
  </si>
  <si>
    <t>DC</t>
  </si>
  <si>
    <t>Project Manager</t>
  </si>
  <si>
    <t xml:space="preserve">PM </t>
  </si>
  <si>
    <t>Project Engineer</t>
  </si>
  <si>
    <t>PE</t>
  </si>
  <si>
    <t>Project Coordinator</t>
  </si>
  <si>
    <t>PCO</t>
  </si>
  <si>
    <t>Project Controller</t>
  </si>
  <si>
    <t>PC</t>
  </si>
  <si>
    <t>Process Engineer</t>
  </si>
  <si>
    <t>PEng</t>
  </si>
  <si>
    <t>Mechanical Engineer</t>
  </si>
  <si>
    <t>MEng</t>
  </si>
  <si>
    <t>32T</t>
  </si>
  <si>
    <t>Mechanical Technologist</t>
  </si>
  <si>
    <t>MTech</t>
  </si>
  <si>
    <t>Electrical Engineer</t>
  </si>
  <si>
    <t>EEng</t>
  </si>
  <si>
    <t>33T</t>
  </si>
  <si>
    <t>Electrical Technologist</t>
  </si>
  <si>
    <t>ETech</t>
  </si>
  <si>
    <t>Instrumentation Engineer</t>
  </si>
  <si>
    <t>ICEng</t>
  </si>
  <si>
    <t>34T</t>
  </si>
  <si>
    <t>Instrumentation Technologist</t>
  </si>
  <si>
    <t>ICTech</t>
  </si>
  <si>
    <t>35</t>
  </si>
  <si>
    <t>Telecom and Automation Engineer</t>
  </si>
  <si>
    <t>TCAEng</t>
  </si>
  <si>
    <t>35T</t>
  </si>
  <si>
    <t>Telecom and Automation Technologist</t>
  </si>
  <si>
    <t>TCATech</t>
  </si>
  <si>
    <t>36</t>
  </si>
  <si>
    <t>Civil, Structural, Architectural Engineer</t>
  </si>
  <si>
    <t>CSAEng</t>
  </si>
  <si>
    <t>Process and Piping Drafter</t>
  </si>
  <si>
    <t>PPDrf</t>
  </si>
  <si>
    <t>Electrical, IC and TCA Drafter</t>
  </si>
  <si>
    <t>EICTDrf</t>
  </si>
  <si>
    <t>Civil, Structural &amp; Architectural Drafter</t>
  </si>
  <si>
    <t>CSADrf</t>
  </si>
  <si>
    <t>Supply Chain Procurement</t>
  </si>
  <si>
    <t>SCProc</t>
  </si>
  <si>
    <t>52</t>
  </si>
  <si>
    <t>Supply Chain Contracts</t>
  </si>
  <si>
    <t>SCCont</t>
  </si>
  <si>
    <t>61</t>
  </si>
  <si>
    <t>Construction Manager</t>
  </si>
  <si>
    <t>CM</t>
  </si>
  <si>
    <t>62</t>
  </si>
  <si>
    <t>Field Engineer</t>
  </si>
  <si>
    <t>FEng</t>
  </si>
  <si>
    <t>Cost Accounts</t>
  </si>
  <si>
    <t>Material Accounts Handling Costs</t>
  </si>
  <si>
    <t>MAT +</t>
  </si>
  <si>
    <t>In Training</t>
  </si>
  <si>
    <t>Software Support Costs</t>
  </si>
  <si>
    <t>SSC</t>
  </si>
  <si>
    <t xml:space="preserve">@ cost  </t>
  </si>
  <si>
    <t>EIT</t>
  </si>
  <si>
    <t>Eng in Training</t>
  </si>
  <si>
    <t>Site Visits Costs</t>
  </si>
  <si>
    <t>SVC</t>
  </si>
  <si>
    <t>Junior</t>
  </si>
  <si>
    <t>Third Party Sub-Contractor</t>
  </si>
  <si>
    <t>3P S-C</t>
  </si>
  <si>
    <t>Intermediate</t>
  </si>
  <si>
    <t>Senior</t>
  </si>
  <si>
    <t>17</t>
  </si>
  <si>
    <t>Lead</t>
  </si>
  <si>
    <t>17.1</t>
  </si>
  <si>
    <t>ETAP Model Setup</t>
  </si>
  <si>
    <t>ETAP SU</t>
  </si>
  <si>
    <t>Specialist</t>
  </si>
  <si>
    <t>17.2</t>
  </si>
  <si>
    <t>ETAP use per hr</t>
  </si>
  <si>
    <t>Subject Matter Specialist</t>
  </si>
  <si>
    <t>17.3</t>
  </si>
  <si>
    <t>AFL</t>
  </si>
  <si>
    <t>Forensic Investigator</t>
  </si>
  <si>
    <t>17.4</t>
  </si>
  <si>
    <t>SmartPlan / hr</t>
  </si>
  <si>
    <t>17.5</t>
  </si>
  <si>
    <t>Pathloss / hr</t>
  </si>
  <si>
    <t>17.6</t>
  </si>
  <si>
    <t>Unisim / hr</t>
  </si>
  <si>
    <t>17.7</t>
  </si>
  <si>
    <t>Network/ Telecom Bundle / hr</t>
  </si>
  <si>
    <t>Many</t>
  </si>
  <si>
    <t>17.8</t>
  </si>
  <si>
    <t>@Risk Simulations / hr</t>
  </si>
  <si>
    <t>@Risk</t>
  </si>
  <si>
    <t>17.9</t>
  </si>
  <si>
    <t>18</t>
  </si>
  <si>
    <t>Site Visit Cost</t>
  </si>
  <si>
    <t>Cost + %</t>
  </si>
  <si>
    <t>19</t>
  </si>
  <si>
    <t>3P Subcontract</t>
  </si>
  <si>
    <t xml:space="preserve">19.1 </t>
  </si>
  <si>
    <t>19.2</t>
  </si>
  <si>
    <t>Mechanical Engineering</t>
  </si>
  <si>
    <t>Process Engineering</t>
  </si>
  <si>
    <t>19.3</t>
  </si>
  <si>
    <t>Electrical Engineeirng</t>
  </si>
  <si>
    <t>19.4</t>
  </si>
  <si>
    <t>IC Engineeirng</t>
  </si>
  <si>
    <t>19.5</t>
  </si>
  <si>
    <t>REIMBURSABLE COST</t>
  </si>
  <si>
    <t>C18</t>
  </si>
  <si>
    <t>SPECIALTY SOFTWARE COST</t>
  </si>
  <si>
    <t>N/A</t>
  </si>
  <si>
    <t>TOTAL PROJECT COST</t>
  </si>
  <si>
    <t>TOTAL REIMBURSABLE COST</t>
  </si>
  <si>
    <t>SSC Costs (Specialized Software)</t>
  </si>
  <si>
    <t>COST LINE</t>
  </si>
  <si>
    <t xml:space="preserve"> </t>
  </si>
  <si>
    <t>TOTAL CATCH COST</t>
  </si>
  <si>
    <t xml:space="preserve">SUPPLY CHAIN </t>
  </si>
  <si>
    <t>SUPPLY CHAIN</t>
  </si>
  <si>
    <t>521</t>
  </si>
  <si>
    <t>522</t>
  </si>
  <si>
    <t>523</t>
  </si>
  <si>
    <t>524</t>
  </si>
  <si>
    <t>525</t>
  </si>
  <si>
    <t>526</t>
  </si>
  <si>
    <t>527</t>
  </si>
  <si>
    <t>ENGINEERING COST</t>
  </si>
  <si>
    <t>M EQUP</t>
  </si>
  <si>
    <t>E EQUIP</t>
  </si>
  <si>
    <t>IC EQUIP</t>
  </si>
  <si>
    <t>LSD</t>
  </si>
  <si>
    <t>PROV/STATE</t>
  </si>
  <si>
    <t>Biweekly Meetings?</t>
  </si>
  <si>
    <t>Duration</t>
  </si>
  <si>
    <t>Employee.title</t>
  </si>
  <si>
    <t>Executive Assistant</t>
  </si>
  <si>
    <t>L2.3.24 JR Project Controller</t>
  </si>
  <si>
    <t>L2.4.33E JR Electrical Engineer</t>
  </si>
  <si>
    <t>L2.4.35E JR Controls Engineer</t>
  </si>
  <si>
    <t>L2.5.35T JR Controls Technologist</t>
  </si>
  <si>
    <t>L2.6.42 JR EI&amp;C Drafter</t>
  </si>
  <si>
    <t>L2.8.23 JR Project Coordinator</t>
  </si>
  <si>
    <t>L2.9.22 JR Project Engineer</t>
  </si>
  <si>
    <t>L3.1.11 INT Administrator</t>
  </si>
  <si>
    <t>L3.4.33E INT Electrical Engineer</t>
  </si>
  <si>
    <t>L3.5.33T INT Electrical Technologist</t>
  </si>
  <si>
    <t>L3.6.42 INT EI&amp;C Drafter</t>
  </si>
  <si>
    <t>L4.1.11 SR Administrator</t>
  </si>
  <si>
    <t>L4.12.21 SR Project Manager</t>
  </si>
  <si>
    <t>L4.2.12 SR Document Controller</t>
  </si>
  <si>
    <t>L4.3.24 SR Project Controller</t>
  </si>
  <si>
    <t>L4.4.31E SR Process Engineer</t>
  </si>
  <si>
    <t>L4.4.33E SR Electrical Engineer</t>
  </si>
  <si>
    <t>L4.4.34E SR Instrumentation Engineer</t>
  </si>
  <si>
    <t>L4.5.32T Mechanical Technologist</t>
  </si>
  <si>
    <t>L4.5.33T SR Electrical Technologist</t>
  </si>
  <si>
    <t>L4.5.35T SE Controls Technologist</t>
  </si>
  <si>
    <t>L4.6.33T SR Electrical Technologist</t>
  </si>
  <si>
    <t>L4.6.42 SR EI&amp;C Drafter</t>
  </si>
  <si>
    <t>L4.8.23 SR Project Coordinator</t>
  </si>
  <si>
    <t>L4.9.22 SR Project Engineer</t>
  </si>
  <si>
    <t>L5.4.31E LD Process Engineer</t>
  </si>
  <si>
    <t>L5.4.32E  LD Mechanical Engineer</t>
  </si>
  <si>
    <t>L5.4.33E SR Electrical Engineer</t>
  </si>
  <si>
    <t>L5.4.35E LD Controls Engineer</t>
  </si>
  <si>
    <t>L5.5.35T LD Controls Technologist</t>
  </si>
  <si>
    <t>L5.6.41 LD Process and Piping Drafter</t>
  </si>
  <si>
    <t>L5.6.42 LD EI&amp;C Drafter</t>
  </si>
  <si>
    <t>L6.4.33E SP Electrical Engineer</t>
  </si>
  <si>
    <t>L6.4.36E SP Telecom and Automation Engineer</t>
  </si>
  <si>
    <t>L7.4.33E SME Electrical Engineer</t>
  </si>
  <si>
    <t>VP Finance</t>
  </si>
  <si>
    <t>VP of Business Development</t>
  </si>
  <si>
    <t>Project Manager,JR</t>
  </si>
  <si>
    <t>Project Manager,INT</t>
  </si>
  <si>
    <t>Project Manager,SR</t>
  </si>
  <si>
    <t>Project Manager,LD</t>
  </si>
  <si>
    <t>Project Manager,SP</t>
  </si>
  <si>
    <t>Project Manager,SME</t>
  </si>
  <si>
    <t>Administrator,TRN</t>
  </si>
  <si>
    <t>Document Controller,TRN</t>
  </si>
  <si>
    <t>Document Controller,JR</t>
  </si>
  <si>
    <t>Document Controller,INT</t>
  </si>
  <si>
    <t>Document Controller,SR</t>
  </si>
  <si>
    <t>Document Controller,LD</t>
  </si>
  <si>
    <t>Project Engineer,EIT</t>
  </si>
  <si>
    <t>Project Engineer,JR</t>
  </si>
  <si>
    <t>Project Engineer,INT</t>
  </si>
  <si>
    <t>Project Engineer,SR</t>
  </si>
  <si>
    <t>Project Engineer,LD</t>
  </si>
  <si>
    <t>Project Controller,TRN</t>
  </si>
  <si>
    <t>Project Controller,JR</t>
  </si>
  <si>
    <t>Project Controller,INT</t>
  </si>
  <si>
    <t>Project Controller,SR</t>
  </si>
  <si>
    <t>Project Controller,LD</t>
  </si>
  <si>
    <t>Process Engineer,EIT</t>
  </si>
  <si>
    <t>Process Engineer,JR</t>
  </si>
  <si>
    <t>Process Engineer,INT</t>
  </si>
  <si>
    <t>Process Engineer,SR</t>
  </si>
  <si>
    <t>Process Engineer,LD</t>
  </si>
  <si>
    <t>Process Engineer,SP</t>
  </si>
  <si>
    <t>Process Engineer,SME</t>
  </si>
  <si>
    <t>Mechanical Engineer,EIT</t>
  </si>
  <si>
    <t>Mechanical Engineer,JR</t>
  </si>
  <si>
    <t>Mechanical Engineer,INT</t>
  </si>
  <si>
    <t>Mechanical Engineer,SR</t>
  </si>
  <si>
    <t>Mechanical Engineer,LD</t>
  </si>
  <si>
    <t>Mechanical Engineer, SP</t>
  </si>
  <si>
    <t>Mechanical Engineer, SME</t>
  </si>
  <si>
    <t>Electrical Engineer, EIT</t>
  </si>
  <si>
    <t>Electrical Engineer, JR</t>
  </si>
  <si>
    <t>Electrical Engineer, INT</t>
  </si>
  <si>
    <t>Electrical Engineer, SR</t>
  </si>
  <si>
    <t>Electrical Engineer, LD</t>
  </si>
  <si>
    <t>Electrical Engineer, SP</t>
  </si>
  <si>
    <t>Electrical Engineer, SME</t>
  </si>
  <si>
    <t>Instrumentation Engineer, EIT</t>
  </si>
  <si>
    <t>Instrumentation Engineer, JR</t>
  </si>
  <si>
    <t>Instrumentation Engineer, INT</t>
  </si>
  <si>
    <t>Instrumentation Engineer, SR</t>
  </si>
  <si>
    <t>Instrumentation Engineer, LD</t>
  </si>
  <si>
    <t>Instrumentation Engineer, SP</t>
  </si>
  <si>
    <t>Instrumentation Engineer, SME</t>
  </si>
  <si>
    <t>Employee.firstName Employee.lastName</t>
  </si>
  <si>
    <t>Power BI</t>
  </si>
  <si>
    <t>Specialized Software</t>
  </si>
  <si>
    <t>Josie Cassidy</t>
  </si>
  <si>
    <t>Ryan Sorensen</t>
  </si>
  <si>
    <t>Aaron Botterill</t>
  </si>
  <si>
    <t>Amaan Taimuri</t>
  </si>
  <si>
    <t>William Flemke</t>
  </si>
  <si>
    <t>Kurt Bergmann</t>
  </si>
  <si>
    <t>Cristian Agrafojo</t>
  </si>
  <si>
    <t>Alex Heal</t>
  </si>
  <si>
    <t>Samar Ibrahim</t>
  </si>
  <si>
    <t>Stephen Chan</t>
  </si>
  <si>
    <t>Shawn Biswas</t>
  </si>
  <si>
    <t>Alejandro Aristizabal</t>
  </si>
  <si>
    <t>Maria Cristina Ciorac</t>
  </si>
  <si>
    <t>Raymund Roy</t>
  </si>
  <si>
    <t>Tamara Wagner</t>
  </si>
  <si>
    <t>Galina Harris</t>
  </si>
  <si>
    <t>Tim Mah</t>
  </si>
  <si>
    <t>Olga Moroz</t>
  </si>
  <si>
    <t>Ivan Kolevski</t>
  </si>
  <si>
    <t>Mohammad Yazdi</t>
  </si>
  <si>
    <t>Lionel Gunawardhana</t>
  </si>
  <si>
    <t>Jarbas Vieira</t>
  </si>
  <si>
    <t>Shadman Haghighat</t>
  </si>
  <si>
    <t>Gordon Pogue</t>
  </si>
  <si>
    <t>Nathan Grossklaus</t>
  </si>
  <si>
    <t>Edgar Buenaventura</t>
  </si>
  <si>
    <t>Edgar Dayrit</t>
  </si>
  <si>
    <t>Lokesh Konchady</t>
  </si>
  <si>
    <t>Simon White</t>
  </si>
  <si>
    <t>Sharna Batey</t>
  </si>
  <si>
    <t>Travis Conner</t>
  </si>
  <si>
    <t>Todd Hustrulid</t>
  </si>
  <si>
    <t>Kazem Malekafzali</t>
  </si>
  <si>
    <t>Theraj Jayaprakasan</t>
  </si>
  <si>
    <t>Roberto Villestas</t>
  </si>
  <si>
    <t>Derek Voyce</t>
  </si>
  <si>
    <t>David Grossklaus</t>
  </si>
  <si>
    <t>Stacy MacHale</t>
  </si>
  <si>
    <t>Paul Heal</t>
  </si>
  <si>
    <t>Bill Cai</t>
  </si>
  <si>
    <t>Jack Chan</t>
  </si>
  <si>
    <t>Jason George</t>
  </si>
  <si>
    <t>Hartley Harris</t>
  </si>
  <si>
    <t>Gregory  Harris</t>
  </si>
  <si>
    <t>Nick Cosentino</t>
  </si>
  <si>
    <t>Administrator,JR</t>
  </si>
  <si>
    <t>Administrator,INT</t>
  </si>
  <si>
    <t>Administrator,SR</t>
  </si>
  <si>
    <t>Telecom and Automation Engineer, EIT</t>
  </si>
  <si>
    <t>Telecom and Automation Engineer, JR</t>
  </si>
  <si>
    <t>Telecom and Automation Engineer, INT</t>
  </si>
  <si>
    <t>Telecom and Automation Engineer, SR</t>
  </si>
  <si>
    <t>Telecom and Automation Engineer, LD</t>
  </si>
  <si>
    <t>Telecom and Automation Engineer, SP</t>
  </si>
  <si>
    <t>Telecom and Automation Engineer, SME</t>
  </si>
  <si>
    <t>Electrical Technologist, TRN</t>
  </si>
  <si>
    <t>Electrical Technologist, JR</t>
  </si>
  <si>
    <t>Electrical Technologist, INT</t>
  </si>
  <si>
    <t>Electrical Technologist, SR</t>
  </si>
  <si>
    <t>Electrical Technologist, LD</t>
  </si>
  <si>
    <t>Electrical Technologist, SP</t>
  </si>
  <si>
    <t>Electrical Technologist, SME</t>
  </si>
  <si>
    <t>Controls Technologist, TRN</t>
  </si>
  <si>
    <t>Controls Technologist, JR</t>
  </si>
  <si>
    <t>Controls Technologist, INT</t>
  </si>
  <si>
    <t>Controls Technologist, SR</t>
  </si>
  <si>
    <t>Controls Technologist, LD</t>
  </si>
  <si>
    <t>Controls Technologist, SP</t>
  </si>
  <si>
    <t>Controls Technologist, SME</t>
  </si>
  <si>
    <t>Telecom and Automation Technologist, TRN</t>
  </si>
  <si>
    <t>Telecom and Automation Technologist, JR</t>
  </si>
  <si>
    <t>Telecom and Automation Technologist, INT</t>
  </si>
  <si>
    <t>Telecom and Automation Technologist, SR</t>
  </si>
  <si>
    <t>Telecom and Automation Technologist, LD</t>
  </si>
  <si>
    <t>Telecom and Automation Technologist, SP</t>
  </si>
  <si>
    <t>Telecom and Automation Technologist, SME</t>
  </si>
  <si>
    <t>SC Proc, TRN</t>
  </si>
  <si>
    <t>SC Proc, JR</t>
  </si>
  <si>
    <t>SC Proc, INT</t>
  </si>
  <si>
    <t>SC Proc, SR</t>
  </si>
  <si>
    <t>SC Proc, LD</t>
  </si>
  <si>
    <t>SC Cont, TRN</t>
  </si>
  <si>
    <t>SC Cont, JR</t>
  </si>
  <si>
    <t>SC Cont, INT</t>
  </si>
  <si>
    <t>SC Cont, SR</t>
  </si>
  <si>
    <t>SC Cont, LD</t>
  </si>
  <si>
    <t>Project Coordinator,TRN</t>
  </si>
  <si>
    <t>Project Coordinator,JR</t>
  </si>
  <si>
    <t>Project Coordinator,INT</t>
  </si>
  <si>
    <t>Project Coordinator,SR</t>
  </si>
  <si>
    <t>Project Coordinator,LD</t>
  </si>
  <si>
    <t>Project Coordinator,SP</t>
  </si>
  <si>
    <t>EI&amp;C Drafter,INT</t>
  </si>
  <si>
    <t>EI&amp;C Drafter, TRN</t>
  </si>
  <si>
    <t>EI&amp;C Drafter, JR</t>
  </si>
  <si>
    <t>EI&amp;C Drafter, SR</t>
  </si>
  <si>
    <t>EI&amp;C Drafter, LD</t>
  </si>
  <si>
    <t>EI&amp;C Drafter, SP</t>
  </si>
  <si>
    <t>Process and Piping Drafter, TRN</t>
  </si>
  <si>
    <t>Process and Piping Drafter, JR</t>
  </si>
  <si>
    <t>Process and Piping Drafter, INT</t>
  </si>
  <si>
    <t>Process and Piping Drafter, SR</t>
  </si>
  <si>
    <t>Process and Piping Drafter, LD</t>
  </si>
  <si>
    <t>Process and Piping Drafter, SP</t>
  </si>
  <si>
    <t>CSA Eng,Drf TRN</t>
  </si>
  <si>
    <t>CSA Eng,Drf JR</t>
  </si>
  <si>
    <t>CSA Eng,Drf INT</t>
  </si>
  <si>
    <t>CSA Eng,Drf SR</t>
  </si>
  <si>
    <t>CSA Eng,Drf LD</t>
  </si>
  <si>
    <t>CSA Eng,Drf SP</t>
  </si>
  <si>
    <t>CSA Eng, EIT</t>
  </si>
  <si>
    <t>CSA Eng, JR</t>
  </si>
  <si>
    <t>CSA Eng, INT</t>
  </si>
  <si>
    <t>CSA Eng, SR</t>
  </si>
  <si>
    <t>CSA Eng, LD</t>
  </si>
  <si>
    <t>CSA Eng, SP</t>
  </si>
  <si>
    <t>CSA Eng, SME</t>
  </si>
  <si>
    <t>Project Name</t>
  </si>
  <si>
    <t>Client Code</t>
  </si>
  <si>
    <t>Location</t>
  </si>
  <si>
    <t>Project Code</t>
  </si>
  <si>
    <t>Project Start</t>
  </si>
  <si>
    <t>Contingency</t>
  </si>
  <si>
    <t>Estimate Class</t>
  </si>
  <si>
    <t>Accu Score</t>
  </si>
  <si>
    <t>Commerc PM</t>
  </si>
  <si>
    <t>Tech PM</t>
  </si>
  <si>
    <t>Estimator</t>
  </si>
  <si>
    <t>Approver</t>
  </si>
  <si>
    <t>Test Project</t>
  </si>
  <si>
    <t>PPC</t>
  </si>
  <si>
    <t>0125</t>
  </si>
  <si>
    <t>AB</t>
  </si>
  <si>
    <t>2025-01-24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</si>
</sst>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&quot;$&quot;#,##0.00"/>
    <numFmt numFmtId="166" formatCode="0.0"/>
    <numFmt numFmtId="167" formatCode="#,##0.0"/>
    <numFmt numFmtId="168" formatCode="#,##0.0_ ;\-#,##0.0\ "/>
  </numFmts>
  <fonts count="23" x14ac:knownFonts="1"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1"/>
      <color theme="1"/>
      <name val="Cambria"/>
      <family val="2"/>
    </font>
    <font>
      <sz val="10"/>
      <name val="Arial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0"/>
      <color theme="1"/>
      <name val="Cambria"/>
      <family val="1"/>
    </font>
    <font>
      <b/>
      <sz val="11"/>
      <color rgb="FFFFFF00"/>
      <name val="Cambria"/>
      <family val="1"/>
    </font>
    <font>
      <sz val="8"/>
      <name val="Cambria"/>
      <family val="2"/>
    </font>
    <font>
      <sz val="9"/>
      <name val="Verdana"/>
      <family val="2"/>
    </font>
    <font>
      <b/>
      <sz val="11"/>
      <name val="Cambria"/>
      <family val="1"/>
    </font>
    <font>
      <sz val="11"/>
      <color rgb="FF000000"/>
      <name val="Cambria"/>
      <family val="1"/>
    </font>
    <font>
      <sz val="10"/>
      <color rgb="FFFFFF00"/>
      <name val="Cambria"/>
      <family val="1"/>
    </font>
    <font>
      <b/>
      <sz val="12"/>
      <color rgb="FFFFFF00"/>
      <name val="Cambria"/>
      <family val="1"/>
    </font>
    <font>
      <sz val="11"/>
      <color rgb="FF630811"/>
      <name val="Cambria"/>
      <family val="2"/>
    </font>
    <font>
      <sz val="11"/>
      <color theme="0"/>
      <name val="Cambria"/>
      <family val="2"/>
    </font>
    <font>
      <sz val="10"/>
      <color theme="1"/>
      <name val="Cambria"/>
      <family val="2"/>
    </font>
    <font>
      <sz val="10"/>
      <color rgb="FF006100"/>
      <name val="Cambria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812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3081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7E72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0" fontId="8" fillId="0" borderId="0"/>
    <xf numFmtId="9" fontId="3" fillId="0" borderId="0" applyFont="0" applyFill="0" applyBorder="0" applyAlignment="0" applyProtection="0"/>
    <xf numFmtId="0" fontId="14" fillId="0" borderId="0"/>
    <xf numFmtId="0" fontId="4" fillId="0" borderId="0"/>
    <xf numFmtId="0" fontId="4" fillId="0" borderId="0"/>
    <xf numFmtId="0" fontId="21" fillId="0" borderId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2" fillId="23" borderId="0" applyNumberFormat="0" applyBorder="0" applyAlignment="0" applyProtection="0"/>
    <xf numFmtId="0" fontId="1" fillId="0" borderId="0"/>
  </cellStyleXfs>
  <cellXfs count="244">
    <xf numFmtId="0" fontId="0" fillId="0" borderId="0" xfId="0"/>
    <xf numFmtId="0" fontId="10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49" fontId="5" fillId="0" borderId="0" xfId="4" applyNumberFormat="1" applyFont="1" applyAlignment="1" applyProtection="1">
      <alignment horizontal="left" vertical="center"/>
      <protection hidden="1"/>
    </xf>
    <xf numFmtId="1" fontId="11" fillId="0" borderId="4" xfId="1" applyNumberFormat="1" applyFont="1" applyFill="1" applyBorder="1" applyAlignment="1" applyProtection="1">
      <alignment horizontal="center" vertical="center"/>
    </xf>
    <xf numFmtId="164" fontId="12" fillId="10" borderId="6" xfId="2" applyNumberFormat="1" applyFont="1" applyFill="1" applyBorder="1" applyAlignment="1" applyProtection="1">
      <alignment horizontal="center" vertical="center"/>
    </xf>
    <xf numFmtId="0" fontId="10" fillId="13" borderId="0" xfId="0" applyFont="1" applyFill="1" applyAlignment="1">
      <alignment vertical="center"/>
    </xf>
    <xf numFmtId="9" fontId="6" fillId="13" borderId="0" xfId="3" applyFont="1" applyFill="1" applyAlignment="1">
      <alignment vertical="center"/>
    </xf>
    <xf numFmtId="44" fontId="12" fillId="10" borderId="6" xfId="2" applyFont="1" applyFill="1" applyBorder="1" applyAlignment="1" applyProtection="1">
      <alignment horizontal="center" vertical="center"/>
    </xf>
    <xf numFmtId="0" fontId="10" fillId="14" borderId="0" xfId="0" applyFont="1" applyFill="1" applyAlignment="1">
      <alignment vertical="center"/>
    </xf>
    <xf numFmtId="2" fontId="11" fillId="0" borderId="4" xfId="1" applyNumberFormat="1" applyFont="1" applyFill="1" applyBorder="1" applyAlignment="1" applyProtection="1">
      <alignment horizontal="center" vertical="center"/>
    </xf>
    <xf numFmtId="9" fontId="6" fillId="14" borderId="0" xfId="3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9" fillId="16" borderId="8" xfId="0" applyFont="1" applyFill="1" applyBorder="1" applyAlignment="1">
      <alignment horizontal="center" vertical="center" wrapText="1"/>
    </xf>
    <xf numFmtId="0" fontId="9" fillId="16" borderId="7" xfId="0" applyFont="1" applyFill="1" applyBorder="1" applyAlignment="1">
      <alignment horizontal="center" vertical="center" wrapText="1"/>
    </xf>
    <xf numFmtId="0" fontId="9" fillId="16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/>
    </xf>
    <xf numFmtId="44" fontId="0" fillId="0" borderId="1" xfId="2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Border="1"/>
    <xf numFmtId="0" fontId="0" fillId="0" borderId="12" xfId="0" applyBorder="1"/>
    <xf numFmtId="9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9" fontId="0" fillId="0" borderId="1" xfId="2" applyNumberFormat="1" applyFont="1" applyBorder="1" applyAlignment="1">
      <alignment vertical="center"/>
    </xf>
    <xf numFmtId="166" fontId="5" fillId="8" borderId="4" xfId="0" applyNumberFormat="1" applyFont="1" applyFill="1" applyBorder="1" applyAlignment="1" applyProtection="1">
      <alignment horizontal="center" vertical="center"/>
      <protection hidden="1"/>
    </xf>
    <xf numFmtId="2" fontId="7" fillId="7" borderId="4" xfId="0" applyNumberFormat="1" applyFont="1" applyFill="1" applyBorder="1" applyAlignment="1" applyProtection="1">
      <alignment horizontal="center" vertical="center"/>
      <protection hidden="1"/>
    </xf>
    <xf numFmtId="2" fontId="5" fillId="8" borderId="4" xfId="0" applyNumberFormat="1" applyFont="1" applyFill="1" applyBorder="1" applyAlignment="1" applyProtection="1">
      <alignment horizontal="center" vertical="center"/>
      <protection hidden="1"/>
    </xf>
    <xf numFmtId="2" fontId="7" fillId="7" borderId="4" xfId="0" applyNumberFormat="1" applyFont="1" applyFill="1" applyBorder="1" applyAlignment="1" applyProtection="1">
      <alignment horizontal="center" vertical="center"/>
      <protection locked="0"/>
    </xf>
    <xf numFmtId="166" fontId="5" fillId="8" borderId="4" xfId="0" applyNumberFormat="1" applyFont="1" applyFill="1" applyBorder="1" applyAlignment="1" applyProtection="1">
      <alignment vertical="center"/>
      <protection hidden="1"/>
    </xf>
    <xf numFmtId="2" fontId="5" fillId="8" borderId="4" xfId="0" applyNumberFormat="1" applyFont="1" applyFill="1" applyBorder="1" applyAlignment="1" applyProtection="1">
      <alignment vertical="center"/>
      <protection hidden="1"/>
    </xf>
    <xf numFmtId="49" fontId="5" fillId="0" borderId="0" xfId="4" applyNumberFormat="1" applyFont="1" applyAlignment="1" applyProtection="1">
      <alignment horizontal="center" vertical="center" textRotation="90" wrapText="1"/>
      <protection hidden="1"/>
    </xf>
    <xf numFmtId="44" fontId="5" fillId="0" borderId="4" xfId="2" applyFont="1" applyBorder="1" applyAlignment="1" applyProtection="1">
      <alignment horizontal="center" vertical="center"/>
      <protection hidden="1"/>
    </xf>
    <xf numFmtId="44" fontId="5" fillId="0" borderId="0" xfId="2" applyFont="1" applyAlignment="1" applyProtection="1">
      <alignment horizontal="center" vertical="center"/>
      <protection hidden="1"/>
    </xf>
    <xf numFmtId="2" fontId="5" fillId="0" borderId="0" xfId="4" applyNumberFormat="1" applyFont="1" applyAlignment="1" applyProtection="1">
      <alignment horizontal="center" vertical="center"/>
      <protection hidden="1"/>
    </xf>
    <xf numFmtId="2" fontId="5" fillId="0" borderId="0" xfId="4" applyNumberFormat="1" applyFont="1" applyAlignment="1" applyProtection="1">
      <alignment vertical="center"/>
      <protection hidden="1"/>
    </xf>
    <xf numFmtId="165" fontId="5" fillId="0" borderId="0" xfId="4" applyNumberFormat="1" applyFont="1" applyAlignment="1" applyProtection="1">
      <alignment horizontal="center" vertical="center"/>
      <protection hidden="1"/>
    </xf>
    <xf numFmtId="0" fontId="5" fillId="0" borderId="0" xfId="4" applyFont="1" applyAlignment="1" applyProtection="1">
      <alignment vertical="center"/>
      <protection hidden="1"/>
    </xf>
    <xf numFmtId="2" fontId="5" fillId="8" borderId="4" xfId="1" applyNumberFormat="1" applyFont="1" applyFill="1" applyBorder="1" applyAlignment="1" applyProtection="1">
      <alignment horizontal="center" vertical="center"/>
      <protection hidden="1"/>
    </xf>
    <xf numFmtId="165" fontId="5" fillId="8" borderId="4" xfId="4" applyNumberFormat="1" applyFont="1" applyFill="1" applyBorder="1" applyAlignment="1" applyProtection="1">
      <alignment horizontal="center" vertical="center"/>
      <protection hidden="1"/>
    </xf>
    <xf numFmtId="2" fontId="5" fillId="8" borderId="4" xfId="4" applyNumberFormat="1" applyFont="1" applyFill="1" applyBorder="1" applyAlignment="1" applyProtection="1">
      <alignment horizontal="center" vertical="center"/>
      <protection hidden="1"/>
    </xf>
    <xf numFmtId="165" fontId="5" fillId="3" borderId="4" xfId="4" applyNumberFormat="1" applyFont="1" applyFill="1" applyBorder="1" applyAlignment="1" applyProtection="1">
      <alignment horizontal="center" vertical="center"/>
      <protection locked="0"/>
    </xf>
    <xf numFmtId="4" fontId="5" fillId="0" borderId="4" xfId="4" applyNumberFormat="1" applyFont="1" applyBorder="1" applyAlignment="1" applyProtection="1">
      <alignment horizontal="center" vertical="center"/>
      <protection locked="0"/>
    </xf>
    <xf numFmtId="2" fontId="7" fillId="7" borderId="4" xfId="0" applyNumberFormat="1" applyFont="1" applyFill="1" applyBorder="1" applyAlignment="1" applyProtection="1">
      <alignment vertical="center"/>
      <protection hidden="1"/>
    </xf>
    <xf numFmtId="2" fontId="5" fillId="0" borderId="0" xfId="1" applyNumberFormat="1" applyFont="1" applyAlignment="1" applyProtection="1">
      <alignment horizontal="center" vertical="center"/>
      <protection hidden="1"/>
    </xf>
    <xf numFmtId="2" fontId="7" fillId="0" borderId="4" xfId="0" applyNumberFormat="1" applyFont="1" applyBorder="1" applyAlignment="1" applyProtection="1">
      <alignment horizontal="center" vertical="center"/>
      <protection locked="0"/>
    </xf>
    <xf numFmtId="0" fontId="10" fillId="9" borderId="2" xfId="0" applyFont="1" applyFill="1" applyBorder="1" applyAlignment="1">
      <alignment horizontal="center" vertical="center" wrapText="1"/>
    </xf>
    <xf numFmtId="2" fontId="5" fillId="3" borderId="4" xfId="1" applyNumberFormat="1" applyFont="1" applyFill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10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3" xfId="2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3" xfId="0" applyNumberFormat="1" applyBorder="1" applyAlignment="1">
      <alignment horizontal="left" vertical="center"/>
    </xf>
    <xf numFmtId="49" fontId="7" fillId="0" borderId="13" xfId="7" applyNumberFormat="1" applyFont="1" applyBorder="1" applyAlignment="1">
      <alignment vertical="center"/>
    </xf>
    <xf numFmtId="49" fontId="7" fillId="0" borderId="13" xfId="5" applyNumberFormat="1" applyFont="1" applyBorder="1" applyAlignment="1">
      <alignment vertical="center"/>
    </xf>
    <xf numFmtId="49" fontId="7" fillId="0" borderId="13" xfId="5" applyNumberFormat="1" applyFont="1" applyBorder="1" applyAlignment="1">
      <alignment vertical="center" wrapText="1"/>
    </xf>
    <xf numFmtId="49" fontId="7" fillId="0" borderId="0" xfId="0" applyNumberFormat="1" applyFont="1" applyAlignment="1">
      <alignment horizontal="center" vertical="center"/>
    </xf>
    <xf numFmtId="0" fontId="18" fillId="10" borderId="10" xfId="0" applyFont="1" applyFill="1" applyBorder="1" applyAlignment="1">
      <alignment vertical="center"/>
    </xf>
    <xf numFmtId="2" fontId="18" fillId="10" borderId="10" xfId="2" applyNumberFormat="1" applyFont="1" applyFill="1" applyBorder="1" applyAlignment="1" applyProtection="1">
      <alignment horizontal="center" vertical="center"/>
    </xf>
    <xf numFmtId="165" fontId="18" fillId="10" borderId="10" xfId="2" applyNumberFormat="1" applyFont="1" applyFill="1" applyBorder="1" applyAlignment="1" applyProtection="1">
      <alignment horizontal="center" vertical="center"/>
    </xf>
    <xf numFmtId="0" fontId="18" fillId="10" borderId="11" xfId="0" applyFont="1" applyFill="1" applyBorder="1" applyAlignment="1">
      <alignment vertical="center"/>
    </xf>
    <xf numFmtId="164" fontId="18" fillId="10" borderId="10" xfId="2" applyNumberFormat="1" applyFont="1" applyFill="1" applyBorder="1" applyAlignment="1" applyProtection="1">
      <alignment horizontal="center" vertical="center"/>
    </xf>
    <xf numFmtId="165" fontId="10" fillId="0" borderId="0" xfId="0" applyNumberFormat="1" applyFont="1" applyAlignment="1">
      <alignment vertical="center"/>
    </xf>
    <xf numFmtId="165" fontId="0" fillId="0" borderId="0" xfId="2" applyNumberFormat="1" applyFont="1" applyAlignment="1">
      <alignment horizontal="center" vertical="center"/>
    </xf>
    <xf numFmtId="165" fontId="10" fillId="9" borderId="2" xfId="0" applyNumberFormat="1" applyFont="1" applyFill="1" applyBorder="1" applyAlignment="1">
      <alignment horizontal="center" vertical="center"/>
    </xf>
    <xf numFmtId="9" fontId="6" fillId="0" borderId="0" xfId="3" applyFont="1" applyAlignment="1">
      <alignment vertical="center"/>
    </xf>
    <xf numFmtId="9" fontId="17" fillId="0" borderId="0" xfId="3" applyFont="1" applyFill="1" applyAlignment="1">
      <alignment vertical="center"/>
    </xf>
    <xf numFmtId="9" fontId="0" fillId="0" borderId="0" xfId="3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5" fontId="7" fillId="0" borderId="0" xfId="2" applyNumberFormat="1" applyFont="1" applyAlignment="1">
      <alignment horizontal="center" vertical="center"/>
    </xf>
    <xf numFmtId="49" fontId="10" fillId="9" borderId="3" xfId="0" applyNumberFormat="1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9" fontId="7" fillId="4" borderId="0" xfId="3" applyFont="1" applyFill="1" applyAlignment="1">
      <alignment horizontal="center" vertical="center"/>
    </xf>
    <xf numFmtId="9" fontId="7" fillId="14" borderId="0" xfId="3" applyFont="1" applyFill="1" applyAlignment="1">
      <alignment vertical="center"/>
    </xf>
    <xf numFmtId="1" fontId="7" fillId="0" borderId="4" xfId="0" applyNumberFormat="1" applyFont="1" applyBorder="1" applyAlignment="1">
      <alignment horizontal="center" vertical="center"/>
    </xf>
    <xf numFmtId="49" fontId="12" fillId="10" borderId="0" xfId="0" applyNumberFormat="1" applyFont="1" applyFill="1" applyAlignment="1">
      <alignment horizontal="center" vertical="center"/>
    </xf>
    <xf numFmtId="0" fontId="12" fillId="10" borderId="0" xfId="0" applyFont="1" applyFill="1" applyAlignment="1">
      <alignment vertical="center"/>
    </xf>
    <xf numFmtId="0" fontId="12" fillId="10" borderId="0" xfId="0" applyFont="1" applyFill="1" applyAlignment="1">
      <alignment horizontal="center" vertical="center"/>
    </xf>
    <xf numFmtId="44" fontId="12" fillId="10" borderId="0" xfId="2" applyFont="1" applyFill="1" applyAlignment="1" applyProtection="1">
      <alignment horizontal="center" vertical="center"/>
      <protection locked="0"/>
    </xf>
    <xf numFmtId="49" fontId="5" fillId="0" borderId="0" xfId="4" applyNumberFormat="1" applyFont="1" applyAlignment="1" applyProtection="1">
      <alignment horizontal="center" vertical="center"/>
      <protection hidden="1"/>
    </xf>
    <xf numFmtId="2" fontId="5" fillId="0" borderId="4" xfId="4" applyNumberFormat="1" applyFont="1" applyBorder="1" applyAlignment="1" applyProtection="1">
      <alignment horizontal="center" vertical="center"/>
      <protection locked="0"/>
    </xf>
    <xf numFmtId="2" fontId="5" fillId="0" borderId="4" xfId="4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>
      <alignment vertical="center"/>
    </xf>
    <xf numFmtId="0" fontId="7" fillId="0" borderId="5" xfId="0" applyFont="1" applyBorder="1" applyAlignment="1" applyProtection="1">
      <alignment vertical="center"/>
      <protection hidden="1"/>
    </xf>
    <xf numFmtId="49" fontId="7" fillId="0" borderId="4" xfId="4" applyNumberFormat="1" applyFont="1" applyBorder="1" applyAlignment="1" applyProtection="1">
      <alignment horizontal="center" vertical="center"/>
      <protection locked="0"/>
    </xf>
    <xf numFmtId="165" fontId="15" fillId="20" borderId="4" xfId="4" applyNumberFormat="1" applyFont="1" applyFill="1" applyBorder="1" applyAlignment="1" applyProtection="1">
      <alignment vertical="center" wrapText="1"/>
      <protection hidden="1"/>
    </xf>
    <xf numFmtId="44" fontId="5" fillId="20" borderId="4" xfId="2" applyFont="1" applyFill="1" applyBorder="1" applyAlignment="1" applyProtection="1">
      <alignment horizontal="center" vertical="center"/>
      <protection hidden="1"/>
    </xf>
    <xf numFmtId="165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2" fontId="5" fillId="0" borderId="1" xfId="4" applyNumberFormat="1" applyFont="1" applyBorder="1" applyAlignment="1" applyProtection="1">
      <alignment horizontal="center" vertical="center" wrapText="1"/>
      <protection hidden="1"/>
    </xf>
    <xf numFmtId="2" fontId="5" fillId="0" borderId="1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1" xfId="4" applyNumberFormat="1" applyFont="1" applyBorder="1" applyAlignment="1" applyProtection="1">
      <alignment horizontal="center" vertical="center" wrapText="1"/>
      <protection hidden="1"/>
    </xf>
    <xf numFmtId="49" fontId="5" fillId="11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8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4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7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0" borderId="4" xfId="0" applyNumberFormat="1" applyFont="1" applyBorder="1" applyAlignment="1" applyProtection="1">
      <alignment horizontal="center" vertical="center"/>
      <protection hidden="1"/>
    </xf>
    <xf numFmtId="165" fontId="5" fillId="0" borderId="4" xfId="4" applyNumberFormat="1" applyFont="1" applyBorder="1" applyAlignment="1" applyProtection="1">
      <alignment horizontal="center" vertical="center"/>
      <protection hidden="1"/>
    </xf>
    <xf numFmtId="2" fontId="5" fillId="18" borderId="4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4" xfId="4" applyNumberFormat="1" applyFont="1" applyBorder="1" applyAlignment="1" applyProtection="1">
      <alignment vertical="center" wrapText="1"/>
      <protection hidden="1"/>
    </xf>
    <xf numFmtId="44" fontId="5" fillId="0" borderId="4" xfId="2" applyFont="1" applyFill="1" applyBorder="1" applyAlignment="1" applyProtection="1">
      <alignment horizontal="center" vertical="center"/>
      <protection hidden="1"/>
    </xf>
    <xf numFmtId="165" fontId="5" fillId="0" borderId="4" xfId="2" applyNumberFormat="1" applyFont="1" applyFill="1" applyBorder="1" applyAlignment="1" applyProtection="1">
      <alignment horizontal="center" vertical="center"/>
      <protection hidden="1"/>
    </xf>
    <xf numFmtId="165" fontId="5" fillId="0" borderId="4" xfId="2" applyNumberFormat="1" applyFont="1" applyFill="1" applyBorder="1" applyAlignment="1" applyProtection="1">
      <alignment horizontal="center" vertical="center" wrapText="1"/>
      <protection hidden="1"/>
    </xf>
    <xf numFmtId="0" fontId="7" fillId="0" borderId="4" xfId="0" applyFont="1" applyBorder="1" applyAlignment="1">
      <alignment horizontal="left" vertical="center"/>
    </xf>
    <xf numFmtId="49" fontId="10" fillId="7" borderId="4" xfId="0" applyNumberFormat="1" applyFont="1" applyFill="1" applyBorder="1" applyAlignment="1">
      <alignment horizontal="center" vertical="center"/>
    </xf>
    <xf numFmtId="49" fontId="10" fillId="7" borderId="4" xfId="0" applyNumberFormat="1" applyFont="1" applyFill="1" applyBorder="1" applyAlignment="1">
      <alignment horizontal="left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2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49" fontId="10" fillId="0" borderId="4" xfId="0" applyNumberFormat="1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49" fontId="5" fillId="12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21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9" borderId="14" xfId="4" applyNumberFormat="1" applyFont="1" applyFill="1" applyBorder="1" applyAlignment="1" applyProtection="1">
      <alignment horizontal="center" vertical="center" textRotation="90" wrapText="1"/>
      <protection hidden="1"/>
    </xf>
    <xf numFmtId="2" fontId="5" fillId="0" borderId="4" xfId="1" applyNumberFormat="1" applyFont="1" applyFill="1" applyBorder="1" applyAlignment="1" applyProtection="1">
      <alignment horizontal="center" vertical="center"/>
      <protection hidden="1"/>
    </xf>
    <xf numFmtId="4" fontId="5" fillId="18" borderId="4" xfId="4" applyNumberFormat="1" applyFont="1" applyFill="1" applyBorder="1" applyAlignment="1" applyProtection="1">
      <alignment horizontal="center" vertical="center" wrapText="1"/>
      <protection hidden="1"/>
    </xf>
    <xf numFmtId="167" fontId="5" fillId="0" borderId="0" xfId="4" applyNumberFormat="1" applyFont="1" applyAlignment="1" applyProtection="1">
      <alignment horizontal="center" vertical="center"/>
      <protection hidden="1"/>
    </xf>
    <xf numFmtId="49" fontId="7" fillId="0" borderId="1" xfId="0" applyNumberFormat="1" applyFont="1" applyBorder="1" applyAlignment="1" applyProtection="1">
      <alignment horizontal="center"/>
      <protection hidden="1"/>
    </xf>
    <xf numFmtId="2" fontId="5" fillId="11" borderId="4" xfId="4" applyNumberFormat="1" applyFont="1" applyFill="1" applyBorder="1" applyAlignment="1" applyProtection="1">
      <alignment horizontal="center" vertical="center"/>
      <protection hidden="1"/>
    </xf>
    <xf numFmtId="49" fontId="7" fillId="0" borderId="3" xfId="0" applyNumberFormat="1" applyFont="1" applyBorder="1" applyAlignment="1" applyProtection="1">
      <alignment horizontal="center" vertical="center"/>
      <protection hidden="1"/>
    </xf>
    <xf numFmtId="2" fontId="5" fillId="0" borderId="3" xfId="4" applyNumberFormat="1" applyFont="1" applyBorder="1" applyAlignment="1" applyProtection="1">
      <alignment horizontal="center" vertical="center" wrapText="1"/>
      <protection hidden="1"/>
    </xf>
    <xf numFmtId="44" fontId="5" fillId="0" borderId="3" xfId="2" applyFont="1" applyFill="1" applyBorder="1" applyAlignment="1" applyProtection="1">
      <alignment horizontal="center" vertical="center"/>
      <protection hidden="1"/>
    </xf>
    <xf numFmtId="2" fontId="5" fillId="0" borderId="3" xfId="2" applyNumberFormat="1" applyFont="1" applyBorder="1" applyAlignment="1" applyProtection="1">
      <alignment horizontal="center" vertical="center"/>
      <protection hidden="1"/>
    </xf>
    <xf numFmtId="165" fontId="5" fillId="6" borderId="3" xfId="2" applyNumberFormat="1" applyFont="1" applyFill="1" applyBorder="1" applyAlignment="1" applyProtection="1">
      <alignment horizontal="center" vertical="center"/>
      <protection hidden="1"/>
    </xf>
    <xf numFmtId="2" fontId="5" fillId="0" borderId="3" xfId="4" applyNumberFormat="1" applyFont="1" applyBorder="1" applyAlignment="1" applyProtection="1">
      <alignment horizontal="center" vertical="center"/>
      <protection hidden="1"/>
    </xf>
    <xf numFmtId="49" fontId="5" fillId="0" borderId="4" xfId="2" applyNumberFormat="1" applyFont="1" applyBorder="1" applyAlignment="1" applyProtection="1">
      <alignment horizontal="center" vertical="center"/>
      <protection hidden="1"/>
    </xf>
    <xf numFmtId="49" fontId="7" fillId="0" borderId="4" xfId="0" applyNumberFormat="1" applyFont="1" applyBorder="1" applyAlignment="1" applyProtection="1">
      <alignment horizontal="center" vertical="center"/>
      <protection hidden="1"/>
    </xf>
    <xf numFmtId="49" fontId="7" fillId="20" borderId="4" xfId="0" applyNumberFormat="1" applyFont="1" applyFill="1" applyBorder="1" applyAlignment="1" applyProtection="1">
      <alignment horizontal="center" vertical="center"/>
      <protection hidden="1"/>
    </xf>
    <xf numFmtId="49" fontId="7" fillId="7" borderId="4" xfId="0" applyNumberFormat="1" applyFont="1" applyFill="1" applyBorder="1" applyAlignment="1" applyProtection="1">
      <alignment horizontal="center" vertical="center"/>
      <protection hidden="1"/>
    </xf>
    <xf numFmtId="49" fontId="5" fillId="8" borderId="4" xfId="0" applyNumberFormat="1" applyFont="1" applyFill="1" applyBorder="1" applyAlignment="1" applyProtection="1">
      <alignment horizontal="center" vertical="center"/>
      <protection hidden="1"/>
    </xf>
    <xf numFmtId="49" fontId="7" fillId="0" borderId="4" xfId="0" applyNumberFormat="1" applyFont="1" applyBorder="1" applyAlignment="1" applyProtection="1">
      <alignment horizontal="center"/>
      <protection hidden="1"/>
    </xf>
    <xf numFmtId="49" fontId="7" fillId="0" borderId="5" xfId="0" applyNumberFormat="1" applyFont="1" applyBorder="1" applyAlignment="1" applyProtection="1">
      <alignment horizontal="center" vertical="center"/>
      <protection hidden="1"/>
    </xf>
    <xf numFmtId="2" fontId="7" fillId="0" borderId="5" xfId="0" applyNumberFormat="1" applyFont="1" applyBorder="1" applyAlignment="1" applyProtection="1">
      <alignment horizontal="center" vertical="center"/>
      <protection locked="0"/>
    </xf>
    <xf numFmtId="4" fontId="5" fillId="0" borderId="5" xfId="4" applyNumberFormat="1" applyFont="1" applyBorder="1" applyAlignment="1" applyProtection="1">
      <alignment horizontal="center" vertical="center"/>
      <protection locked="0"/>
    </xf>
    <xf numFmtId="168" fontId="5" fillId="0" borderId="1" xfId="1" applyNumberFormat="1" applyFont="1" applyBorder="1" applyAlignment="1" applyProtection="1">
      <alignment horizontal="center" vertical="center" wrapText="1"/>
      <protection hidden="1"/>
    </xf>
    <xf numFmtId="168" fontId="5" fillId="0" borderId="3" xfId="1" applyNumberFormat="1" applyFont="1" applyBorder="1" applyAlignment="1" applyProtection="1">
      <alignment horizontal="center" vertical="center" wrapText="1"/>
      <protection hidden="1"/>
    </xf>
    <xf numFmtId="168" fontId="5" fillId="0" borderId="3" xfId="1" applyNumberFormat="1" applyFont="1" applyBorder="1" applyAlignment="1" applyProtection="1">
      <alignment horizontal="center" vertical="center"/>
      <protection hidden="1"/>
    </xf>
    <xf numFmtId="168" fontId="5" fillId="0" borderId="4" xfId="1" applyNumberFormat="1" applyFont="1" applyFill="1" applyBorder="1" applyAlignment="1" applyProtection="1">
      <alignment horizontal="center" vertical="center"/>
      <protection hidden="1"/>
    </xf>
    <xf numFmtId="168" fontId="7" fillId="0" borderId="4" xfId="1" applyNumberFormat="1" applyFont="1" applyBorder="1" applyAlignment="1" applyProtection="1">
      <alignment horizontal="center" vertical="center"/>
      <protection locked="0"/>
    </xf>
    <xf numFmtId="168" fontId="5" fillId="0" borderId="4" xfId="1" applyNumberFormat="1" applyFont="1" applyBorder="1" applyAlignment="1" applyProtection="1">
      <alignment horizontal="center" vertical="center" wrapText="1"/>
      <protection hidden="1"/>
    </xf>
    <xf numFmtId="168" fontId="15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7" fillId="7" borderId="4" xfId="1" applyNumberFormat="1" applyFont="1" applyFill="1" applyBorder="1" applyAlignment="1" applyProtection="1">
      <alignment horizontal="center" vertical="center"/>
      <protection hidden="1"/>
    </xf>
    <xf numFmtId="168" fontId="7" fillId="7" borderId="4" xfId="1" applyNumberFormat="1" applyFont="1" applyFill="1" applyBorder="1" applyAlignment="1" applyProtection="1">
      <alignment horizontal="center" vertical="center"/>
      <protection locked="0"/>
    </xf>
    <xf numFmtId="168" fontId="5" fillId="8" borderId="4" xfId="1" applyNumberFormat="1" applyFont="1" applyFill="1" applyBorder="1" applyAlignment="1" applyProtection="1">
      <alignment horizontal="center" vertical="center"/>
      <protection hidden="1"/>
    </xf>
    <xf numFmtId="168" fontId="7" fillId="0" borderId="4" xfId="1" applyNumberFormat="1" applyFont="1" applyBorder="1" applyAlignment="1" applyProtection="1">
      <alignment horizontal="center" vertical="center"/>
      <protection hidden="1"/>
    </xf>
    <xf numFmtId="168" fontId="7" fillId="0" borderId="5" xfId="1" applyNumberFormat="1" applyFont="1" applyBorder="1" applyAlignment="1" applyProtection="1">
      <alignment horizontal="center" vertical="center"/>
      <protection locked="0"/>
    </xf>
    <xf numFmtId="168" fontId="5" fillId="0" borderId="0" xfId="1" applyNumberFormat="1" applyFont="1" applyAlignment="1" applyProtection="1">
      <alignment horizontal="center" vertical="center"/>
      <protection hidden="1"/>
    </xf>
    <xf numFmtId="167" fontId="7" fillId="0" borderId="4" xfId="1" applyNumberFormat="1" applyFont="1" applyBorder="1" applyAlignment="1" applyProtection="1">
      <alignment horizontal="center" vertical="center"/>
      <protection hidden="1"/>
    </xf>
    <xf numFmtId="49" fontId="5" fillId="11" borderId="4" xfId="0" applyNumberFormat="1" applyFont="1" applyFill="1" applyBorder="1" applyAlignment="1" applyProtection="1">
      <alignment horizontal="center"/>
      <protection hidden="1"/>
    </xf>
    <xf numFmtId="166" fontId="5" fillId="11" borderId="4" xfId="0" applyNumberFormat="1" applyFont="1" applyFill="1" applyBorder="1" applyAlignment="1" applyProtection="1">
      <alignment vertical="center"/>
      <protection hidden="1"/>
    </xf>
    <xf numFmtId="2" fontId="7" fillId="11" borderId="4" xfId="0" applyNumberFormat="1" applyFont="1" applyFill="1" applyBorder="1" applyAlignment="1" applyProtection="1">
      <alignment horizontal="center" vertical="center"/>
      <protection locked="0"/>
    </xf>
    <xf numFmtId="168" fontId="7" fillId="11" borderId="4" xfId="1" applyNumberFormat="1" applyFont="1" applyFill="1" applyBorder="1" applyAlignment="1" applyProtection="1">
      <alignment horizontal="center" vertical="center"/>
      <protection hidden="1"/>
    </xf>
    <xf numFmtId="168" fontId="7" fillId="11" borderId="4" xfId="1" applyNumberFormat="1" applyFont="1" applyFill="1" applyBorder="1" applyAlignment="1" applyProtection="1">
      <alignment horizontal="center" vertical="center"/>
      <protection locked="0"/>
    </xf>
    <xf numFmtId="165" fontId="5" fillId="11" borderId="4" xfId="4" applyNumberFormat="1" applyFont="1" applyFill="1" applyBorder="1" applyAlignment="1" applyProtection="1">
      <alignment horizontal="center" vertical="center"/>
      <protection locked="0"/>
    </xf>
    <xf numFmtId="2" fontId="5" fillId="11" borderId="4" xfId="4" applyNumberFormat="1" applyFont="1" applyFill="1" applyBorder="1" applyAlignment="1" applyProtection="1">
      <alignment horizontal="center" vertical="center"/>
      <protection locked="0"/>
    </xf>
    <xf numFmtId="0" fontId="0" fillId="22" borderId="0" xfId="0" applyFill="1"/>
    <xf numFmtId="0" fontId="19" fillId="22" borderId="0" xfId="0" applyFont="1" applyFill="1"/>
    <xf numFmtId="0" fontId="20" fillId="22" borderId="0" xfId="0" applyFont="1" applyFill="1"/>
    <xf numFmtId="49" fontId="21" fillId="0" borderId="0" xfId="10" applyNumberFormat="1" applyAlignment="1">
      <alignment horizontal="center"/>
    </xf>
    <xf numFmtId="0" fontId="21" fillId="0" borderId="0" xfId="10"/>
    <xf numFmtId="49" fontId="21" fillId="0" borderId="0" xfId="10" applyNumberFormat="1"/>
    <xf numFmtId="44" fontId="0" fillId="0" borderId="0" xfId="11" applyFont="1"/>
    <xf numFmtId="9" fontId="0" fillId="0" borderId="0" xfId="12" applyFont="1"/>
    <xf numFmtId="44" fontId="7" fillId="0" borderId="0" xfId="2" applyFont="1" applyAlignment="1">
      <alignment horizontal="center" vertical="center"/>
    </xf>
    <xf numFmtId="44" fontId="10" fillId="9" borderId="3" xfId="2" applyFont="1" applyFill="1" applyBorder="1" applyAlignment="1">
      <alignment horizontal="center" vertical="center"/>
    </xf>
    <xf numFmtId="44" fontId="10" fillId="7" borderId="4" xfId="2" applyFont="1" applyFill="1" applyBorder="1" applyAlignment="1">
      <alignment horizontal="center" vertical="center"/>
    </xf>
    <xf numFmtId="44" fontId="7" fillId="0" borderId="4" xfId="2" applyFont="1" applyBorder="1" applyAlignment="1">
      <alignment horizontal="center" vertical="center"/>
    </xf>
    <xf numFmtId="44" fontId="12" fillId="10" borderId="0" xfId="2" applyFont="1" applyFill="1" applyAlignment="1">
      <alignment horizontal="center" vertical="center"/>
    </xf>
    <xf numFmtId="43" fontId="7" fillId="0" borderId="0" xfId="1" applyFont="1" applyAlignment="1">
      <alignment horizontal="center" vertical="center"/>
    </xf>
    <xf numFmtId="43" fontId="10" fillId="9" borderId="3" xfId="1" applyFont="1" applyFill="1" applyBorder="1" applyAlignment="1">
      <alignment horizontal="center" vertical="center"/>
    </xf>
    <xf numFmtId="43" fontId="10" fillId="7" borderId="4" xfId="1" applyFont="1" applyFill="1" applyBorder="1" applyAlignment="1">
      <alignment horizontal="center" vertical="center"/>
    </xf>
    <xf numFmtId="43" fontId="7" fillId="0" borderId="4" xfId="1" applyFont="1" applyBorder="1" applyAlignment="1">
      <alignment horizontal="center" vertical="center"/>
    </xf>
    <xf numFmtId="43" fontId="12" fillId="10" borderId="0" xfId="1" applyFont="1" applyFill="1" applyAlignment="1" applyProtection="1">
      <alignment horizontal="center" vertical="center"/>
      <protection locked="0"/>
    </xf>
    <xf numFmtId="44" fontId="10" fillId="18" borderId="0" xfId="2" applyFont="1" applyFill="1" applyAlignment="1">
      <alignment vertical="center"/>
    </xf>
    <xf numFmtId="44" fontId="7" fillId="0" borderId="0" xfId="2" applyFont="1" applyAlignment="1">
      <alignment vertical="center"/>
    </xf>
    <xf numFmtId="44" fontId="10" fillId="0" borderId="0" xfId="2" applyFont="1" applyAlignment="1">
      <alignment vertical="center"/>
    </xf>
    <xf numFmtId="44" fontId="7" fillId="18" borderId="0" xfId="2" applyFont="1" applyFill="1" applyAlignment="1">
      <alignment vertical="center"/>
    </xf>
    <xf numFmtId="9" fontId="21" fillId="0" borderId="0" xfId="10" applyNumberFormat="1"/>
    <xf numFmtId="166" fontId="5" fillId="0" borderId="4" xfId="0" applyNumberFormat="1" applyFont="1" applyBorder="1" applyAlignment="1" applyProtection="1">
      <alignment horizontal="left" vertical="center" indent="1"/>
      <protection hidden="1"/>
    </xf>
    <xf numFmtId="2" fontId="5" fillId="0" borderId="4" xfId="0" applyNumberFormat="1" applyFont="1" applyBorder="1" applyAlignment="1" applyProtection="1">
      <alignment horizontal="left" vertical="center" indent="1"/>
      <protection hidden="1"/>
    </xf>
    <xf numFmtId="44" fontId="7" fillId="0" borderId="4" xfId="2" applyFont="1" applyBorder="1" applyAlignment="1">
      <alignment vertical="center"/>
    </xf>
    <xf numFmtId="43" fontId="12" fillId="10" borderId="0" xfId="1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44" fontId="7" fillId="0" borderId="3" xfId="2" applyFont="1" applyBorder="1" applyAlignment="1">
      <alignment horizontal="center" vertical="center"/>
    </xf>
    <xf numFmtId="44" fontId="7" fillId="0" borderId="3" xfId="2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44" fontId="7" fillId="0" borderId="5" xfId="2" applyFont="1" applyBorder="1" applyAlignment="1">
      <alignment horizontal="center" vertical="center"/>
    </xf>
    <xf numFmtId="44" fontId="7" fillId="0" borderId="5" xfId="2" applyFont="1" applyBorder="1" applyAlignment="1">
      <alignment vertical="center"/>
    </xf>
    <xf numFmtId="43" fontId="12" fillId="10" borderId="0" xfId="0" applyNumberFormat="1" applyFont="1" applyFill="1" applyAlignment="1">
      <alignment vertical="center"/>
    </xf>
    <xf numFmtId="0" fontId="2" fillId="0" borderId="0" xfId="10" applyFont="1"/>
    <xf numFmtId="165" fontId="5" fillId="11" borderId="4" xfId="2" applyNumberFormat="1" applyFont="1" applyFill="1" applyBorder="1" applyAlignment="1" applyProtection="1">
      <alignment horizontal="center" vertical="center"/>
      <protection locked="0"/>
    </xf>
    <xf numFmtId="49" fontId="22" fillId="23" borderId="14" xfId="13" applyNumberFormat="1" applyBorder="1" applyAlignment="1" applyProtection="1">
      <alignment horizontal="center" vertical="center" textRotation="90" wrapText="1"/>
      <protection hidden="1"/>
    </xf>
    <xf numFmtId="165" fontId="22" fillId="23" borderId="3" xfId="13" applyNumberFormat="1" applyBorder="1" applyAlignment="1" applyProtection="1">
      <alignment horizontal="center" vertical="center"/>
      <protection hidden="1"/>
    </xf>
    <xf numFmtId="4" fontId="22" fillId="23" borderId="4" xfId="13" applyNumberFormat="1" applyBorder="1" applyAlignment="1" applyProtection="1">
      <alignment horizontal="center" vertical="center" wrapText="1"/>
      <protection hidden="1"/>
    </xf>
    <xf numFmtId="165" fontId="22" fillId="23" borderId="4" xfId="13" applyNumberFormat="1" applyBorder="1" applyAlignment="1" applyProtection="1">
      <alignment horizontal="center" vertical="center" wrapText="1"/>
      <protection hidden="1"/>
    </xf>
    <xf numFmtId="2" fontId="22" fillId="23" borderId="4" xfId="13" applyNumberFormat="1" applyBorder="1" applyAlignment="1" applyProtection="1">
      <alignment horizontal="center" vertical="center"/>
      <protection hidden="1"/>
    </xf>
    <xf numFmtId="4" fontId="22" fillId="23" borderId="4" xfId="13" applyNumberFormat="1" applyBorder="1" applyAlignment="1" applyProtection="1">
      <alignment horizontal="center" vertical="center"/>
      <protection locked="0"/>
    </xf>
    <xf numFmtId="165" fontId="22" fillId="23" borderId="4" xfId="13" applyNumberFormat="1" applyBorder="1" applyAlignment="1" applyProtection="1">
      <alignment horizontal="center" vertical="center"/>
      <protection hidden="1"/>
    </xf>
    <xf numFmtId="2" fontId="22" fillId="23" borderId="4" xfId="13" applyNumberFormat="1" applyBorder="1" applyAlignment="1" applyProtection="1">
      <alignment horizontal="center" vertical="center"/>
      <protection locked="0"/>
    </xf>
    <xf numFmtId="4" fontId="22" fillId="23" borderId="5" xfId="13" applyNumberFormat="1" applyBorder="1" applyAlignment="1" applyProtection="1">
      <alignment horizontal="center" vertical="center"/>
      <protection locked="0"/>
    </xf>
    <xf numFmtId="164" fontId="12" fillId="10" borderId="0" xfId="2" applyNumberFormat="1" applyFont="1" applyFill="1" applyAlignment="1">
      <alignment horizontal="center" vertical="center" wrapText="1"/>
    </xf>
    <xf numFmtId="0" fontId="12" fillId="10" borderId="0" xfId="0" applyFont="1" applyFill="1"/>
    <xf numFmtId="165" fontId="12" fillId="10" borderId="0" xfId="2" applyNumberFormat="1" applyFont="1" applyFill="1" applyAlignment="1">
      <alignment horizontal="center" vertical="center"/>
    </xf>
    <xf numFmtId="165" fontId="12" fillId="10" borderId="0" xfId="1" applyNumberFormat="1" applyFont="1" applyFill="1" applyAlignment="1">
      <alignment horizontal="center" vertical="center"/>
    </xf>
    <xf numFmtId="49" fontId="5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22" borderId="0" xfId="0" quotePrefix="1" applyFill="1"/>
    <xf numFmtId="0" fontId="7" fillId="0" borderId="4" xfId="1" applyNumberFormat="1" applyFont="1" applyBorder="1" applyAlignment="1" applyProtection="1">
      <alignment horizontal="center" vertical="center"/>
      <protection hidden="1"/>
    </xf>
    <xf numFmtId="2" fontId="5" fillId="24" borderId="0" xfId="4" applyNumberFormat="1" applyFont="1" applyFill="1" applyAlignment="1" applyProtection="1">
      <alignment horizontal="center" vertical="center"/>
      <protection hidden="1"/>
    </xf>
    <xf numFmtId="2" fontId="7" fillId="24" borderId="0" xfId="0" applyNumberFormat="1" applyFont="1" applyFill="1" applyAlignment="1" applyProtection="1">
      <alignment horizontal="center" vertical="center"/>
      <protection hidden="1"/>
    </xf>
    <xf numFmtId="49" fontId="5" fillId="24" borderId="0" xfId="4" applyNumberFormat="1" applyFont="1" applyFill="1" applyAlignment="1" applyProtection="1">
      <alignment horizontal="center" vertical="center" textRotation="90" wrapText="1"/>
      <protection hidden="1"/>
    </xf>
    <xf numFmtId="165" fontId="5" fillId="24" borderId="0" xfId="4" applyNumberFormat="1" applyFont="1" applyFill="1" applyAlignment="1" applyProtection="1">
      <alignment horizontal="center" vertical="center"/>
      <protection hidden="1"/>
    </xf>
    <xf numFmtId="2" fontId="5" fillId="24" borderId="0" xfId="4" applyNumberFormat="1" applyFont="1" applyFill="1" applyAlignment="1" applyProtection="1">
      <alignment horizontal="center" vertical="center"/>
      <protection locked="0"/>
    </xf>
    <xf numFmtId="4" fontId="5" fillId="18" borderId="15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1" xfId="2" applyNumberFormat="1" applyFont="1" applyFill="1" applyBorder="1" applyAlignment="1" applyProtection="1">
      <alignment horizontal="center" vertical="center" wrapText="1"/>
      <protection hidden="1"/>
    </xf>
    <xf numFmtId="2" fontId="5" fillId="0" borderId="16" xfId="4" applyNumberFormat="1" applyFont="1" applyBorder="1" applyAlignment="1" applyProtection="1">
      <alignment horizontal="center" vertical="center"/>
      <protection hidden="1"/>
    </xf>
    <xf numFmtId="4" fontId="5" fillId="18" borderId="17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12" xfId="2" applyNumberFormat="1" applyFont="1" applyFill="1" applyBorder="1" applyAlignment="1" applyProtection="1">
      <alignment horizontal="center" vertical="center" wrapText="1"/>
      <protection hidden="1"/>
    </xf>
    <xf numFmtId="2" fontId="5" fillId="0" borderId="4" xfId="4" applyNumberFormat="1" applyFont="1" applyBorder="1" applyAlignment="1" applyProtection="1">
      <alignment horizontal="center" vertical="center" wrapText="1"/>
      <protection hidden="1"/>
    </xf>
    <xf numFmtId="0" fontId="0" fillId="25" borderId="0" xfId="0" applyFill="1"/>
    <xf numFmtId="14" fontId="0" fillId="0" borderId="0" xfId="0" applyNumberFormat="1"/>
  </cellXfs>
  <cellStyles count="15">
    <cellStyle name="Comma" xfId="1" builtinId="3"/>
    <cellStyle name="Currency" xfId="2" builtinId="4"/>
    <cellStyle name="Currency 2" xfId="11" xr:uid="{B912124C-DFFC-4812-BF94-384508EE6A45}"/>
    <cellStyle name="Good" xfId="13" builtinId="26"/>
    <cellStyle name="Normal" xfId="0" builtinId="0"/>
    <cellStyle name="Normal 13" xfId="8" xr:uid="{D2FFFA42-06D8-45CE-A3C4-30135F8AE7E4}"/>
    <cellStyle name="Normal 2" xfId="9" xr:uid="{27E725ED-E502-4489-9EB6-0F0FEC147E27}"/>
    <cellStyle name="Normal 2 2" xfId="5" xr:uid="{0A431593-2858-4545-AD48-55764D85D728}"/>
    <cellStyle name="Normal 2 2 2" xfId="7" xr:uid="{75CF5721-BB02-46AE-A905-D433B00CDD66}"/>
    <cellStyle name="Normal 3" xfId="10" xr:uid="{8AE259CD-92D6-43EA-ADAB-9EED89FF21EC}"/>
    <cellStyle name="Normal 3 2" xfId="4" xr:uid="{BC934EA3-0331-418F-B7C8-3C6E4DE637B4}"/>
    <cellStyle name="Normal 4" xfId="14" xr:uid="{34D83625-6C28-4923-81B9-5057B7CFA602}"/>
    <cellStyle name="Percent" xfId="3" builtinId="5"/>
    <cellStyle name="Percent 2" xfId="6" xr:uid="{27E286A5-E5ED-42D3-9E4F-C28E7E29CFCF}"/>
    <cellStyle name="Percent 3" xfId="12" xr:uid="{76BDF02D-F690-4045-B005-871FC54A409F}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30" formatCode="@"/>
      <alignment horizontal="center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mbria"/>
        <family val="1"/>
        <scheme val="none"/>
      </font>
      <fill>
        <patternFill patternType="solid">
          <fgColor indexed="64"/>
          <bgColor rgb="FF7812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E9B645B-4CAF-45FA-B407-6AA77FF428D8}"/>
  </tableStyles>
  <colors>
    <mruColors>
      <color rgb="FF630811"/>
      <color rgb="FFD2F0D2"/>
      <color rgb="FFFFBC9B"/>
      <color rgb="FFCCFFFF"/>
      <color rgb="FFCCFFCC"/>
      <color rgb="FFCDC800"/>
      <color rgb="FFFF6010"/>
      <color rgb="FF008200"/>
      <color rgb="FFE5FFE5"/>
      <color rgb="FFFFD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461"/>
  <ax:ocxPr ax:name="_ExtentY" ax:value="820"/>
  <ax:ocxPr ax:name="_Version" ax:value="393216"/>
  <ax:ocxPr ax:name="Font">
    <ax:font ax:persistence="persistPropertyBag">
      <ax:ocxPr ax:name="Name" ax:value="Cambria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364656129"/>
  <ax:ocxPr ax:name="CurrentDate" ax:value="45681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68.emf"/><Relationship Id="rId21" Type="http://schemas.openxmlformats.org/officeDocument/2006/relationships/image" Target="../media/image164.emf"/><Relationship Id="rId42" Type="http://schemas.openxmlformats.org/officeDocument/2006/relationships/image" Target="../media/image143.emf"/><Relationship Id="rId47" Type="http://schemas.openxmlformats.org/officeDocument/2006/relationships/image" Target="../media/image138.emf"/><Relationship Id="rId63" Type="http://schemas.openxmlformats.org/officeDocument/2006/relationships/image" Target="../media/image122.emf"/><Relationship Id="rId68" Type="http://schemas.openxmlformats.org/officeDocument/2006/relationships/image" Target="../media/image117.emf"/><Relationship Id="rId84" Type="http://schemas.openxmlformats.org/officeDocument/2006/relationships/image" Target="../media/image101.emf"/><Relationship Id="rId89" Type="http://schemas.openxmlformats.org/officeDocument/2006/relationships/image" Target="../media/image96.emf"/><Relationship Id="rId112" Type="http://schemas.openxmlformats.org/officeDocument/2006/relationships/image" Target="../media/image73.emf"/><Relationship Id="rId133" Type="http://schemas.openxmlformats.org/officeDocument/2006/relationships/image" Target="../media/image52.emf"/><Relationship Id="rId138" Type="http://schemas.openxmlformats.org/officeDocument/2006/relationships/image" Target="../media/image47.emf"/><Relationship Id="rId154" Type="http://schemas.openxmlformats.org/officeDocument/2006/relationships/image" Target="../media/image31.emf"/><Relationship Id="rId159" Type="http://schemas.openxmlformats.org/officeDocument/2006/relationships/image" Target="../media/image26.emf"/><Relationship Id="rId175" Type="http://schemas.openxmlformats.org/officeDocument/2006/relationships/image" Target="../media/image10.emf"/><Relationship Id="rId170" Type="http://schemas.openxmlformats.org/officeDocument/2006/relationships/image" Target="../media/image15.emf"/><Relationship Id="rId191" Type="http://schemas.openxmlformats.org/officeDocument/2006/relationships/image" Target="../media/image191.emf"/><Relationship Id="rId16" Type="http://schemas.openxmlformats.org/officeDocument/2006/relationships/image" Target="../media/image169.emf"/><Relationship Id="rId107" Type="http://schemas.openxmlformats.org/officeDocument/2006/relationships/image" Target="../media/image78.emf"/><Relationship Id="rId11" Type="http://schemas.openxmlformats.org/officeDocument/2006/relationships/image" Target="../media/image174.emf"/><Relationship Id="rId32" Type="http://schemas.openxmlformats.org/officeDocument/2006/relationships/image" Target="../media/image153.emf"/><Relationship Id="rId37" Type="http://schemas.openxmlformats.org/officeDocument/2006/relationships/image" Target="../media/image148.emf"/><Relationship Id="rId53" Type="http://schemas.openxmlformats.org/officeDocument/2006/relationships/image" Target="../media/image132.emf"/><Relationship Id="rId58" Type="http://schemas.openxmlformats.org/officeDocument/2006/relationships/image" Target="../media/image127.emf"/><Relationship Id="rId74" Type="http://schemas.openxmlformats.org/officeDocument/2006/relationships/image" Target="../media/image111.emf"/><Relationship Id="rId79" Type="http://schemas.openxmlformats.org/officeDocument/2006/relationships/image" Target="../media/image106.emf"/><Relationship Id="rId102" Type="http://schemas.openxmlformats.org/officeDocument/2006/relationships/image" Target="../media/image83.emf"/><Relationship Id="rId123" Type="http://schemas.openxmlformats.org/officeDocument/2006/relationships/image" Target="../media/image62.emf"/><Relationship Id="rId128" Type="http://schemas.openxmlformats.org/officeDocument/2006/relationships/image" Target="../media/image57.emf"/><Relationship Id="rId144" Type="http://schemas.openxmlformats.org/officeDocument/2006/relationships/image" Target="../media/image43.emf"/><Relationship Id="rId149" Type="http://schemas.openxmlformats.org/officeDocument/2006/relationships/image" Target="../media/image36.emf"/><Relationship Id="rId5" Type="http://schemas.openxmlformats.org/officeDocument/2006/relationships/image" Target="../media/image180.emf"/><Relationship Id="rId90" Type="http://schemas.openxmlformats.org/officeDocument/2006/relationships/image" Target="../media/image95.emf"/><Relationship Id="rId95" Type="http://schemas.openxmlformats.org/officeDocument/2006/relationships/image" Target="../media/image90.emf"/><Relationship Id="rId160" Type="http://schemas.openxmlformats.org/officeDocument/2006/relationships/image" Target="../media/image25.emf"/><Relationship Id="rId165" Type="http://schemas.openxmlformats.org/officeDocument/2006/relationships/image" Target="../media/image20.emf"/><Relationship Id="rId181" Type="http://schemas.openxmlformats.org/officeDocument/2006/relationships/image" Target="../media/image4.emf"/><Relationship Id="rId186" Type="http://schemas.openxmlformats.org/officeDocument/2006/relationships/image" Target="../media/image186.emf"/><Relationship Id="rId22" Type="http://schemas.openxmlformats.org/officeDocument/2006/relationships/image" Target="../media/image163.emf"/><Relationship Id="rId27" Type="http://schemas.openxmlformats.org/officeDocument/2006/relationships/image" Target="../media/image158.emf"/><Relationship Id="rId43" Type="http://schemas.openxmlformats.org/officeDocument/2006/relationships/image" Target="../media/image142.emf"/><Relationship Id="rId48" Type="http://schemas.openxmlformats.org/officeDocument/2006/relationships/image" Target="../media/image137.emf"/><Relationship Id="rId64" Type="http://schemas.openxmlformats.org/officeDocument/2006/relationships/image" Target="../media/image121.emf"/><Relationship Id="rId69" Type="http://schemas.openxmlformats.org/officeDocument/2006/relationships/image" Target="../media/image116.emf"/><Relationship Id="rId113" Type="http://schemas.openxmlformats.org/officeDocument/2006/relationships/image" Target="../media/image72.emf"/><Relationship Id="rId118" Type="http://schemas.openxmlformats.org/officeDocument/2006/relationships/image" Target="../media/image67.emf"/><Relationship Id="rId134" Type="http://schemas.openxmlformats.org/officeDocument/2006/relationships/image" Target="../media/image51.emf"/><Relationship Id="rId139" Type="http://schemas.openxmlformats.org/officeDocument/2006/relationships/image" Target="../media/image46.emf"/><Relationship Id="rId80" Type="http://schemas.openxmlformats.org/officeDocument/2006/relationships/image" Target="../media/image105.emf"/><Relationship Id="rId85" Type="http://schemas.openxmlformats.org/officeDocument/2006/relationships/image" Target="../media/image100.emf"/><Relationship Id="rId150" Type="http://schemas.openxmlformats.org/officeDocument/2006/relationships/image" Target="../media/image35.emf"/><Relationship Id="rId155" Type="http://schemas.openxmlformats.org/officeDocument/2006/relationships/image" Target="../media/image30.emf"/><Relationship Id="rId171" Type="http://schemas.openxmlformats.org/officeDocument/2006/relationships/image" Target="../media/image14.emf"/><Relationship Id="rId176" Type="http://schemas.openxmlformats.org/officeDocument/2006/relationships/image" Target="../media/image9.emf"/><Relationship Id="rId192" Type="http://schemas.openxmlformats.org/officeDocument/2006/relationships/image" Target="../media/image192.emf"/><Relationship Id="rId12" Type="http://schemas.openxmlformats.org/officeDocument/2006/relationships/image" Target="../media/image173.emf"/><Relationship Id="rId17" Type="http://schemas.openxmlformats.org/officeDocument/2006/relationships/image" Target="../media/image168.emf"/><Relationship Id="rId33" Type="http://schemas.openxmlformats.org/officeDocument/2006/relationships/image" Target="../media/image152.emf"/><Relationship Id="rId38" Type="http://schemas.openxmlformats.org/officeDocument/2006/relationships/image" Target="../media/image147.emf"/><Relationship Id="rId59" Type="http://schemas.openxmlformats.org/officeDocument/2006/relationships/image" Target="../media/image126.emf"/><Relationship Id="rId103" Type="http://schemas.openxmlformats.org/officeDocument/2006/relationships/image" Target="../media/image82.emf"/><Relationship Id="rId108" Type="http://schemas.openxmlformats.org/officeDocument/2006/relationships/image" Target="../media/image77.emf"/><Relationship Id="rId124" Type="http://schemas.openxmlformats.org/officeDocument/2006/relationships/image" Target="../media/image61.emf"/><Relationship Id="rId129" Type="http://schemas.openxmlformats.org/officeDocument/2006/relationships/image" Target="../media/image56.emf"/><Relationship Id="rId54" Type="http://schemas.openxmlformats.org/officeDocument/2006/relationships/image" Target="../media/image131.emf"/><Relationship Id="rId70" Type="http://schemas.openxmlformats.org/officeDocument/2006/relationships/image" Target="../media/image115.emf"/><Relationship Id="rId75" Type="http://schemas.openxmlformats.org/officeDocument/2006/relationships/image" Target="../media/image110.emf"/><Relationship Id="rId91" Type="http://schemas.openxmlformats.org/officeDocument/2006/relationships/image" Target="../media/image94.emf"/><Relationship Id="rId96" Type="http://schemas.openxmlformats.org/officeDocument/2006/relationships/image" Target="../media/image89.emf"/><Relationship Id="rId140" Type="http://schemas.openxmlformats.org/officeDocument/2006/relationships/image" Target="../media/image41.emf"/><Relationship Id="rId145" Type="http://schemas.openxmlformats.org/officeDocument/2006/relationships/image" Target="../media/image40.emf"/><Relationship Id="rId161" Type="http://schemas.openxmlformats.org/officeDocument/2006/relationships/image" Target="../media/image24.emf"/><Relationship Id="rId166" Type="http://schemas.openxmlformats.org/officeDocument/2006/relationships/image" Target="../media/image19.emf"/><Relationship Id="rId182" Type="http://schemas.openxmlformats.org/officeDocument/2006/relationships/image" Target="../media/image3.emf"/><Relationship Id="rId187" Type="http://schemas.openxmlformats.org/officeDocument/2006/relationships/image" Target="../media/image187.emf"/><Relationship Id="rId1" Type="http://schemas.openxmlformats.org/officeDocument/2006/relationships/image" Target="../media/image184.emf"/><Relationship Id="rId6" Type="http://schemas.openxmlformats.org/officeDocument/2006/relationships/image" Target="../media/image179.emf"/><Relationship Id="rId23" Type="http://schemas.openxmlformats.org/officeDocument/2006/relationships/image" Target="../media/image162.emf"/><Relationship Id="rId28" Type="http://schemas.openxmlformats.org/officeDocument/2006/relationships/image" Target="../media/image157.emf"/><Relationship Id="rId49" Type="http://schemas.openxmlformats.org/officeDocument/2006/relationships/image" Target="../media/image136.emf"/><Relationship Id="rId114" Type="http://schemas.openxmlformats.org/officeDocument/2006/relationships/image" Target="../media/image71.emf"/><Relationship Id="rId119" Type="http://schemas.openxmlformats.org/officeDocument/2006/relationships/image" Target="../media/image66.emf"/><Relationship Id="rId44" Type="http://schemas.openxmlformats.org/officeDocument/2006/relationships/image" Target="../media/image141.emf"/><Relationship Id="rId60" Type="http://schemas.openxmlformats.org/officeDocument/2006/relationships/image" Target="../media/image125.emf"/><Relationship Id="rId65" Type="http://schemas.openxmlformats.org/officeDocument/2006/relationships/image" Target="../media/image120.emf"/><Relationship Id="rId81" Type="http://schemas.openxmlformats.org/officeDocument/2006/relationships/image" Target="../media/image104.emf"/><Relationship Id="rId86" Type="http://schemas.openxmlformats.org/officeDocument/2006/relationships/image" Target="../media/image99.emf"/><Relationship Id="rId130" Type="http://schemas.openxmlformats.org/officeDocument/2006/relationships/image" Target="../media/image55.emf"/><Relationship Id="rId135" Type="http://schemas.openxmlformats.org/officeDocument/2006/relationships/image" Target="../media/image50.emf"/><Relationship Id="rId151" Type="http://schemas.openxmlformats.org/officeDocument/2006/relationships/image" Target="../media/image34.emf"/><Relationship Id="rId156" Type="http://schemas.openxmlformats.org/officeDocument/2006/relationships/image" Target="../media/image29.emf"/><Relationship Id="rId177" Type="http://schemas.openxmlformats.org/officeDocument/2006/relationships/image" Target="../media/image8.emf"/><Relationship Id="rId172" Type="http://schemas.openxmlformats.org/officeDocument/2006/relationships/image" Target="../media/image13.emf"/><Relationship Id="rId193" Type="http://schemas.openxmlformats.org/officeDocument/2006/relationships/image" Target="../media/image193.emf"/><Relationship Id="rId13" Type="http://schemas.openxmlformats.org/officeDocument/2006/relationships/image" Target="../media/image172.emf"/><Relationship Id="rId18" Type="http://schemas.openxmlformats.org/officeDocument/2006/relationships/image" Target="../media/image167.emf"/><Relationship Id="rId39" Type="http://schemas.openxmlformats.org/officeDocument/2006/relationships/image" Target="../media/image146.emf"/><Relationship Id="rId109" Type="http://schemas.openxmlformats.org/officeDocument/2006/relationships/image" Target="../media/image76.emf"/><Relationship Id="rId34" Type="http://schemas.openxmlformats.org/officeDocument/2006/relationships/image" Target="../media/image151.emf"/><Relationship Id="rId50" Type="http://schemas.openxmlformats.org/officeDocument/2006/relationships/image" Target="../media/image135.emf"/><Relationship Id="rId55" Type="http://schemas.openxmlformats.org/officeDocument/2006/relationships/image" Target="../media/image130.emf"/><Relationship Id="rId76" Type="http://schemas.openxmlformats.org/officeDocument/2006/relationships/image" Target="../media/image109.emf"/><Relationship Id="rId97" Type="http://schemas.openxmlformats.org/officeDocument/2006/relationships/image" Target="../media/image88.emf"/><Relationship Id="rId104" Type="http://schemas.openxmlformats.org/officeDocument/2006/relationships/image" Target="../media/image81.emf"/><Relationship Id="rId120" Type="http://schemas.openxmlformats.org/officeDocument/2006/relationships/image" Target="../media/image65.emf"/><Relationship Id="rId125" Type="http://schemas.openxmlformats.org/officeDocument/2006/relationships/image" Target="../media/image60.emf"/><Relationship Id="rId141" Type="http://schemas.openxmlformats.org/officeDocument/2006/relationships/image" Target="../media/image45.emf"/><Relationship Id="rId146" Type="http://schemas.openxmlformats.org/officeDocument/2006/relationships/image" Target="../media/image39.emf"/><Relationship Id="rId167" Type="http://schemas.openxmlformats.org/officeDocument/2006/relationships/image" Target="../media/image18.emf"/><Relationship Id="rId188" Type="http://schemas.openxmlformats.org/officeDocument/2006/relationships/image" Target="../media/image188.emf"/><Relationship Id="rId7" Type="http://schemas.openxmlformats.org/officeDocument/2006/relationships/image" Target="../media/image178.emf"/><Relationship Id="rId71" Type="http://schemas.openxmlformats.org/officeDocument/2006/relationships/image" Target="../media/image114.emf"/><Relationship Id="rId92" Type="http://schemas.openxmlformats.org/officeDocument/2006/relationships/image" Target="../media/image93.emf"/><Relationship Id="rId162" Type="http://schemas.openxmlformats.org/officeDocument/2006/relationships/image" Target="../media/image23.emf"/><Relationship Id="rId183" Type="http://schemas.openxmlformats.org/officeDocument/2006/relationships/image" Target="../media/image2.emf"/><Relationship Id="rId2" Type="http://schemas.openxmlformats.org/officeDocument/2006/relationships/image" Target="../media/image183.emf"/><Relationship Id="rId29" Type="http://schemas.openxmlformats.org/officeDocument/2006/relationships/image" Target="../media/image156.emf"/><Relationship Id="rId24" Type="http://schemas.openxmlformats.org/officeDocument/2006/relationships/image" Target="../media/image161.emf"/><Relationship Id="rId40" Type="http://schemas.openxmlformats.org/officeDocument/2006/relationships/image" Target="../media/image145.emf"/><Relationship Id="rId45" Type="http://schemas.openxmlformats.org/officeDocument/2006/relationships/image" Target="../media/image140.emf"/><Relationship Id="rId66" Type="http://schemas.openxmlformats.org/officeDocument/2006/relationships/image" Target="../media/image119.emf"/><Relationship Id="rId87" Type="http://schemas.openxmlformats.org/officeDocument/2006/relationships/image" Target="../media/image98.emf"/><Relationship Id="rId110" Type="http://schemas.openxmlformats.org/officeDocument/2006/relationships/image" Target="../media/image75.emf"/><Relationship Id="rId115" Type="http://schemas.openxmlformats.org/officeDocument/2006/relationships/image" Target="../media/image70.emf"/><Relationship Id="rId131" Type="http://schemas.openxmlformats.org/officeDocument/2006/relationships/image" Target="../media/image54.emf"/><Relationship Id="rId136" Type="http://schemas.openxmlformats.org/officeDocument/2006/relationships/image" Target="../media/image49.emf"/><Relationship Id="rId157" Type="http://schemas.openxmlformats.org/officeDocument/2006/relationships/image" Target="../media/image28.emf"/><Relationship Id="rId178" Type="http://schemas.openxmlformats.org/officeDocument/2006/relationships/image" Target="../media/image7.emf"/><Relationship Id="rId61" Type="http://schemas.openxmlformats.org/officeDocument/2006/relationships/image" Target="../media/image124.emf"/><Relationship Id="rId82" Type="http://schemas.openxmlformats.org/officeDocument/2006/relationships/image" Target="../media/image103.emf"/><Relationship Id="rId152" Type="http://schemas.openxmlformats.org/officeDocument/2006/relationships/image" Target="../media/image33.emf"/><Relationship Id="rId173" Type="http://schemas.openxmlformats.org/officeDocument/2006/relationships/image" Target="../media/image12.emf"/><Relationship Id="rId194" Type="http://schemas.openxmlformats.org/officeDocument/2006/relationships/image" Target="../media/image194.emf"/><Relationship Id="rId19" Type="http://schemas.openxmlformats.org/officeDocument/2006/relationships/image" Target="../media/image166.emf"/><Relationship Id="rId14" Type="http://schemas.openxmlformats.org/officeDocument/2006/relationships/image" Target="../media/image171.emf"/><Relationship Id="rId30" Type="http://schemas.openxmlformats.org/officeDocument/2006/relationships/image" Target="../media/image155.emf"/><Relationship Id="rId35" Type="http://schemas.openxmlformats.org/officeDocument/2006/relationships/image" Target="../media/image150.emf"/><Relationship Id="rId56" Type="http://schemas.openxmlformats.org/officeDocument/2006/relationships/image" Target="../media/image129.emf"/><Relationship Id="rId77" Type="http://schemas.openxmlformats.org/officeDocument/2006/relationships/image" Target="../media/image108.emf"/><Relationship Id="rId100" Type="http://schemas.openxmlformats.org/officeDocument/2006/relationships/image" Target="../media/image85.emf"/><Relationship Id="rId105" Type="http://schemas.openxmlformats.org/officeDocument/2006/relationships/image" Target="../media/image80.emf"/><Relationship Id="rId126" Type="http://schemas.openxmlformats.org/officeDocument/2006/relationships/image" Target="../media/image59.emf"/><Relationship Id="rId147" Type="http://schemas.openxmlformats.org/officeDocument/2006/relationships/image" Target="../media/image38.emf"/><Relationship Id="rId168" Type="http://schemas.openxmlformats.org/officeDocument/2006/relationships/image" Target="../media/image17.emf"/><Relationship Id="rId8" Type="http://schemas.openxmlformats.org/officeDocument/2006/relationships/image" Target="../media/image177.emf"/><Relationship Id="rId51" Type="http://schemas.openxmlformats.org/officeDocument/2006/relationships/image" Target="../media/image134.emf"/><Relationship Id="rId72" Type="http://schemas.openxmlformats.org/officeDocument/2006/relationships/image" Target="../media/image113.emf"/><Relationship Id="rId93" Type="http://schemas.openxmlformats.org/officeDocument/2006/relationships/image" Target="../media/image92.emf"/><Relationship Id="rId98" Type="http://schemas.openxmlformats.org/officeDocument/2006/relationships/image" Target="../media/image87.emf"/><Relationship Id="rId121" Type="http://schemas.openxmlformats.org/officeDocument/2006/relationships/image" Target="../media/image64.emf"/><Relationship Id="rId142" Type="http://schemas.openxmlformats.org/officeDocument/2006/relationships/image" Target="../media/image44.emf"/><Relationship Id="rId163" Type="http://schemas.openxmlformats.org/officeDocument/2006/relationships/image" Target="../media/image22.emf"/><Relationship Id="rId184" Type="http://schemas.openxmlformats.org/officeDocument/2006/relationships/image" Target="../media/image1.emf"/><Relationship Id="rId189" Type="http://schemas.openxmlformats.org/officeDocument/2006/relationships/image" Target="../media/image189.emf"/><Relationship Id="rId3" Type="http://schemas.openxmlformats.org/officeDocument/2006/relationships/image" Target="../media/image182.emf"/><Relationship Id="rId25" Type="http://schemas.openxmlformats.org/officeDocument/2006/relationships/image" Target="../media/image160.emf"/><Relationship Id="rId46" Type="http://schemas.openxmlformats.org/officeDocument/2006/relationships/image" Target="../media/image139.emf"/><Relationship Id="rId67" Type="http://schemas.openxmlformats.org/officeDocument/2006/relationships/image" Target="../media/image118.emf"/><Relationship Id="rId116" Type="http://schemas.openxmlformats.org/officeDocument/2006/relationships/image" Target="../media/image69.emf"/><Relationship Id="rId137" Type="http://schemas.openxmlformats.org/officeDocument/2006/relationships/image" Target="../media/image48.emf"/><Relationship Id="rId158" Type="http://schemas.openxmlformats.org/officeDocument/2006/relationships/image" Target="../media/image27.emf"/><Relationship Id="rId20" Type="http://schemas.openxmlformats.org/officeDocument/2006/relationships/image" Target="../media/image165.emf"/><Relationship Id="rId41" Type="http://schemas.openxmlformats.org/officeDocument/2006/relationships/image" Target="../media/image144.emf"/><Relationship Id="rId62" Type="http://schemas.openxmlformats.org/officeDocument/2006/relationships/image" Target="../media/image123.emf"/><Relationship Id="rId83" Type="http://schemas.openxmlformats.org/officeDocument/2006/relationships/image" Target="../media/image102.emf"/><Relationship Id="rId88" Type="http://schemas.openxmlformats.org/officeDocument/2006/relationships/image" Target="../media/image97.emf"/><Relationship Id="rId111" Type="http://schemas.openxmlformats.org/officeDocument/2006/relationships/image" Target="../media/image74.emf"/><Relationship Id="rId132" Type="http://schemas.openxmlformats.org/officeDocument/2006/relationships/image" Target="../media/image53.emf"/><Relationship Id="rId153" Type="http://schemas.openxmlformats.org/officeDocument/2006/relationships/image" Target="../media/image32.emf"/><Relationship Id="rId174" Type="http://schemas.openxmlformats.org/officeDocument/2006/relationships/image" Target="../media/image11.emf"/><Relationship Id="rId179" Type="http://schemas.openxmlformats.org/officeDocument/2006/relationships/image" Target="../media/image6.emf"/><Relationship Id="rId195" Type="http://schemas.openxmlformats.org/officeDocument/2006/relationships/image" Target="../media/image195.emf"/><Relationship Id="rId190" Type="http://schemas.openxmlformats.org/officeDocument/2006/relationships/image" Target="../media/image190.emf"/><Relationship Id="rId15" Type="http://schemas.openxmlformats.org/officeDocument/2006/relationships/image" Target="../media/image170.emf"/><Relationship Id="rId36" Type="http://schemas.openxmlformats.org/officeDocument/2006/relationships/image" Target="../media/image149.emf"/><Relationship Id="rId57" Type="http://schemas.openxmlformats.org/officeDocument/2006/relationships/image" Target="../media/image128.emf"/><Relationship Id="rId106" Type="http://schemas.openxmlformats.org/officeDocument/2006/relationships/image" Target="../media/image79.emf"/><Relationship Id="rId127" Type="http://schemas.openxmlformats.org/officeDocument/2006/relationships/image" Target="../media/image58.emf"/><Relationship Id="rId10" Type="http://schemas.openxmlformats.org/officeDocument/2006/relationships/image" Target="../media/image175.emf"/><Relationship Id="rId31" Type="http://schemas.openxmlformats.org/officeDocument/2006/relationships/image" Target="../media/image154.emf"/><Relationship Id="rId52" Type="http://schemas.openxmlformats.org/officeDocument/2006/relationships/image" Target="../media/image133.emf"/><Relationship Id="rId73" Type="http://schemas.openxmlformats.org/officeDocument/2006/relationships/image" Target="../media/image112.emf"/><Relationship Id="rId78" Type="http://schemas.openxmlformats.org/officeDocument/2006/relationships/image" Target="../media/image107.emf"/><Relationship Id="rId94" Type="http://schemas.openxmlformats.org/officeDocument/2006/relationships/image" Target="../media/image91.emf"/><Relationship Id="rId99" Type="http://schemas.openxmlformats.org/officeDocument/2006/relationships/image" Target="../media/image86.emf"/><Relationship Id="rId101" Type="http://schemas.openxmlformats.org/officeDocument/2006/relationships/image" Target="../media/image84.emf"/><Relationship Id="rId122" Type="http://schemas.openxmlformats.org/officeDocument/2006/relationships/image" Target="../media/image63.emf"/><Relationship Id="rId143" Type="http://schemas.openxmlformats.org/officeDocument/2006/relationships/image" Target="../media/image42.emf"/><Relationship Id="rId148" Type="http://schemas.openxmlformats.org/officeDocument/2006/relationships/image" Target="../media/image37.emf"/><Relationship Id="rId164" Type="http://schemas.openxmlformats.org/officeDocument/2006/relationships/image" Target="../media/image21.emf"/><Relationship Id="rId169" Type="http://schemas.openxmlformats.org/officeDocument/2006/relationships/image" Target="../media/image16.emf"/><Relationship Id="rId185" Type="http://schemas.openxmlformats.org/officeDocument/2006/relationships/image" Target="../media/image185.emf"/><Relationship Id="rId4" Type="http://schemas.openxmlformats.org/officeDocument/2006/relationships/image" Target="../media/image181.emf"/><Relationship Id="rId9" Type="http://schemas.openxmlformats.org/officeDocument/2006/relationships/image" Target="../media/image176.emf"/><Relationship Id="rId180" Type="http://schemas.openxmlformats.org/officeDocument/2006/relationships/image" Target="../media/image5.emf"/><Relationship Id="rId26" Type="http://schemas.openxmlformats.org/officeDocument/2006/relationships/image" Target="../media/image15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57150</xdr:rowOff>
    </xdr:from>
    <xdr:to>
      <xdr:col>21</xdr:col>
      <xdr:colOff>523875</xdr:colOff>
      <xdr:row>37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5275" y="781050"/>
          <a:ext cx="14630400" cy="60388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  <xdr:twoCellAnchor>
    <xdr:from>
      <xdr:col>3</xdr:col>
      <xdr:colOff>457200</xdr:colOff>
      <xdr:row>0</xdr:row>
      <xdr:rowOff>104775</xdr:rowOff>
    </xdr:from>
    <xdr:to>
      <xdr:col>18</xdr:col>
      <xdr:colOff>457201</xdr:colOff>
      <xdr:row>3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514600" y="104775"/>
          <a:ext cx="102870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3600" b="1" kern="1200">
              <a:solidFill>
                <a:schemeClr val="bg1"/>
              </a:solidFill>
              <a:latin typeface="Impact" panose="020B0806030902050204" pitchFamily="34" charset="0"/>
            </a:rPr>
            <a:t>Commerical Estimate for</a:t>
          </a:r>
          <a:r>
            <a:rPr lang="en-CA" sz="3600" b="1" kern="1200" baseline="0">
              <a:solidFill>
                <a:schemeClr val="bg1"/>
              </a:solidFill>
              <a:latin typeface="Impact" panose="020B0806030902050204" pitchFamily="34" charset="0"/>
            </a:rPr>
            <a:t> EPCM Projects V 2.0</a:t>
          </a:r>
          <a:endParaRPr lang="en-CA" sz="3600" b="1" kern="12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7</xdr:col>
      <xdr:colOff>148259</xdr:colOff>
      <xdr:row>5</xdr:row>
      <xdr:rowOff>34373</xdr:rowOff>
    </xdr:from>
    <xdr:to>
      <xdr:col>14</xdr:col>
      <xdr:colOff>239340</xdr:colOff>
      <xdr:row>19</xdr:row>
      <xdr:rowOff>142875</xdr:rowOff>
    </xdr:to>
    <xdr:grpSp>
      <xdr:nvGrpSpPr>
        <xdr:cNvPr id="15690" name="Group 15689">
          <a:extLst>
            <a:ext uri="{FF2B5EF4-FFF2-40B4-BE49-F238E27FC236}">
              <a16:creationId xmlns:a16="http://schemas.microsoft.com/office/drawing/2014/main" id="{00000000-0008-0000-0200-00004A3D0000}"/>
            </a:ext>
          </a:extLst>
        </xdr:cNvPr>
        <xdr:cNvGrpSpPr/>
      </xdr:nvGrpSpPr>
      <xdr:grpSpPr>
        <a:xfrm>
          <a:off x="4948859" y="939248"/>
          <a:ext cx="4891681" cy="2642152"/>
          <a:chOff x="523044" y="1152525"/>
          <a:chExt cx="4914900" cy="2705928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523044" y="1152525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20 PMT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21 PM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11 AD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12 DC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22 PE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23 PCO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PC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pSpPr/>
            </xdr:nvGrpSpPr>
            <xdr:grpSpPr>
              <a:xfrm>
                <a:off x="2008413" y="1608067"/>
                <a:ext cx="3370201" cy="273846"/>
                <a:chOff x="2068723" y="1608481"/>
                <a:chExt cx="3086372" cy="276331"/>
              </a:xfrm>
            </xdr:grpSpPr>
            <xdr:sp macro="" textlink="">
              <xdr:nvSpPr>
                <xdr:cNvPr id="15366" name="PM_JR" hidden="1">
                  <a:extLst>
                    <a:ext uri="{63B3BB69-23CF-44E3-9099-C40C66FF867C}">
                      <a14:compatExt spid="_x0000_s15366"/>
                    </a:ext>
                    <a:ext uri="{FF2B5EF4-FFF2-40B4-BE49-F238E27FC236}">
                      <a16:creationId xmlns:a16="http://schemas.microsoft.com/office/drawing/2014/main" id="{00000000-0008-0000-0200-0000063C0000}"/>
                    </a:ext>
                  </a:extLst>
                </xdr:cNvPr>
                <xdr:cNvSpPr/>
              </xdr:nvSpPr>
              <xdr:spPr bwMode="auto">
                <a:xfrm>
                  <a:off x="206872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8" name="PM_INT" hidden="1">
                  <a:extLst>
                    <a:ext uri="{63B3BB69-23CF-44E3-9099-C40C66FF867C}">
                      <a14:compatExt spid="_x0000_s15368"/>
                    </a:ext>
                    <a:ext uri="{FF2B5EF4-FFF2-40B4-BE49-F238E27FC236}">
                      <a16:creationId xmlns:a16="http://schemas.microsoft.com/office/drawing/2014/main" id="{00000000-0008-0000-0200-0000083C0000}"/>
                    </a:ext>
                  </a:extLst>
                </xdr:cNvPr>
                <xdr:cNvSpPr/>
              </xdr:nvSpPr>
              <xdr:spPr bwMode="auto">
                <a:xfrm>
                  <a:off x="2589420" y="1608482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9" name="PM_SR" hidden="1">
                  <a:extLst>
                    <a:ext uri="{63B3BB69-23CF-44E3-9099-C40C66FF867C}">
                      <a14:compatExt spid="_x0000_s15369"/>
                    </a:ext>
                    <a:ext uri="{FF2B5EF4-FFF2-40B4-BE49-F238E27FC236}">
                      <a16:creationId xmlns:a16="http://schemas.microsoft.com/office/drawing/2014/main" id="{00000000-0008-0000-0200-000009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0" name="PM_LD" hidden="1">
                  <a:extLst>
                    <a:ext uri="{63B3BB69-23CF-44E3-9099-C40C66FF867C}">
                      <a14:compatExt spid="_x0000_s15370"/>
                    </a:ext>
                    <a:ext uri="{FF2B5EF4-FFF2-40B4-BE49-F238E27FC236}">
                      <a16:creationId xmlns:a16="http://schemas.microsoft.com/office/drawing/2014/main" id="{00000000-0008-0000-0200-00000A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1" name="PM_SP" hidden="1">
                  <a:extLst>
                    <a:ext uri="{63B3BB69-23CF-44E3-9099-C40C66FF867C}">
                      <a14:compatExt spid="_x0000_s15371"/>
                    </a:ext>
                    <a:ext uri="{FF2B5EF4-FFF2-40B4-BE49-F238E27FC236}">
                      <a16:creationId xmlns:a16="http://schemas.microsoft.com/office/drawing/2014/main" id="{00000000-0008-0000-0200-00000B3C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2" name="PM_SME" hidden="1">
                  <a:extLst>
                    <a:ext uri="{63B3BB69-23CF-44E3-9099-C40C66FF867C}">
                      <a14:compatExt spid="_x0000_s15372"/>
                    </a:ext>
                    <a:ext uri="{FF2B5EF4-FFF2-40B4-BE49-F238E27FC236}">
                      <a16:creationId xmlns:a16="http://schemas.microsoft.com/office/drawing/2014/main" id="{00000000-0008-0000-0200-00000C3C0000}"/>
                    </a:ext>
                  </a:extLst>
                </xdr:cNvPr>
                <xdr:cNvSpPr/>
              </xdr:nvSpPr>
              <xdr:spPr bwMode="auto">
                <a:xfrm>
                  <a:off x="4677188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1438018" y="1993739"/>
                <a:ext cx="2231226" cy="273845"/>
                <a:chOff x="1546364" y="1608481"/>
                <a:chExt cx="2043318" cy="276330"/>
              </a:xfrm>
            </xdr:grpSpPr>
            <xdr:sp macro="" textlink="">
              <xdr:nvSpPr>
                <xdr:cNvPr id="15381" name="AD_JR" hidden="1">
                  <a:extLst>
                    <a:ext uri="{63B3BB69-23CF-44E3-9099-C40C66FF867C}">
                      <a14:compatExt spid="_x0000_s15381"/>
                    </a:ext>
                    <a:ext uri="{FF2B5EF4-FFF2-40B4-BE49-F238E27FC236}">
                      <a16:creationId xmlns:a16="http://schemas.microsoft.com/office/drawing/2014/main" id="{00000000-0008-0000-0200-000015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2" name="AD_INT" hidden="1">
                  <a:extLst>
                    <a:ext uri="{63B3BB69-23CF-44E3-9099-C40C66FF867C}">
                      <a14:compatExt spid="_x0000_s15382"/>
                    </a:ext>
                    <a:ext uri="{FF2B5EF4-FFF2-40B4-BE49-F238E27FC236}">
                      <a16:creationId xmlns:a16="http://schemas.microsoft.com/office/drawing/2014/main" id="{00000000-0008-0000-0200-000016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3" name="AD_SR" hidden="1">
                  <a:extLst>
                    <a:ext uri="{63B3BB69-23CF-44E3-9099-C40C66FF867C}">
                      <a14:compatExt spid="_x0000_s15383"/>
                    </a:ext>
                    <a:ext uri="{FF2B5EF4-FFF2-40B4-BE49-F238E27FC236}">
                      <a16:creationId xmlns:a16="http://schemas.microsoft.com/office/drawing/2014/main" id="{00000000-0008-0000-0200-0000173C0000}"/>
                    </a:ext>
                  </a:extLst>
                </xdr:cNvPr>
                <xdr:cNvSpPr/>
              </xdr:nvSpPr>
              <xdr:spPr bwMode="auto">
                <a:xfrm>
                  <a:off x="3111774" y="1608481"/>
                  <a:ext cx="477908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7" name="AD_TRN" hidden="1">
                  <a:extLst>
                    <a:ext uri="{63B3BB69-23CF-44E3-9099-C40C66FF867C}">
                      <a14:compatExt spid="_x0000_s15387"/>
                    </a:ext>
                    <a:ext uri="{FF2B5EF4-FFF2-40B4-BE49-F238E27FC236}">
                      <a16:creationId xmlns:a16="http://schemas.microsoft.com/office/drawing/2014/main" id="{00000000-0008-0000-0200-00001B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438018" y="2378169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88" name="DC_JR" hidden="1">
                  <a:extLst>
                    <a:ext uri="{63B3BB69-23CF-44E3-9099-C40C66FF867C}">
                      <a14:compatExt spid="_x0000_s15388"/>
                    </a:ext>
                    <a:ext uri="{FF2B5EF4-FFF2-40B4-BE49-F238E27FC236}">
                      <a16:creationId xmlns:a16="http://schemas.microsoft.com/office/drawing/2014/main" id="{00000000-0008-0000-0200-00001C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9" name="DC_INT" hidden="1">
                  <a:extLst>
                    <a:ext uri="{63B3BB69-23CF-44E3-9099-C40C66FF867C}">
                      <a14:compatExt spid="_x0000_s15389"/>
                    </a:ext>
                    <a:ext uri="{FF2B5EF4-FFF2-40B4-BE49-F238E27FC236}">
                      <a16:creationId xmlns:a16="http://schemas.microsoft.com/office/drawing/2014/main" id="{00000000-0008-0000-0200-00001D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0" name="DC_SR" hidden="1">
                  <a:extLst>
                    <a:ext uri="{63B3BB69-23CF-44E3-9099-C40C66FF867C}">
                      <a14:compatExt spid="_x0000_s15390"/>
                    </a:ext>
                    <a:ext uri="{FF2B5EF4-FFF2-40B4-BE49-F238E27FC236}">
                      <a16:creationId xmlns:a16="http://schemas.microsoft.com/office/drawing/2014/main" id="{00000000-0008-0000-0200-00001E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1" name="DC_LD" hidden="1">
                  <a:extLst>
                    <a:ext uri="{63B3BB69-23CF-44E3-9099-C40C66FF867C}">
                      <a14:compatExt spid="_x0000_s15391"/>
                    </a:ext>
                    <a:ext uri="{FF2B5EF4-FFF2-40B4-BE49-F238E27FC236}">
                      <a16:creationId xmlns:a16="http://schemas.microsoft.com/office/drawing/2014/main" id="{00000000-0008-0000-0200-00001F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4" name="DC_TRN" hidden="1">
                  <a:extLst>
                    <a:ext uri="{63B3BB69-23CF-44E3-9099-C40C66FF867C}">
                      <a14:compatExt spid="_x0000_s15394"/>
                    </a:ext>
                    <a:ext uri="{FF2B5EF4-FFF2-40B4-BE49-F238E27FC236}">
                      <a16:creationId xmlns:a16="http://schemas.microsoft.com/office/drawing/2014/main" id="{00000000-0008-0000-0200-000022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0000000-0008-0000-0200-000007000000}"/>
                  </a:ext>
                </a:extLst>
              </xdr:cNvPr>
              <xdr:cNvGrpSpPr/>
            </xdr:nvGrpSpPr>
            <xdr:grpSpPr>
              <a:xfrm>
                <a:off x="1438018" y="2774791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95" name="PE_JR" hidden="1">
                  <a:extLst>
                    <a:ext uri="{63B3BB69-23CF-44E3-9099-C40C66FF867C}">
                      <a14:compatExt spid="_x0000_s15395"/>
                    </a:ext>
                    <a:ext uri="{FF2B5EF4-FFF2-40B4-BE49-F238E27FC236}">
                      <a16:creationId xmlns:a16="http://schemas.microsoft.com/office/drawing/2014/main" id="{00000000-0008-0000-0200-000023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6" name="PE_INT" hidden="1">
                  <a:extLst>
                    <a:ext uri="{63B3BB69-23CF-44E3-9099-C40C66FF867C}">
                      <a14:compatExt spid="_x0000_s15396"/>
                    </a:ext>
                    <a:ext uri="{FF2B5EF4-FFF2-40B4-BE49-F238E27FC236}">
                      <a16:creationId xmlns:a16="http://schemas.microsoft.com/office/drawing/2014/main" id="{00000000-0008-0000-0200-000024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7" name="PE_SR" hidden="1">
                  <a:extLst>
                    <a:ext uri="{63B3BB69-23CF-44E3-9099-C40C66FF867C}">
                      <a14:compatExt spid="_x0000_s15397"/>
                    </a:ext>
                    <a:ext uri="{FF2B5EF4-FFF2-40B4-BE49-F238E27FC236}">
                      <a16:creationId xmlns:a16="http://schemas.microsoft.com/office/drawing/2014/main" id="{00000000-0008-0000-0200-000025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8" name="PE_LD" hidden="1">
                  <a:extLst>
                    <a:ext uri="{63B3BB69-23CF-44E3-9099-C40C66FF867C}">
                      <a14:compatExt spid="_x0000_s15398"/>
                    </a:ext>
                    <a:ext uri="{FF2B5EF4-FFF2-40B4-BE49-F238E27FC236}">
                      <a16:creationId xmlns:a16="http://schemas.microsoft.com/office/drawing/2014/main" id="{00000000-0008-0000-0200-000026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1" name="PE_EIT" hidden="1">
                  <a:extLst>
                    <a:ext uri="{63B3BB69-23CF-44E3-9099-C40C66FF867C}">
                      <a14:compatExt spid="_x0000_s15401"/>
                    </a:ext>
                    <a:ext uri="{FF2B5EF4-FFF2-40B4-BE49-F238E27FC236}">
                      <a16:creationId xmlns:a16="http://schemas.microsoft.com/office/drawing/2014/main" id="{00000000-0008-0000-0200-000029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GrpSpPr/>
            </xdr:nvGrpSpPr>
            <xdr:grpSpPr>
              <a:xfrm>
                <a:off x="1438018" y="3149513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402" name="PCO_JR" hidden="1">
                  <a:extLst>
                    <a:ext uri="{63B3BB69-23CF-44E3-9099-C40C66FF867C}">
                      <a14:compatExt spid="_x0000_s15402"/>
                    </a:ext>
                    <a:ext uri="{FF2B5EF4-FFF2-40B4-BE49-F238E27FC236}">
                      <a16:creationId xmlns:a16="http://schemas.microsoft.com/office/drawing/2014/main" id="{00000000-0008-0000-0200-00002A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3" name="PCO_INT" hidden="1">
                  <a:extLst>
                    <a:ext uri="{63B3BB69-23CF-44E3-9099-C40C66FF867C}">
                      <a14:compatExt spid="_x0000_s15403"/>
                    </a:ext>
                    <a:ext uri="{FF2B5EF4-FFF2-40B4-BE49-F238E27FC236}">
                      <a16:creationId xmlns:a16="http://schemas.microsoft.com/office/drawing/2014/main" id="{00000000-0008-0000-0200-00002B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4" name="PCO_SR" hidden="1">
                  <a:extLst>
                    <a:ext uri="{63B3BB69-23CF-44E3-9099-C40C66FF867C}">
                      <a14:compatExt spid="_x0000_s15404"/>
                    </a:ext>
                    <a:ext uri="{FF2B5EF4-FFF2-40B4-BE49-F238E27FC236}">
                      <a16:creationId xmlns:a16="http://schemas.microsoft.com/office/drawing/2014/main" id="{00000000-0008-0000-0200-00002C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5" name="PCO_LD" hidden="1">
                  <a:extLst>
                    <a:ext uri="{63B3BB69-23CF-44E3-9099-C40C66FF867C}">
                      <a14:compatExt spid="_x0000_s15405"/>
                    </a:ext>
                    <a:ext uri="{FF2B5EF4-FFF2-40B4-BE49-F238E27FC236}">
                      <a16:creationId xmlns:a16="http://schemas.microsoft.com/office/drawing/2014/main" id="{00000000-0008-0000-0200-00002D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8" name="PCO_TRN" hidden="1">
                  <a:extLst>
                    <a:ext uri="{63B3BB69-23CF-44E3-9099-C40C66FF867C}">
                      <a14:compatExt spid="_x0000_s15408"/>
                    </a:ext>
                    <a:ext uri="{FF2B5EF4-FFF2-40B4-BE49-F238E27FC236}">
                      <a16:creationId xmlns:a16="http://schemas.microsoft.com/office/drawing/2014/main" id="{00000000-0008-0000-0200-000030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1438017" y="3535184"/>
                <a:ext cx="3370207" cy="275087"/>
                <a:chOff x="1546363" y="1608481"/>
                <a:chExt cx="3086377" cy="276330"/>
              </a:xfrm>
            </xdr:grpSpPr>
            <xdr:sp macro="" textlink="">
              <xdr:nvSpPr>
                <xdr:cNvPr id="15409" name="PC_JR" hidden="1">
                  <a:extLst>
                    <a:ext uri="{63B3BB69-23CF-44E3-9099-C40C66FF867C}">
                      <a14:compatExt spid="_x0000_s15409"/>
                    </a:ext>
                    <a:ext uri="{FF2B5EF4-FFF2-40B4-BE49-F238E27FC236}">
                      <a16:creationId xmlns:a16="http://schemas.microsoft.com/office/drawing/2014/main" id="{00000000-0008-0000-0200-000031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0" name="PC_INT" hidden="1">
                  <a:extLst>
                    <a:ext uri="{63B3BB69-23CF-44E3-9099-C40C66FF867C}">
                      <a14:compatExt spid="_x0000_s15410"/>
                    </a:ext>
                    <a:ext uri="{FF2B5EF4-FFF2-40B4-BE49-F238E27FC236}">
                      <a16:creationId xmlns:a16="http://schemas.microsoft.com/office/drawing/2014/main" id="{00000000-0008-0000-0200-000032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1" name="PC_SR" hidden="1">
                  <a:extLst>
                    <a:ext uri="{63B3BB69-23CF-44E3-9099-C40C66FF867C}">
                      <a14:compatExt spid="_x0000_s15411"/>
                    </a:ext>
                    <a:ext uri="{FF2B5EF4-FFF2-40B4-BE49-F238E27FC236}">
                      <a16:creationId xmlns:a16="http://schemas.microsoft.com/office/drawing/2014/main" id="{00000000-0008-0000-0200-000033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2" name="PC_LD" hidden="1">
                  <a:extLst>
                    <a:ext uri="{63B3BB69-23CF-44E3-9099-C40C66FF867C}">
                      <a14:compatExt spid="_x0000_s15412"/>
                    </a:ext>
                    <a:ext uri="{FF2B5EF4-FFF2-40B4-BE49-F238E27FC236}">
                      <a16:creationId xmlns:a16="http://schemas.microsoft.com/office/drawing/2014/main" id="{00000000-0008-0000-0200-000034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3" name="PC_SP" hidden="1">
                  <a:extLst>
                    <a:ext uri="{63B3BB69-23CF-44E3-9099-C40C66FF867C}">
                      <a14:compatExt spid="_x0000_s15413"/>
                    </a:ext>
                    <a:ext uri="{FF2B5EF4-FFF2-40B4-BE49-F238E27FC236}">
                      <a16:creationId xmlns:a16="http://schemas.microsoft.com/office/drawing/2014/main" id="{00000000-0008-0000-0200-0000353C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5" name="PC_TRN" hidden="1">
                  <a:extLst>
                    <a:ext uri="{63B3BB69-23CF-44E3-9099-C40C66FF867C}">
                      <a14:compatExt spid="_x0000_s15415"/>
                    </a:ext>
                    <a:ext uri="{FF2B5EF4-FFF2-40B4-BE49-F238E27FC236}">
                      <a16:creationId xmlns:a16="http://schemas.microsoft.com/office/drawing/2014/main" id="{00000000-0008-0000-0200-0000373C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5</xdr:row>
      <xdr:rowOff>24848</xdr:rowOff>
    </xdr:from>
    <xdr:to>
      <xdr:col>21</xdr:col>
      <xdr:colOff>435251</xdr:colOff>
      <xdr:row>19</xdr:row>
      <xdr:rowOff>133350</xdr:rowOff>
    </xdr:to>
    <xdr:grpSp>
      <xdr:nvGrpSpPr>
        <xdr:cNvPr id="15691" name="Group 15690">
          <a:extLst>
            <a:ext uri="{FF2B5EF4-FFF2-40B4-BE49-F238E27FC236}">
              <a16:creationId xmlns:a16="http://schemas.microsoft.com/office/drawing/2014/main" id="{00000000-0008-0000-0200-00004B3D0000}"/>
            </a:ext>
          </a:extLst>
        </xdr:cNvPr>
        <xdr:cNvGrpSpPr/>
      </xdr:nvGrpSpPr>
      <xdr:grpSpPr>
        <a:xfrm>
          <a:off x="9945342" y="929723"/>
          <a:ext cx="4891709" cy="2642152"/>
          <a:chOff x="514350" y="1143000"/>
          <a:chExt cx="4914900" cy="2705928"/>
        </a:xfrm>
      </xdr:grpSpPr>
      <xdr:sp macro="" textlink="">
        <xdr:nvSpPr>
          <xdr:cNvPr id="15692" name="Rectangle 15691">
            <a:extLst>
              <a:ext uri="{FF2B5EF4-FFF2-40B4-BE49-F238E27FC236}">
                <a16:creationId xmlns:a16="http://schemas.microsoft.com/office/drawing/2014/main" id="{00000000-0008-0000-0200-00004C3D0000}"/>
              </a:ext>
            </a:extLst>
          </xdr:cNvPr>
          <xdr:cNvSpPr/>
        </xdr:nvSpPr>
        <xdr:spPr>
          <a:xfrm>
            <a:off x="514350" y="1143000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693" name="Rectangle 15692">
            <a:extLst>
              <a:ext uri="{FF2B5EF4-FFF2-40B4-BE49-F238E27FC236}">
                <a16:creationId xmlns:a16="http://schemas.microsoft.com/office/drawing/2014/main" id="{00000000-0008-0000-0200-00004D3D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ENG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4" name="Rectangle 15693">
            <a:extLst>
              <a:ext uri="{FF2B5EF4-FFF2-40B4-BE49-F238E27FC236}">
                <a16:creationId xmlns:a16="http://schemas.microsoft.com/office/drawing/2014/main" id="{00000000-0008-0000-0200-00004E3D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31 PrE</a:t>
            </a:r>
          </a:p>
        </xdr:txBody>
      </xdr:sp>
      <xdr:sp macro="" textlink="">
        <xdr:nvSpPr>
          <xdr:cNvPr id="15695" name="Rectangle 15694">
            <a:extLst>
              <a:ext uri="{FF2B5EF4-FFF2-40B4-BE49-F238E27FC236}">
                <a16:creationId xmlns:a16="http://schemas.microsoft.com/office/drawing/2014/main" id="{00000000-0008-0000-0200-00004F3D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32 ME</a:t>
            </a:r>
          </a:p>
        </xdr:txBody>
      </xdr:sp>
      <xdr:sp macro="" textlink="">
        <xdr:nvSpPr>
          <xdr:cNvPr id="15696" name="Rectangle 15695">
            <a:extLst>
              <a:ext uri="{FF2B5EF4-FFF2-40B4-BE49-F238E27FC236}">
                <a16:creationId xmlns:a16="http://schemas.microsoft.com/office/drawing/2014/main" id="{00000000-0008-0000-0200-0000503D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EE</a:t>
            </a:r>
          </a:p>
        </xdr:txBody>
      </xdr:sp>
      <xdr:sp macro="" textlink="">
        <xdr:nvSpPr>
          <xdr:cNvPr id="15697" name="Rectangle 15696">
            <a:extLst>
              <a:ext uri="{FF2B5EF4-FFF2-40B4-BE49-F238E27FC236}">
                <a16:creationId xmlns:a16="http://schemas.microsoft.com/office/drawing/2014/main" id="{00000000-0008-0000-0200-0000513D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ICE</a:t>
            </a:r>
          </a:p>
        </xdr:txBody>
      </xdr:sp>
      <xdr:sp macro="" textlink="">
        <xdr:nvSpPr>
          <xdr:cNvPr id="15698" name="Rectangle 15697">
            <a:extLst>
              <a:ext uri="{FF2B5EF4-FFF2-40B4-BE49-F238E27FC236}">
                <a16:creationId xmlns:a16="http://schemas.microsoft.com/office/drawing/2014/main" id="{00000000-0008-0000-0200-0000523D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 TCA</a:t>
            </a:r>
            <a:r>
              <a:rPr lang="en-CA" sz="11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1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9" name="Rectangle 15698">
            <a:extLst>
              <a:ext uri="{FF2B5EF4-FFF2-40B4-BE49-F238E27FC236}">
                <a16:creationId xmlns:a16="http://schemas.microsoft.com/office/drawing/2014/main" id="{00000000-0008-0000-0200-0000533D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CSA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2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0" name="Group 15699">
                <a:extLst>
                  <a:ext uri="{FF2B5EF4-FFF2-40B4-BE49-F238E27FC236}">
                    <a16:creationId xmlns:a16="http://schemas.microsoft.com/office/drawing/2014/main" id="{00000000-0008-0000-0200-0000543D0000}"/>
                  </a:ext>
                </a:extLst>
              </xdr:cNvPr>
              <xdr:cNvGrpSpPr/>
            </xdr:nvGrpSpPr>
            <xdr:grpSpPr>
              <a:xfrm>
                <a:off x="1438020" y="1608067"/>
                <a:ext cx="3940594" cy="273845"/>
                <a:chOff x="1546366" y="1608481"/>
                <a:chExt cx="3608727" cy="276330"/>
              </a:xfrm>
            </xdr:grpSpPr>
            <xdr:sp macro="" textlink="">
              <xdr:nvSpPr>
                <xdr:cNvPr id="15626" name="PrE_JR" hidden="1">
                  <a:extLst>
                    <a:ext uri="{63B3BB69-23CF-44E3-9099-C40C66FF867C}">
                      <a14:compatExt spid="_x0000_s15626"/>
                    </a:ext>
                    <a:ext uri="{FF2B5EF4-FFF2-40B4-BE49-F238E27FC236}">
                      <a16:creationId xmlns:a16="http://schemas.microsoft.com/office/drawing/2014/main" id="{00000000-0008-0000-0200-00000A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7" name="PrE_INT" hidden="1">
                  <a:extLst>
                    <a:ext uri="{63B3BB69-23CF-44E3-9099-C40C66FF867C}">
                      <a14:compatExt spid="_x0000_s15627"/>
                    </a:ext>
                    <a:ext uri="{FF2B5EF4-FFF2-40B4-BE49-F238E27FC236}">
                      <a16:creationId xmlns:a16="http://schemas.microsoft.com/office/drawing/2014/main" id="{00000000-0008-0000-0200-00000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8" name="PrE_SR" hidden="1">
                  <a:extLst>
                    <a:ext uri="{63B3BB69-23CF-44E3-9099-C40C66FF867C}">
                      <a14:compatExt spid="_x0000_s15628"/>
                    </a:ext>
                    <a:ext uri="{FF2B5EF4-FFF2-40B4-BE49-F238E27FC236}">
                      <a16:creationId xmlns:a16="http://schemas.microsoft.com/office/drawing/2014/main" id="{00000000-0008-0000-0200-00000C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9" name="PrE_LD" hidden="1">
                  <a:extLst>
                    <a:ext uri="{63B3BB69-23CF-44E3-9099-C40C66FF867C}">
                      <a14:compatExt spid="_x0000_s15629"/>
                    </a:ext>
                    <a:ext uri="{FF2B5EF4-FFF2-40B4-BE49-F238E27FC236}">
                      <a16:creationId xmlns:a16="http://schemas.microsoft.com/office/drawing/2014/main" id="{00000000-0008-0000-0200-00000D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0" name="PrE_SP" hidden="1">
                  <a:extLst>
                    <a:ext uri="{63B3BB69-23CF-44E3-9099-C40C66FF867C}">
                      <a14:compatExt spid="_x0000_s15630"/>
                    </a:ext>
                    <a:ext uri="{FF2B5EF4-FFF2-40B4-BE49-F238E27FC236}">
                      <a16:creationId xmlns:a16="http://schemas.microsoft.com/office/drawing/2014/main" id="{00000000-0008-0000-0200-00000E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1" name="PrE_SME" hidden="1">
                  <a:extLst>
                    <a:ext uri="{63B3BB69-23CF-44E3-9099-C40C66FF867C}">
                      <a14:compatExt spid="_x0000_s15631"/>
                    </a:ext>
                    <a:ext uri="{FF2B5EF4-FFF2-40B4-BE49-F238E27FC236}">
                      <a16:creationId xmlns:a16="http://schemas.microsoft.com/office/drawing/2014/main" id="{00000000-0008-0000-0200-00000F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2" name="PrE_EIT" hidden="1">
                  <a:extLst>
                    <a:ext uri="{63B3BB69-23CF-44E3-9099-C40C66FF867C}">
                      <a14:compatExt spid="_x0000_s15632"/>
                    </a:ext>
                    <a:ext uri="{FF2B5EF4-FFF2-40B4-BE49-F238E27FC236}">
                      <a16:creationId xmlns:a16="http://schemas.microsoft.com/office/drawing/2014/main" id="{00000000-0008-0000-0200-000010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1" name="Group 15700">
                <a:extLst>
                  <a:ext uri="{FF2B5EF4-FFF2-40B4-BE49-F238E27FC236}">
                    <a16:creationId xmlns:a16="http://schemas.microsoft.com/office/drawing/2014/main" id="{00000000-0008-0000-0200-0000553D0000}"/>
                  </a:ext>
                </a:extLst>
              </xdr:cNvPr>
              <xdr:cNvGrpSpPr/>
            </xdr:nvGrpSpPr>
            <xdr:grpSpPr>
              <a:xfrm>
                <a:off x="1438020" y="1993738"/>
                <a:ext cx="3940594" cy="273846"/>
                <a:chOff x="1546366" y="1608480"/>
                <a:chExt cx="3608727" cy="276331"/>
              </a:xfrm>
            </xdr:grpSpPr>
            <xdr:sp macro="" textlink="">
              <xdr:nvSpPr>
                <xdr:cNvPr id="15633" name="ME_JR" hidden="1">
                  <a:extLst>
                    <a:ext uri="{63B3BB69-23CF-44E3-9099-C40C66FF867C}">
                      <a14:compatExt spid="_x0000_s15633"/>
                    </a:ext>
                    <a:ext uri="{FF2B5EF4-FFF2-40B4-BE49-F238E27FC236}">
                      <a16:creationId xmlns:a16="http://schemas.microsoft.com/office/drawing/2014/main" id="{00000000-0008-0000-0200-00001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4" name="ME_INT" hidden="1">
                  <a:extLst>
                    <a:ext uri="{63B3BB69-23CF-44E3-9099-C40C66FF867C}">
                      <a14:compatExt spid="_x0000_s15634"/>
                    </a:ext>
                    <a:ext uri="{FF2B5EF4-FFF2-40B4-BE49-F238E27FC236}">
                      <a16:creationId xmlns:a16="http://schemas.microsoft.com/office/drawing/2014/main" id="{00000000-0008-0000-0200-0000123D0000}"/>
                    </a:ext>
                  </a:extLst>
                </xdr:cNvPr>
                <xdr:cNvSpPr/>
              </xdr:nvSpPr>
              <xdr:spPr bwMode="auto">
                <a:xfrm>
                  <a:off x="2589420" y="1608480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5" name="ME_SR" hidden="1">
                  <a:extLst>
                    <a:ext uri="{63B3BB69-23CF-44E3-9099-C40C66FF867C}">
                      <a14:compatExt spid="_x0000_s15635"/>
                    </a:ext>
                    <a:ext uri="{FF2B5EF4-FFF2-40B4-BE49-F238E27FC236}">
                      <a16:creationId xmlns:a16="http://schemas.microsoft.com/office/drawing/2014/main" id="{00000000-0008-0000-0200-00001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6" name="ME_LD" hidden="1">
                  <a:extLst>
                    <a:ext uri="{63B3BB69-23CF-44E3-9099-C40C66FF867C}">
                      <a14:compatExt spid="_x0000_s15636"/>
                    </a:ext>
                    <a:ext uri="{FF2B5EF4-FFF2-40B4-BE49-F238E27FC236}">
                      <a16:creationId xmlns:a16="http://schemas.microsoft.com/office/drawing/2014/main" id="{00000000-0008-0000-0200-000014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7" name="ME_SP" hidden="1">
                  <a:extLst>
                    <a:ext uri="{63B3BB69-23CF-44E3-9099-C40C66FF867C}">
                      <a14:compatExt spid="_x0000_s15637"/>
                    </a:ext>
                    <a:ext uri="{FF2B5EF4-FFF2-40B4-BE49-F238E27FC236}">
                      <a16:creationId xmlns:a16="http://schemas.microsoft.com/office/drawing/2014/main" id="{00000000-0008-0000-0200-000015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8" name="ME_SME" hidden="1">
                  <a:extLst>
                    <a:ext uri="{63B3BB69-23CF-44E3-9099-C40C66FF867C}">
                      <a14:compatExt spid="_x0000_s15638"/>
                    </a:ext>
                    <a:ext uri="{FF2B5EF4-FFF2-40B4-BE49-F238E27FC236}">
                      <a16:creationId xmlns:a16="http://schemas.microsoft.com/office/drawing/2014/main" id="{00000000-0008-0000-0200-000016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9" name="ME_EIT" hidden="1">
                  <a:extLst>
                    <a:ext uri="{63B3BB69-23CF-44E3-9099-C40C66FF867C}">
                      <a14:compatExt spid="_x0000_s15639"/>
                    </a:ext>
                    <a:ext uri="{FF2B5EF4-FFF2-40B4-BE49-F238E27FC236}">
                      <a16:creationId xmlns:a16="http://schemas.microsoft.com/office/drawing/2014/main" id="{00000000-0008-0000-0200-000017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2" name="Group 15701">
                <a:extLst>
                  <a:ext uri="{FF2B5EF4-FFF2-40B4-BE49-F238E27FC236}">
                    <a16:creationId xmlns:a16="http://schemas.microsoft.com/office/drawing/2014/main" id="{00000000-0008-0000-0200-0000563D0000}"/>
                  </a:ext>
                </a:extLst>
              </xdr:cNvPr>
              <xdr:cNvGrpSpPr/>
            </xdr:nvGrpSpPr>
            <xdr:grpSpPr>
              <a:xfrm>
                <a:off x="1438020" y="2378169"/>
                <a:ext cx="3940594" cy="275088"/>
                <a:chOff x="1546366" y="1608481"/>
                <a:chExt cx="3608727" cy="276330"/>
              </a:xfrm>
            </xdr:grpSpPr>
            <xdr:sp macro="" textlink="">
              <xdr:nvSpPr>
                <xdr:cNvPr id="15640" name="EE_JR" hidden="1">
                  <a:extLst>
                    <a:ext uri="{63B3BB69-23CF-44E3-9099-C40C66FF867C}">
                      <a14:compatExt spid="_x0000_s15640"/>
                    </a:ext>
                    <a:ext uri="{FF2B5EF4-FFF2-40B4-BE49-F238E27FC236}">
                      <a16:creationId xmlns:a16="http://schemas.microsoft.com/office/drawing/2014/main" id="{00000000-0008-0000-0200-000018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1" name="EE_INT" hidden="1">
                  <a:extLst>
                    <a:ext uri="{63B3BB69-23CF-44E3-9099-C40C66FF867C}">
                      <a14:compatExt spid="_x0000_s15641"/>
                    </a:ext>
                    <a:ext uri="{FF2B5EF4-FFF2-40B4-BE49-F238E27FC236}">
                      <a16:creationId xmlns:a16="http://schemas.microsoft.com/office/drawing/2014/main" id="{00000000-0008-0000-0200-000019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2" name="EE_SR" hidden="1">
                  <a:extLst>
                    <a:ext uri="{63B3BB69-23CF-44E3-9099-C40C66FF867C}">
                      <a14:compatExt spid="_x0000_s15642"/>
                    </a:ext>
                    <a:ext uri="{FF2B5EF4-FFF2-40B4-BE49-F238E27FC236}">
                      <a16:creationId xmlns:a16="http://schemas.microsoft.com/office/drawing/2014/main" id="{00000000-0008-0000-0200-00001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3" name="EE_LD" hidden="1">
                  <a:extLst>
                    <a:ext uri="{63B3BB69-23CF-44E3-9099-C40C66FF867C}">
                      <a14:compatExt spid="_x0000_s15643"/>
                    </a:ext>
                    <a:ext uri="{FF2B5EF4-FFF2-40B4-BE49-F238E27FC236}">
                      <a16:creationId xmlns:a16="http://schemas.microsoft.com/office/drawing/2014/main" id="{00000000-0008-0000-0200-00001B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4" name="EE_SP" hidden="1">
                  <a:extLst>
                    <a:ext uri="{63B3BB69-23CF-44E3-9099-C40C66FF867C}">
                      <a14:compatExt spid="_x0000_s15644"/>
                    </a:ext>
                    <a:ext uri="{FF2B5EF4-FFF2-40B4-BE49-F238E27FC236}">
                      <a16:creationId xmlns:a16="http://schemas.microsoft.com/office/drawing/2014/main" id="{00000000-0008-0000-0200-00001C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5" name="EE_SME" hidden="1">
                  <a:extLst>
                    <a:ext uri="{63B3BB69-23CF-44E3-9099-C40C66FF867C}">
                      <a14:compatExt spid="_x0000_s15645"/>
                    </a:ext>
                    <a:ext uri="{FF2B5EF4-FFF2-40B4-BE49-F238E27FC236}">
                      <a16:creationId xmlns:a16="http://schemas.microsoft.com/office/drawing/2014/main" id="{00000000-0008-0000-0200-00001D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6" name="EE_EIT" hidden="1">
                  <a:extLst>
                    <a:ext uri="{63B3BB69-23CF-44E3-9099-C40C66FF867C}">
                      <a14:compatExt spid="_x0000_s15646"/>
                    </a:ext>
                    <a:ext uri="{FF2B5EF4-FFF2-40B4-BE49-F238E27FC236}">
                      <a16:creationId xmlns:a16="http://schemas.microsoft.com/office/drawing/2014/main" id="{00000000-0008-0000-0200-00001E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3" name="Group 15702">
                <a:extLst>
                  <a:ext uri="{FF2B5EF4-FFF2-40B4-BE49-F238E27FC236}">
                    <a16:creationId xmlns:a16="http://schemas.microsoft.com/office/drawing/2014/main" id="{00000000-0008-0000-0200-0000573D0000}"/>
                  </a:ext>
                </a:extLst>
              </xdr:cNvPr>
              <xdr:cNvGrpSpPr/>
            </xdr:nvGrpSpPr>
            <xdr:grpSpPr>
              <a:xfrm>
                <a:off x="1438020" y="2774791"/>
                <a:ext cx="3940594" cy="275088"/>
                <a:chOff x="1546366" y="1608481"/>
                <a:chExt cx="3608727" cy="276330"/>
              </a:xfrm>
            </xdr:grpSpPr>
            <xdr:sp macro="" textlink="">
              <xdr:nvSpPr>
                <xdr:cNvPr id="15647" name="ICE_JR" hidden="1">
                  <a:extLst>
                    <a:ext uri="{63B3BB69-23CF-44E3-9099-C40C66FF867C}">
                      <a14:compatExt spid="_x0000_s15647"/>
                    </a:ext>
                    <a:ext uri="{FF2B5EF4-FFF2-40B4-BE49-F238E27FC236}">
                      <a16:creationId xmlns:a16="http://schemas.microsoft.com/office/drawing/2014/main" id="{00000000-0008-0000-0200-00001F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8" name="ICE_INT" hidden="1">
                  <a:extLst>
                    <a:ext uri="{63B3BB69-23CF-44E3-9099-C40C66FF867C}">
                      <a14:compatExt spid="_x0000_s15648"/>
                    </a:ext>
                    <a:ext uri="{FF2B5EF4-FFF2-40B4-BE49-F238E27FC236}">
                      <a16:creationId xmlns:a16="http://schemas.microsoft.com/office/drawing/2014/main" id="{00000000-0008-0000-0200-000020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9" name="ICE_SR" hidden="1">
                  <a:extLst>
                    <a:ext uri="{63B3BB69-23CF-44E3-9099-C40C66FF867C}">
                      <a14:compatExt spid="_x0000_s15649"/>
                    </a:ext>
                    <a:ext uri="{FF2B5EF4-FFF2-40B4-BE49-F238E27FC236}">
                      <a16:creationId xmlns:a16="http://schemas.microsoft.com/office/drawing/2014/main" id="{00000000-0008-0000-0200-00002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0" name="ICE_LD" hidden="1">
                  <a:extLst>
                    <a:ext uri="{63B3BB69-23CF-44E3-9099-C40C66FF867C}">
                      <a14:compatExt spid="_x0000_s15650"/>
                    </a:ext>
                    <a:ext uri="{FF2B5EF4-FFF2-40B4-BE49-F238E27FC236}">
                      <a16:creationId xmlns:a16="http://schemas.microsoft.com/office/drawing/2014/main" id="{00000000-0008-0000-0200-000022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1" name="ICE_SP" hidden="1">
                  <a:extLst>
                    <a:ext uri="{63B3BB69-23CF-44E3-9099-C40C66FF867C}">
                      <a14:compatExt spid="_x0000_s15651"/>
                    </a:ext>
                    <a:ext uri="{FF2B5EF4-FFF2-40B4-BE49-F238E27FC236}">
                      <a16:creationId xmlns:a16="http://schemas.microsoft.com/office/drawing/2014/main" id="{00000000-0008-0000-0200-000023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2" name="ICE_SME" hidden="1">
                  <a:extLst>
                    <a:ext uri="{63B3BB69-23CF-44E3-9099-C40C66FF867C}">
                      <a14:compatExt spid="_x0000_s15652"/>
                    </a:ext>
                    <a:ext uri="{FF2B5EF4-FFF2-40B4-BE49-F238E27FC236}">
                      <a16:creationId xmlns:a16="http://schemas.microsoft.com/office/drawing/2014/main" id="{00000000-0008-0000-0200-000024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3" name="ICE_EIT" hidden="1">
                  <a:extLst>
                    <a:ext uri="{63B3BB69-23CF-44E3-9099-C40C66FF867C}">
                      <a14:compatExt spid="_x0000_s15653"/>
                    </a:ext>
                    <a:ext uri="{FF2B5EF4-FFF2-40B4-BE49-F238E27FC236}">
                      <a16:creationId xmlns:a16="http://schemas.microsoft.com/office/drawing/2014/main" id="{00000000-0008-0000-0200-000025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4" name="Group 15703">
                <a:extLst>
                  <a:ext uri="{FF2B5EF4-FFF2-40B4-BE49-F238E27FC236}">
                    <a16:creationId xmlns:a16="http://schemas.microsoft.com/office/drawing/2014/main" id="{00000000-0008-0000-0200-0000583D0000}"/>
                  </a:ext>
                </a:extLst>
              </xdr:cNvPr>
              <xdr:cNvGrpSpPr/>
            </xdr:nvGrpSpPr>
            <xdr:grpSpPr>
              <a:xfrm>
                <a:off x="1438020" y="3149513"/>
                <a:ext cx="3940594" cy="275088"/>
                <a:chOff x="1546366" y="1608481"/>
                <a:chExt cx="3608727" cy="276330"/>
              </a:xfrm>
            </xdr:grpSpPr>
            <xdr:sp macro="" textlink="">
              <xdr:nvSpPr>
                <xdr:cNvPr id="15654" name="TCAE_JR" hidden="1">
                  <a:extLst>
                    <a:ext uri="{63B3BB69-23CF-44E3-9099-C40C66FF867C}">
                      <a14:compatExt spid="_x0000_s15654"/>
                    </a:ext>
                    <a:ext uri="{FF2B5EF4-FFF2-40B4-BE49-F238E27FC236}">
                      <a16:creationId xmlns:a16="http://schemas.microsoft.com/office/drawing/2014/main" id="{00000000-0008-0000-0200-000026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5" name="TCAE_INT" hidden="1">
                  <a:extLst>
                    <a:ext uri="{63B3BB69-23CF-44E3-9099-C40C66FF867C}">
                      <a14:compatExt spid="_x0000_s15655"/>
                    </a:ext>
                    <a:ext uri="{FF2B5EF4-FFF2-40B4-BE49-F238E27FC236}">
                      <a16:creationId xmlns:a16="http://schemas.microsoft.com/office/drawing/2014/main" id="{00000000-0008-0000-0200-000027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6" name="TCAE_SR" hidden="1">
                  <a:extLst>
                    <a:ext uri="{63B3BB69-23CF-44E3-9099-C40C66FF867C}">
                      <a14:compatExt spid="_x0000_s15656"/>
                    </a:ext>
                    <a:ext uri="{FF2B5EF4-FFF2-40B4-BE49-F238E27FC236}">
                      <a16:creationId xmlns:a16="http://schemas.microsoft.com/office/drawing/2014/main" id="{00000000-0008-0000-0200-000028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7" name="TCAE_LD" hidden="1">
                  <a:extLst>
                    <a:ext uri="{63B3BB69-23CF-44E3-9099-C40C66FF867C}">
                      <a14:compatExt spid="_x0000_s15657"/>
                    </a:ext>
                    <a:ext uri="{FF2B5EF4-FFF2-40B4-BE49-F238E27FC236}">
                      <a16:creationId xmlns:a16="http://schemas.microsoft.com/office/drawing/2014/main" id="{00000000-0008-0000-0200-00002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8" name="TCAE_SP" hidden="1">
                  <a:extLst>
                    <a:ext uri="{63B3BB69-23CF-44E3-9099-C40C66FF867C}">
                      <a14:compatExt spid="_x0000_s15658"/>
                    </a:ext>
                    <a:ext uri="{FF2B5EF4-FFF2-40B4-BE49-F238E27FC236}">
                      <a16:creationId xmlns:a16="http://schemas.microsoft.com/office/drawing/2014/main" id="{00000000-0008-0000-0200-00002A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9" name="TCAE_SME" hidden="1">
                  <a:extLst>
                    <a:ext uri="{63B3BB69-23CF-44E3-9099-C40C66FF867C}">
                      <a14:compatExt spid="_x0000_s15659"/>
                    </a:ext>
                    <a:ext uri="{FF2B5EF4-FFF2-40B4-BE49-F238E27FC236}">
                      <a16:creationId xmlns:a16="http://schemas.microsoft.com/office/drawing/2014/main" id="{00000000-0008-0000-0200-00002B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0" name="TCAE_EIT" hidden="1">
                  <a:extLst>
                    <a:ext uri="{63B3BB69-23CF-44E3-9099-C40C66FF867C}">
                      <a14:compatExt spid="_x0000_s15660"/>
                    </a:ext>
                    <a:ext uri="{FF2B5EF4-FFF2-40B4-BE49-F238E27FC236}">
                      <a16:creationId xmlns:a16="http://schemas.microsoft.com/office/drawing/2014/main" id="{00000000-0008-0000-0200-00002C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5" name="Group 15704">
                <a:extLst>
                  <a:ext uri="{FF2B5EF4-FFF2-40B4-BE49-F238E27FC236}">
                    <a16:creationId xmlns:a16="http://schemas.microsoft.com/office/drawing/2014/main" id="{00000000-0008-0000-0200-0000593D0000}"/>
                  </a:ext>
                </a:extLst>
              </xdr:cNvPr>
              <xdr:cNvGrpSpPr/>
            </xdr:nvGrpSpPr>
            <xdr:grpSpPr>
              <a:xfrm>
                <a:off x="1438020" y="3535184"/>
                <a:ext cx="3940594" cy="275087"/>
                <a:chOff x="1546366" y="1608481"/>
                <a:chExt cx="3608727" cy="276330"/>
              </a:xfrm>
            </xdr:grpSpPr>
            <xdr:sp macro="" textlink="">
              <xdr:nvSpPr>
                <xdr:cNvPr id="15661" name="CSAE_JR" hidden="1">
                  <a:extLst>
                    <a:ext uri="{63B3BB69-23CF-44E3-9099-C40C66FF867C}">
                      <a14:compatExt spid="_x0000_s15661"/>
                    </a:ext>
                    <a:ext uri="{FF2B5EF4-FFF2-40B4-BE49-F238E27FC236}">
                      <a16:creationId xmlns:a16="http://schemas.microsoft.com/office/drawing/2014/main" id="{00000000-0008-0000-0200-00002D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2" name="CSAE_INT" hidden="1">
                  <a:extLst>
                    <a:ext uri="{63B3BB69-23CF-44E3-9099-C40C66FF867C}">
                      <a14:compatExt spid="_x0000_s15662"/>
                    </a:ext>
                    <a:ext uri="{FF2B5EF4-FFF2-40B4-BE49-F238E27FC236}">
                      <a16:creationId xmlns:a16="http://schemas.microsoft.com/office/drawing/2014/main" id="{00000000-0008-0000-0200-00002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3" name="CSAE_SR" hidden="1">
                  <a:extLst>
                    <a:ext uri="{63B3BB69-23CF-44E3-9099-C40C66FF867C}">
                      <a14:compatExt spid="_x0000_s15663"/>
                    </a:ext>
                    <a:ext uri="{FF2B5EF4-FFF2-40B4-BE49-F238E27FC236}">
                      <a16:creationId xmlns:a16="http://schemas.microsoft.com/office/drawing/2014/main" id="{00000000-0008-0000-0200-00002F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4" name="CSAE_LD" hidden="1">
                  <a:extLst>
                    <a:ext uri="{63B3BB69-23CF-44E3-9099-C40C66FF867C}">
                      <a14:compatExt spid="_x0000_s15664"/>
                    </a:ext>
                    <a:ext uri="{FF2B5EF4-FFF2-40B4-BE49-F238E27FC236}">
                      <a16:creationId xmlns:a16="http://schemas.microsoft.com/office/drawing/2014/main" id="{00000000-0008-0000-0200-000030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5" name="CSAE_SP" hidden="1">
                  <a:extLst>
                    <a:ext uri="{63B3BB69-23CF-44E3-9099-C40C66FF867C}">
                      <a14:compatExt spid="_x0000_s15665"/>
                    </a:ext>
                    <a:ext uri="{FF2B5EF4-FFF2-40B4-BE49-F238E27FC236}">
                      <a16:creationId xmlns:a16="http://schemas.microsoft.com/office/drawing/2014/main" id="{00000000-0008-0000-0200-000031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6" name="CSAE_SME" hidden="1">
                  <a:extLst>
                    <a:ext uri="{63B3BB69-23CF-44E3-9099-C40C66FF867C}">
                      <a14:compatExt spid="_x0000_s15666"/>
                    </a:ext>
                    <a:ext uri="{FF2B5EF4-FFF2-40B4-BE49-F238E27FC236}">
                      <a16:creationId xmlns:a16="http://schemas.microsoft.com/office/drawing/2014/main" id="{00000000-0008-0000-0200-000032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7" name="CSAE_EIT" hidden="1">
                  <a:extLst>
                    <a:ext uri="{63B3BB69-23CF-44E3-9099-C40C66FF867C}">
                      <a14:compatExt spid="_x0000_s15667"/>
                    </a:ext>
                    <a:ext uri="{FF2B5EF4-FFF2-40B4-BE49-F238E27FC236}">
                      <a16:creationId xmlns:a16="http://schemas.microsoft.com/office/drawing/2014/main" id="{00000000-0008-0000-0200-000033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20</xdr:row>
      <xdr:rowOff>99805</xdr:rowOff>
    </xdr:from>
    <xdr:to>
      <xdr:col>14</xdr:col>
      <xdr:colOff>239367</xdr:colOff>
      <xdr:row>31</xdr:row>
      <xdr:rowOff>21121</xdr:rowOff>
    </xdr:to>
    <xdr:grpSp>
      <xdr:nvGrpSpPr>
        <xdr:cNvPr id="15862" name="Group 15861">
          <a:extLst>
            <a:ext uri="{FF2B5EF4-FFF2-40B4-BE49-F238E27FC236}">
              <a16:creationId xmlns:a16="http://schemas.microsoft.com/office/drawing/2014/main" id="{00000000-0008-0000-0200-0000F63D0000}"/>
            </a:ext>
          </a:extLst>
        </xdr:cNvPr>
        <xdr:cNvGrpSpPr/>
      </xdr:nvGrpSpPr>
      <xdr:grpSpPr>
        <a:xfrm>
          <a:off x="4948859" y="3719305"/>
          <a:ext cx="4891708" cy="1912041"/>
          <a:chOff x="704850" y="4114800"/>
          <a:chExt cx="4914900" cy="1962150"/>
        </a:xfrm>
      </xdr:grpSpPr>
      <xdr:sp macro="" textlink="">
        <xdr:nvSpPr>
          <xdr:cNvPr id="15749" name="Rectangle 15748">
            <a:extLst>
              <a:ext uri="{FF2B5EF4-FFF2-40B4-BE49-F238E27FC236}">
                <a16:creationId xmlns:a16="http://schemas.microsoft.com/office/drawing/2014/main" id="{00000000-0008-0000-0200-0000853D0000}"/>
              </a:ext>
            </a:extLst>
          </xdr:cNvPr>
          <xdr:cNvSpPr/>
        </xdr:nvSpPr>
        <xdr:spPr>
          <a:xfrm>
            <a:off x="704850" y="4114800"/>
            <a:ext cx="4914900" cy="1962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750" name="Rectangle 15749">
            <a:extLst>
              <a:ext uri="{FF2B5EF4-FFF2-40B4-BE49-F238E27FC236}">
                <a16:creationId xmlns:a16="http://schemas.microsoft.com/office/drawing/2014/main" id="{00000000-0008-0000-0200-0000863D0000}"/>
              </a:ext>
            </a:extLst>
          </xdr:cNvPr>
          <xdr:cNvSpPr/>
        </xdr:nvSpPr>
        <xdr:spPr>
          <a:xfrm>
            <a:off x="732227" y="416480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 TECH</a:t>
            </a:r>
          </a:p>
        </xdr:txBody>
      </xdr:sp>
      <xdr:sp macro="" textlink="">
        <xdr:nvSpPr>
          <xdr:cNvPr id="15751" name="Rectangle 15750">
            <a:extLst>
              <a:ext uri="{FF2B5EF4-FFF2-40B4-BE49-F238E27FC236}">
                <a16:creationId xmlns:a16="http://schemas.microsoft.com/office/drawing/2014/main" id="{00000000-0008-0000-0200-0000873D0000}"/>
              </a:ext>
            </a:extLst>
          </xdr:cNvPr>
          <xdr:cNvSpPr/>
        </xdr:nvSpPr>
        <xdr:spPr>
          <a:xfrm>
            <a:off x="732227" y="455532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ET</a:t>
            </a:r>
          </a:p>
        </xdr:txBody>
      </xdr:sp>
      <xdr:sp macro="" textlink="">
        <xdr:nvSpPr>
          <xdr:cNvPr id="15752" name="Rectangle 15751">
            <a:extLst>
              <a:ext uri="{FF2B5EF4-FFF2-40B4-BE49-F238E27FC236}">
                <a16:creationId xmlns:a16="http://schemas.microsoft.com/office/drawing/2014/main" id="{00000000-0008-0000-0200-0000883D0000}"/>
              </a:ext>
            </a:extLst>
          </xdr:cNvPr>
          <xdr:cNvSpPr/>
        </xdr:nvSpPr>
        <xdr:spPr>
          <a:xfrm>
            <a:off x="732227" y="494099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ICT</a:t>
            </a:r>
          </a:p>
        </xdr:txBody>
      </xdr:sp>
      <xdr:sp macro="" textlink="">
        <xdr:nvSpPr>
          <xdr:cNvPr id="15753" name="Rectangle 15752">
            <a:extLst>
              <a:ext uri="{FF2B5EF4-FFF2-40B4-BE49-F238E27FC236}">
                <a16:creationId xmlns:a16="http://schemas.microsoft.com/office/drawing/2014/main" id="{00000000-0008-0000-0200-0000893D0000}"/>
              </a:ext>
            </a:extLst>
          </xdr:cNvPr>
          <xdr:cNvSpPr/>
        </xdr:nvSpPr>
        <xdr:spPr>
          <a:xfrm>
            <a:off x="732227" y="532666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TCAT</a:t>
            </a:r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</a:t>
            </a:r>
          </a:p>
        </xdr:txBody>
      </xdr:sp>
      <xdr:sp macro="" textlink="">
        <xdr:nvSpPr>
          <xdr:cNvPr id="15754" name="Rectangle 15753">
            <a:extLst>
              <a:ext uri="{FF2B5EF4-FFF2-40B4-BE49-F238E27FC236}">
                <a16:creationId xmlns:a16="http://schemas.microsoft.com/office/drawing/2014/main" id="{00000000-0008-0000-0200-00008A3D0000}"/>
              </a:ext>
            </a:extLst>
          </xdr:cNvPr>
          <xdr:cNvSpPr/>
        </xdr:nvSpPr>
        <xdr:spPr>
          <a:xfrm>
            <a:off x="732227" y="5722046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36 CSAT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7" name="Group 15756">
                <a:extLst>
                  <a:ext uri="{FF2B5EF4-FFF2-40B4-BE49-F238E27FC236}">
                    <a16:creationId xmlns:a16="http://schemas.microsoft.com/office/drawing/2014/main" id="{00000000-0008-0000-0200-00008D3D0000}"/>
                  </a:ext>
                </a:extLst>
              </xdr:cNvPr>
              <xdr:cNvGrpSpPr/>
            </xdr:nvGrpSpPr>
            <xdr:grpSpPr>
              <a:xfrm>
                <a:off x="1618994" y="4589392"/>
                <a:ext cx="3940594" cy="273845"/>
                <a:chOff x="1546365" y="1608481"/>
                <a:chExt cx="3608727" cy="276330"/>
              </a:xfrm>
            </xdr:grpSpPr>
            <xdr:sp macro="" textlink="">
              <xdr:nvSpPr>
                <xdr:cNvPr id="15668" name="ET_JR" hidden="1">
                  <a:extLst>
                    <a:ext uri="{63B3BB69-23CF-44E3-9099-C40C66FF867C}">
                      <a14:compatExt spid="_x0000_s15668"/>
                    </a:ext>
                    <a:ext uri="{FF2B5EF4-FFF2-40B4-BE49-F238E27FC236}">
                      <a16:creationId xmlns:a16="http://schemas.microsoft.com/office/drawing/2014/main" id="{00000000-0008-0000-0200-000034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9" name="ET_INT" hidden="1">
                  <a:extLst>
                    <a:ext uri="{63B3BB69-23CF-44E3-9099-C40C66FF867C}">
                      <a14:compatExt spid="_x0000_s15669"/>
                    </a:ext>
                    <a:ext uri="{FF2B5EF4-FFF2-40B4-BE49-F238E27FC236}">
                      <a16:creationId xmlns:a16="http://schemas.microsoft.com/office/drawing/2014/main" id="{00000000-0008-0000-0200-000035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0" name="ET_SR" hidden="1">
                  <a:extLst>
                    <a:ext uri="{63B3BB69-23CF-44E3-9099-C40C66FF867C}">
                      <a14:compatExt spid="_x0000_s15670"/>
                    </a:ext>
                    <a:ext uri="{FF2B5EF4-FFF2-40B4-BE49-F238E27FC236}">
                      <a16:creationId xmlns:a16="http://schemas.microsoft.com/office/drawing/2014/main" id="{00000000-0008-0000-0200-000036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1" name="ET_LD" hidden="1">
                  <a:extLst>
                    <a:ext uri="{63B3BB69-23CF-44E3-9099-C40C66FF867C}">
                      <a14:compatExt spid="_x0000_s15671"/>
                    </a:ext>
                    <a:ext uri="{FF2B5EF4-FFF2-40B4-BE49-F238E27FC236}">
                      <a16:creationId xmlns:a16="http://schemas.microsoft.com/office/drawing/2014/main" id="{00000000-0008-0000-0200-000037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2" name="ET_SP" hidden="1">
                  <a:extLst>
                    <a:ext uri="{63B3BB69-23CF-44E3-9099-C40C66FF867C}">
                      <a14:compatExt spid="_x0000_s15672"/>
                    </a:ext>
                    <a:ext uri="{FF2B5EF4-FFF2-40B4-BE49-F238E27FC236}">
                      <a16:creationId xmlns:a16="http://schemas.microsoft.com/office/drawing/2014/main" id="{00000000-0008-0000-0200-00003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3" name="ET_SME" hidden="1">
                  <a:extLst>
                    <a:ext uri="{63B3BB69-23CF-44E3-9099-C40C66FF867C}">
                      <a14:compatExt spid="_x0000_s15673"/>
                    </a:ext>
                    <a:ext uri="{FF2B5EF4-FFF2-40B4-BE49-F238E27FC236}">
                      <a16:creationId xmlns:a16="http://schemas.microsoft.com/office/drawing/2014/main" id="{00000000-0008-0000-0200-000039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4" name="ET_TRN" hidden="1">
                  <a:extLst>
                    <a:ext uri="{63B3BB69-23CF-44E3-9099-C40C66FF867C}">
                      <a14:compatExt spid="_x0000_s15674"/>
                    </a:ext>
                    <a:ext uri="{FF2B5EF4-FFF2-40B4-BE49-F238E27FC236}">
                      <a16:creationId xmlns:a16="http://schemas.microsoft.com/office/drawing/2014/main" id="{00000000-0008-0000-0200-00003A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8" name="Group 15757">
                <a:extLst>
                  <a:ext uri="{FF2B5EF4-FFF2-40B4-BE49-F238E27FC236}">
                    <a16:creationId xmlns:a16="http://schemas.microsoft.com/office/drawing/2014/main" id="{00000000-0008-0000-0200-00008E3D0000}"/>
                  </a:ext>
                </a:extLst>
              </xdr:cNvPr>
              <xdr:cNvGrpSpPr/>
            </xdr:nvGrpSpPr>
            <xdr:grpSpPr>
              <a:xfrm>
                <a:off x="1618994" y="4975064"/>
                <a:ext cx="3940594" cy="273845"/>
                <a:chOff x="1546365" y="1608481"/>
                <a:chExt cx="3608727" cy="276330"/>
              </a:xfrm>
            </xdr:grpSpPr>
            <xdr:sp macro="" textlink="">
              <xdr:nvSpPr>
                <xdr:cNvPr id="15675" name="ICT_JR" hidden="1">
                  <a:extLst>
                    <a:ext uri="{63B3BB69-23CF-44E3-9099-C40C66FF867C}">
                      <a14:compatExt spid="_x0000_s15675"/>
                    </a:ext>
                    <a:ext uri="{FF2B5EF4-FFF2-40B4-BE49-F238E27FC236}">
                      <a16:creationId xmlns:a16="http://schemas.microsoft.com/office/drawing/2014/main" id="{00000000-0008-0000-0200-00003B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6" name="ICT_INT" hidden="1">
                  <a:extLst>
                    <a:ext uri="{63B3BB69-23CF-44E3-9099-C40C66FF867C}">
                      <a14:compatExt spid="_x0000_s15676"/>
                    </a:ext>
                    <a:ext uri="{FF2B5EF4-FFF2-40B4-BE49-F238E27FC236}">
                      <a16:creationId xmlns:a16="http://schemas.microsoft.com/office/drawing/2014/main" id="{00000000-0008-0000-0200-00003C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7" name="ICT_SR" hidden="1">
                  <a:extLst>
                    <a:ext uri="{63B3BB69-23CF-44E3-9099-C40C66FF867C}">
                      <a14:compatExt spid="_x0000_s15677"/>
                    </a:ext>
                    <a:ext uri="{FF2B5EF4-FFF2-40B4-BE49-F238E27FC236}">
                      <a16:creationId xmlns:a16="http://schemas.microsoft.com/office/drawing/2014/main" id="{00000000-0008-0000-0200-00003D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8" name="ICT_LD" hidden="1">
                  <a:extLst>
                    <a:ext uri="{63B3BB69-23CF-44E3-9099-C40C66FF867C}">
                      <a14:compatExt spid="_x0000_s15678"/>
                    </a:ext>
                    <a:ext uri="{FF2B5EF4-FFF2-40B4-BE49-F238E27FC236}">
                      <a16:creationId xmlns:a16="http://schemas.microsoft.com/office/drawing/2014/main" id="{00000000-0008-0000-0200-00003E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9" name="ICT_SP" hidden="1">
                  <a:extLst>
                    <a:ext uri="{63B3BB69-23CF-44E3-9099-C40C66FF867C}">
                      <a14:compatExt spid="_x0000_s15679"/>
                    </a:ext>
                    <a:ext uri="{FF2B5EF4-FFF2-40B4-BE49-F238E27FC236}">
                      <a16:creationId xmlns:a16="http://schemas.microsoft.com/office/drawing/2014/main" id="{00000000-0008-0000-0200-00003F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0" name="ICT_SME" hidden="1">
                  <a:extLst>
                    <a:ext uri="{63B3BB69-23CF-44E3-9099-C40C66FF867C}">
                      <a14:compatExt spid="_x0000_s15680"/>
                    </a:ext>
                    <a:ext uri="{FF2B5EF4-FFF2-40B4-BE49-F238E27FC236}">
                      <a16:creationId xmlns:a16="http://schemas.microsoft.com/office/drawing/2014/main" id="{00000000-0008-0000-0200-000040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1" name="ICT_TRN" hidden="1">
                  <a:extLst>
                    <a:ext uri="{63B3BB69-23CF-44E3-9099-C40C66FF867C}">
                      <a14:compatExt spid="_x0000_s15681"/>
                    </a:ext>
                    <a:ext uri="{FF2B5EF4-FFF2-40B4-BE49-F238E27FC236}">
                      <a16:creationId xmlns:a16="http://schemas.microsoft.com/office/drawing/2014/main" id="{00000000-0008-0000-0200-000041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9" name="Group 15758">
                <a:extLst>
                  <a:ext uri="{FF2B5EF4-FFF2-40B4-BE49-F238E27FC236}">
                    <a16:creationId xmlns:a16="http://schemas.microsoft.com/office/drawing/2014/main" id="{00000000-0008-0000-0200-00008F3D0000}"/>
                  </a:ext>
                </a:extLst>
              </xdr:cNvPr>
              <xdr:cNvGrpSpPr/>
            </xdr:nvGrpSpPr>
            <xdr:grpSpPr>
              <a:xfrm>
                <a:off x="1618994" y="5359494"/>
                <a:ext cx="3940594" cy="275088"/>
                <a:chOff x="1546365" y="1608481"/>
                <a:chExt cx="3608727" cy="276330"/>
              </a:xfrm>
            </xdr:grpSpPr>
            <xdr:sp macro="" textlink="">
              <xdr:nvSpPr>
                <xdr:cNvPr id="15682" name="TCAT_JR" hidden="1">
                  <a:extLst>
                    <a:ext uri="{63B3BB69-23CF-44E3-9099-C40C66FF867C}">
                      <a14:compatExt spid="_x0000_s15682"/>
                    </a:ext>
                    <a:ext uri="{FF2B5EF4-FFF2-40B4-BE49-F238E27FC236}">
                      <a16:creationId xmlns:a16="http://schemas.microsoft.com/office/drawing/2014/main" id="{00000000-0008-0000-0200-000042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3" name="TCAT_INT" hidden="1">
                  <a:extLst>
                    <a:ext uri="{63B3BB69-23CF-44E3-9099-C40C66FF867C}">
                      <a14:compatExt spid="_x0000_s15683"/>
                    </a:ext>
                    <a:ext uri="{FF2B5EF4-FFF2-40B4-BE49-F238E27FC236}">
                      <a16:creationId xmlns:a16="http://schemas.microsoft.com/office/drawing/2014/main" id="{00000000-0008-0000-0200-000043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4" name="TCAT_SR" hidden="1">
                  <a:extLst>
                    <a:ext uri="{63B3BB69-23CF-44E3-9099-C40C66FF867C}">
                      <a14:compatExt spid="_x0000_s15684"/>
                    </a:ext>
                    <a:ext uri="{FF2B5EF4-FFF2-40B4-BE49-F238E27FC236}">
                      <a16:creationId xmlns:a16="http://schemas.microsoft.com/office/drawing/2014/main" id="{00000000-0008-0000-0200-000044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5" name="TCAT_LD" hidden="1">
                  <a:extLst>
                    <a:ext uri="{63B3BB69-23CF-44E3-9099-C40C66FF867C}">
                      <a14:compatExt spid="_x0000_s15685"/>
                    </a:ext>
                    <a:ext uri="{FF2B5EF4-FFF2-40B4-BE49-F238E27FC236}">
                      <a16:creationId xmlns:a16="http://schemas.microsoft.com/office/drawing/2014/main" id="{00000000-0008-0000-0200-000045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6" name="TCAT_SP" hidden="1">
                  <a:extLst>
                    <a:ext uri="{63B3BB69-23CF-44E3-9099-C40C66FF867C}">
                      <a14:compatExt spid="_x0000_s15686"/>
                    </a:ext>
                    <a:ext uri="{FF2B5EF4-FFF2-40B4-BE49-F238E27FC236}">
                      <a16:creationId xmlns:a16="http://schemas.microsoft.com/office/drawing/2014/main" id="{00000000-0008-0000-0200-000046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7" name="TCAT_SME" hidden="1">
                  <a:extLst>
                    <a:ext uri="{63B3BB69-23CF-44E3-9099-C40C66FF867C}">
                      <a14:compatExt spid="_x0000_s15687"/>
                    </a:ext>
                    <a:ext uri="{FF2B5EF4-FFF2-40B4-BE49-F238E27FC236}">
                      <a16:creationId xmlns:a16="http://schemas.microsoft.com/office/drawing/2014/main" id="{00000000-0008-0000-0200-000047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8" name="TCAT_TRN" hidden="1">
                  <a:extLst>
                    <a:ext uri="{63B3BB69-23CF-44E3-9099-C40C66FF867C}">
                      <a14:compatExt spid="_x0000_s15688"/>
                    </a:ext>
                    <a:ext uri="{FF2B5EF4-FFF2-40B4-BE49-F238E27FC236}">
                      <a16:creationId xmlns:a16="http://schemas.microsoft.com/office/drawing/2014/main" id="{00000000-0008-0000-0200-000048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60" name="Group 15759">
                <a:extLst>
                  <a:ext uri="{FF2B5EF4-FFF2-40B4-BE49-F238E27FC236}">
                    <a16:creationId xmlns:a16="http://schemas.microsoft.com/office/drawing/2014/main" id="{00000000-0008-0000-0200-0000903D0000}"/>
                  </a:ext>
                </a:extLst>
              </xdr:cNvPr>
              <xdr:cNvGrpSpPr/>
            </xdr:nvGrpSpPr>
            <xdr:grpSpPr>
              <a:xfrm>
                <a:off x="1618994" y="5756116"/>
                <a:ext cx="3940594" cy="275088"/>
                <a:chOff x="1546365" y="1608481"/>
                <a:chExt cx="3608727" cy="276330"/>
              </a:xfrm>
            </xdr:grpSpPr>
            <xdr:sp macro="" textlink="">
              <xdr:nvSpPr>
                <xdr:cNvPr id="15689" name="CSAT_JR" hidden="1">
                  <a:extLst>
                    <a:ext uri="{63B3BB69-23CF-44E3-9099-C40C66FF867C}">
                      <a14:compatExt spid="_x0000_s15689"/>
                    </a:ext>
                    <a:ext uri="{FF2B5EF4-FFF2-40B4-BE49-F238E27FC236}">
                      <a16:creationId xmlns:a16="http://schemas.microsoft.com/office/drawing/2014/main" id="{00000000-0008-0000-0200-000049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7" name="CSAT_INT" hidden="1">
                  <a:extLst>
                    <a:ext uri="{63B3BB69-23CF-44E3-9099-C40C66FF867C}">
                      <a14:compatExt spid="_x0000_s15690"/>
                    </a:ext>
                    <a:ext uri="{FF2B5EF4-FFF2-40B4-BE49-F238E27FC236}">
                      <a16:creationId xmlns:a16="http://schemas.microsoft.com/office/drawing/2014/main" id="{00000000-0008-0000-0200-0000A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6" name="CSAT_SR" hidden="1">
                  <a:extLst>
                    <a:ext uri="{63B3BB69-23CF-44E3-9099-C40C66FF867C}">
                      <a14:compatExt spid="_x0000_s15691"/>
                    </a:ext>
                    <a:ext uri="{FF2B5EF4-FFF2-40B4-BE49-F238E27FC236}">
                      <a16:creationId xmlns:a16="http://schemas.microsoft.com/office/drawing/2014/main" id="{00000000-0008-0000-0200-0000A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5" name="CSAT_LD" hidden="1">
                  <a:extLst>
                    <a:ext uri="{63B3BB69-23CF-44E3-9099-C40C66FF867C}">
                      <a14:compatExt spid="_x0000_s15692"/>
                    </a:ext>
                    <a:ext uri="{FF2B5EF4-FFF2-40B4-BE49-F238E27FC236}">
                      <a16:creationId xmlns:a16="http://schemas.microsoft.com/office/drawing/2014/main" id="{00000000-0008-0000-0200-0000A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4" name="CSAT_SP" hidden="1">
                  <a:extLst>
                    <a:ext uri="{63B3BB69-23CF-44E3-9099-C40C66FF867C}">
                      <a14:compatExt spid="_x0000_s15693"/>
                    </a:ext>
                    <a:ext uri="{FF2B5EF4-FFF2-40B4-BE49-F238E27FC236}">
                      <a16:creationId xmlns:a16="http://schemas.microsoft.com/office/drawing/2014/main" id="{00000000-0008-0000-0200-0000A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3" name="CSAT_SME" hidden="1">
                  <a:extLst>
                    <a:ext uri="{63B3BB69-23CF-44E3-9099-C40C66FF867C}">
                      <a14:compatExt spid="_x0000_s15694"/>
                    </a:ext>
                    <a:ext uri="{FF2B5EF4-FFF2-40B4-BE49-F238E27FC236}">
                      <a16:creationId xmlns:a16="http://schemas.microsoft.com/office/drawing/2014/main" id="{00000000-0008-0000-0200-0000A73D0000}"/>
                    </a:ext>
                  </a:extLst>
                </xdr:cNvPr>
                <xdr:cNvSpPr/>
              </xdr:nvSpPr>
              <xdr:spPr bwMode="auto">
                <a:xfrm>
                  <a:off x="4677186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2" name="CSAT_TRN" hidden="1">
                  <a:extLst>
                    <a:ext uri="{63B3BB69-23CF-44E3-9099-C40C66FF867C}">
                      <a14:compatExt spid="_x0000_s15695"/>
                    </a:ext>
                    <a:ext uri="{FF2B5EF4-FFF2-40B4-BE49-F238E27FC236}">
                      <a16:creationId xmlns:a16="http://schemas.microsoft.com/office/drawing/2014/main" id="{00000000-0008-0000-0200-0000A6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20</xdr:row>
      <xdr:rowOff>171243</xdr:rowOff>
    </xdr:from>
    <xdr:to>
      <xdr:col>21</xdr:col>
      <xdr:colOff>435251</xdr:colOff>
      <xdr:row>29</xdr:row>
      <xdr:rowOff>82619</xdr:rowOff>
    </xdr:to>
    <xdr:grpSp>
      <xdr:nvGrpSpPr>
        <xdr:cNvPr id="15863" name="Group 15862">
          <a:extLst>
            <a:ext uri="{FF2B5EF4-FFF2-40B4-BE49-F238E27FC236}">
              <a16:creationId xmlns:a16="http://schemas.microsoft.com/office/drawing/2014/main" id="{00000000-0008-0000-0200-0000F73D0000}"/>
            </a:ext>
          </a:extLst>
        </xdr:cNvPr>
        <xdr:cNvGrpSpPr/>
      </xdr:nvGrpSpPr>
      <xdr:grpSpPr>
        <a:xfrm>
          <a:off x="9945342" y="3790743"/>
          <a:ext cx="4891709" cy="1540151"/>
          <a:chOff x="6829425" y="3429000"/>
          <a:chExt cx="4914900" cy="1581150"/>
        </a:xfrm>
      </xdr:grpSpPr>
      <xdr:sp macro="" textlink="">
        <xdr:nvSpPr>
          <xdr:cNvPr id="15806" name="Rectangle 15805">
            <a:extLst>
              <a:ext uri="{FF2B5EF4-FFF2-40B4-BE49-F238E27FC236}">
                <a16:creationId xmlns:a16="http://schemas.microsoft.com/office/drawing/2014/main" id="{00000000-0008-0000-0200-0000BE3D0000}"/>
              </a:ext>
            </a:extLst>
          </xdr:cNvPr>
          <xdr:cNvSpPr/>
        </xdr:nvSpPr>
        <xdr:spPr>
          <a:xfrm>
            <a:off x="6829425" y="3429000"/>
            <a:ext cx="4914900" cy="1581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07" name="Rectangle 15806">
            <a:extLst>
              <a:ext uri="{FF2B5EF4-FFF2-40B4-BE49-F238E27FC236}">
                <a16:creationId xmlns:a16="http://schemas.microsoft.com/office/drawing/2014/main" id="{00000000-0008-0000-0200-0000BF3D0000}"/>
              </a:ext>
            </a:extLst>
          </xdr:cNvPr>
          <xdr:cNvSpPr/>
        </xdr:nvSpPr>
        <xdr:spPr>
          <a:xfrm>
            <a:off x="6866327" y="345995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40 DM</a:t>
            </a:r>
          </a:p>
        </xdr:txBody>
      </xdr:sp>
      <xdr:sp macro="" textlink="">
        <xdr:nvSpPr>
          <xdr:cNvPr id="15808" name="Rectangle 15807">
            <a:extLst>
              <a:ext uri="{FF2B5EF4-FFF2-40B4-BE49-F238E27FC236}">
                <a16:creationId xmlns:a16="http://schemas.microsoft.com/office/drawing/2014/main" id="{00000000-0008-0000-0200-0000C03D0000}"/>
              </a:ext>
            </a:extLst>
          </xdr:cNvPr>
          <xdr:cNvSpPr/>
        </xdr:nvSpPr>
        <xdr:spPr>
          <a:xfrm>
            <a:off x="6866327" y="385047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41 PPD</a:t>
            </a:r>
          </a:p>
        </xdr:txBody>
      </xdr:sp>
      <xdr:sp macro="" textlink="">
        <xdr:nvSpPr>
          <xdr:cNvPr id="15809" name="Rectangle 15808">
            <a:extLst>
              <a:ext uri="{FF2B5EF4-FFF2-40B4-BE49-F238E27FC236}">
                <a16:creationId xmlns:a16="http://schemas.microsoft.com/office/drawing/2014/main" id="{00000000-0008-0000-0200-0000C13D0000}"/>
              </a:ext>
            </a:extLst>
          </xdr:cNvPr>
          <xdr:cNvSpPr/>
        </xdr:nvSpPr>
        <xdr:spPr>
          <a:xfrm>
            <a:off x="6866327" y="423614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42 EICT</a:t>
            </a:r>
          </a:p>
        </xdr:txBody>
      </xdr:sp>
      <xdr:sp macro="" textlink="">
        <xdr:nvSpPr>
          <xdr:cNvPr id="15810" name="Rectangle 15809">
            <a:extLst>
              <a:ext uri="{FF2B5EF4-FFF2-40B4-BE49-F238E27FC236}">
                <a16:creationId xmlns:a16="http://schemas.microsoft.com/office/drawing/2014/main" id="{00000000-0008-0000-0200-0000C23D0000}"/>
              </a:ext>
            </a:extLst>
          </xdr:cNvPr>
          <xdr:cNvSpPr/>
        </xdr:nvSpPr>
        <xdr:spPr>
          <a:xfrm>
            <a:off x="6866327" y="462181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9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43 CSA DM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4" name="Group 15813">
                <a:extLst>
                  <a:ext uri="{FF2B5EF4-FFF2-40B4-BE49-F238E27FC236}">
                    <a16:creationId xmlns:a16="http://schemas.microsoft.com/office/drawing/2014/main" id="{00000000-0008-0000-0200-0000C63D0000}"/>
                  </a:ext>
                </a:extLst>
              </xdr:cNvPr>
              <xdr:cNvGrpSpPr/>
            </xdr:nvGrpSpPr>
            <xdr:grpSpPr>
              <a:xfrm>
                <a:off x="7753094" y="3884542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0" name="PPD_JR" hidden="1">
                  <a:extLst>
                    <a:ext uri="{63B3BB69-23CF-44E3-9099-C40C66FF867C}">
                      <a14:compatExt spid="_x0000_s15710"/>
                    </a:ext>
                    <a:ext uri="{FF2B5EF4-FFF2-40B4-BE49-F238E27FC236}">
                      <a16:creationId xmlns:a16="http://schemas.microsoft.com/office/drawing/2014/main" id="{00000000-0008-0000-0200-00005E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1" name="PPD_INT" hidden="1">
                  <a:extLst>
                    <a:ext uri="{63B3BB69-23CF-44E3-9099-C40C66FF867C}">
                      <a14:compatExt spid="_x0000_s15711"/>
                    </a:ext>
                    <a:ext uri="{FF2B5EF4-FFF2-40B4-BE49-F238E27FC236}">
                      <a16:creationId xmlns:a16="http://schemas.microsoft.com/office/drawing/2014/main" id="{00000000-0008-0000-0200-00005F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2" name="PPD_SR" hidden="1">
                  <a:extLst>
                    <a:ext uri="{63B3BB69-23CF-44E3-9099-C40C66FF867C}">
                      <a14:compatExt spid="_x0000_s15712"/>
                    </a:ext>
                    <a:ext uri="{FF2B5EF4-FFF2-40B4-BE49-F238E27FC236}">
                      <a16:creationId xmlns:a16="http://schemas.microsoft.com/office/drawing/2014/main" id="{00000000-0008-0000-0200-000060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3" name="PPD_LD" hidden="1">
                  <a:extLst>
                    <a:ext uri="{63B3BB69-23CF-44E3-9099-C40C66FF867C}">
                      <a14:compatExt spid="_x0000_s15713"/>
                    </a:ext>
                    <a:ext uri="{FF2B5EF4-FFF2-40B4-BE49-F238E27FC236}">
                      <a16:creationId xmlns:a16="http://schemas.microsoft.com/office/drawing/2014/main" id="{00000000-0008-0000-0200-000061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4" name="PPD_SP" hidden="1">
                  <a:extLst>
                    <a:ext uri="{63B3BB69-23CF-44E3-9099-C40C66FF867C}">
                      <a14:compatExt spid="_x0000_s15714"/>
                    </a:ext>
                    <a:ext uri="{FF2B5EF4-FFF2-40B4-BE49-F238E27FC236}">
                      <a16:creationId xmlns:a16="http://schemas.microsoft.com/office/drawing/2014/main" id="{00000000-0008-0000-0200-000062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6" name="PPD_TRN" hidden="1">
                  <a:extLst>
                    <a:ext uri="{63B3BB69-23CF-44E3-9099-C40C66FF867C}">
                      <a14:compatExt spid="_x0000_s15716"/>
                    </a:ext>
                    <a:ext uri="{FF2B5EF4-FFF2-40B4-BE49-F238E27FC236}">
                      <a16:creationId xmlns:a16="http://schemas.microsoft.com/office/drawing/2014/main" id="{00000000-0008-0000-0200-000064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5" name="Group 15814">
                <a:extLst>
                  <a:ext uri="{FF2B5EF4-FFF2-40B4-BE49-F238E27FC236}">
                    <a16:creationId xmlns:a16="http://schemas.microsoft.com/office/drawing/2014/main" id="{00000000-0008-0000-0200-0000C73D0000}"/>
                  </a:ext>
                </a:extLst>
              </xdr:cNvPr>
              <xdr:cNvGrpSpPr/>
            </xdr:nvGrpSpPr>
            <xdr:grpSpPr>
              <a:xfrm>
                <a:off x="7753094" y="4270214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7" name="EICT_JR" hidden="1">
                  <a:extLst>
                    <a:ext uri="{63B3BB69-23CF-44E3-9099-C40C66FF867C}">
                      <a14:compatExt spid="_x0000_s15717"/>
                    </a:ext>
                    <a:ext uri="{FF2B5EF4-FFF2-40B4-BE49-F238E27FC236}">
                      <a16:creationId xmlns:a16="http://schemas.microsoft.com/office/drawing/2014/main" id="{00000000-0008-0000-0200-00006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8" name="EICT_INT" hidden="1">
                  <a:extLst>
                    <a:ext uri="{63B3BB69-23CF-44E3-9099-C40C66FF867C}">
                      <a14:compatExt spid="_x0000_s15718"/>
                    </a:ext>
                    <a:ext uri="{FF2B5EF4-FFF2-40B4-BE49-F238E27FC236}">
                      <a16:creationId xmlns:a16="http://schemas.microsoft.com/office/drawing/2014/main" id="{00000000-0008-0000-0200-000066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9" name="EICT_SR" hidden="1">
                  <a:extLst>
                    <a:ext uri="{63B3BB69-23CF-44E3-9099-C40C66FF867C}">
                      <a14:compatExt spid="_x0000_s15719"/>
                    </a:ext>
                    <a:ext uri="{FF2B5EF4-FFF2-40B4-BE49-F238E27FC236}">
                      <a16:creationId xmlns:a16="http://schemas.microsoft.com/office/drawing/2014/main" id="{00000000-0008-0000-0200-000067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0" name="EICT_LD" hidden="1">
                  <a:extLst>
                    <a:ext uri="{63B3BB69-23CF-44E3-9099-C40C66FF867C}">
                      <a14:compatExt spid="_x0000_s15720"/>
                    </a:ext>
                    <a:ext uri="{FF2B5EF4-FFF2-40B4-BE49-F238E27FC236}">
                      <a16:creationId xmlns:a16="http://schemas.microsoft.com/office/drawing/2014/main" id="{00000000-0008-0000-0200-000068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1" name="EICT_SP" hidden="1">
                  <a:extLst>
                    <a:ext uri="{63B3BB69-23CF-44E3-9099-C40C66FF867C}">
                      <a14:compatExt spid="_x0000_s15721"/>
                    </a:ext>
                    <a:ext uri="{FF2B5EF4-FFF2-40B4-BE49-F238E27FC236}">
                      <a16:creationId xmlns:a16="http://schemas.microsoft.com/office/drawing/2014/main" id="{00000000-0008-0000-0200-000069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3" name="EICT_TRN" hidden="1">
                  <a:extLst>
                    <a:ext uri="{63B3BB69-23CF-44E3-9099-C40C66FF867C}">
                      <a14:compatExt spid="_x0000_s15723"/>
                    </a:ext>
                    <a:ext uri="{FF2B5EF4-FFF2-40B4-BE49-F238E27FC236}">
                      <a16:creationId xmlns:a16="http://schemas.microsoft.com/office/drawing/2014/main" id="{00000000-0008-0000-0200-00006B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6" name="Group 15815">
                <a:extLst>
                  <a:ext uri="{FF2B5EF4-FFF2-40B4-BE49-F238E27FC236}">
                    <a16:creationId xmlns:a16="http://schemas.microsoft.com/office/drawing/2014/main" id="{00000000-0008-0000-0200-0000C83D0000}"/>
                  </a:ext>
                </a:extLst>
              </xdr:cNvPr>
              <xdr:cNvGrpSpPr/>
            </xdr:nvGrpSpPr>
            <xdr:grpSpPr>
              <a:xfrm>
                <a:off x="7753094" y="4654644"/>
                <a:ext cx="3370205" cy="275088"/>
                <a:chOff x="1546365" y="1608481"/>
                <a:chExt cx="3086375" cy="276330"/>
              </a:xfrm>
            </xdr:grpSpPr>
            <xdr:sp macro="" textlink="">
              <xdr:nvSpPr>
                <xdr:cNvPr id="15724" name="CSADM_JR" hidden="1">
                  <a:extLst>
                    <a:ext uri="{63B3BB69-23CF-44E3-9099-C40C66FF867C}">
                      <a14:compatExt spid="_x0000_s15724"/>
                    </a:ext>
                    <a:ext uri="{FF2B5EF4-FFF2-40B4-BE49-F238E27FC236}">
                      <a16:creationId xmlns:a16="http://schemas.microsoft.com/office/drawing/2014/main" id="{00000000-0008-0000-0200-00006C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5" name="CSADM_INT" hidden="1">
                  <a:extLst>
                    <a:ext uri="{63B3BB69-23CF-44E3-9099-C40C66FF867C}">
                      <a14:compatExt spid="_x0000_s15725"/>
                    </a:ext>
                    <a:ext uri="{FF2B5EF4-FFF2-40B4-BE49-F238E27FC236}">
                      <a16:creationId xmlns:a16="http://schemas.microsoft.com/office/drawing/2014/main" id="{00000000-0008-0000-0200-00006D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6" name="CSADM_SR" hidden="1">
                  <a:extLst>
                    <a:ext uri="{63B3BB69-23CF-44E3-9099-C40C66FF867C}">
                      <a14:compatExt spid="_x0000_s15726"/>
                    </a:ext>
                    <a:ext uri="{FF2B5EF4-FFF2-40B4-BE49-F238E27FC236}">
                      <a16:creationId xmlns:a16="http://schemas.microsoft.com/office/drawing/2014/main" id="{00000000-0008-0000-0200-00006E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7" name="CSADM_LD" hidden="1">
                  <a:extLst>
                    <a:ext uri="{63B3BB69-23CF-44E3-9099-C40C66FF867C}">
                      <a14:compatExt spid="_x0000_s15727"/>
                    </a:ext>
                    <a:ext uri="{FF2B5EF4-FFF2-40B4-BE49-F238E27FC236}">
                      <a16:creationId xmlns:a16="http://schemas.microsoft.com/office/drawing/2014/main" id="{00000000-0008-0000-0200-00006F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8" name="CSADM_SP" hidden="1">
                  <a:extLst>
                    <a:ext uri="{63B3BB69-23CF-44E3-9099-C40C66FF867C}">
                      <a14:compatExt spid="_x0000_s15728"/>
                    </a:ext>
                    <a:ext uri="{FF2B5EF4-FFF2-40B4-BE49-F238E27FC236}">
                      <a16:creationId xmlns:a16="http://schemas.microsoft.com/office/drawing/2014/main" id="{00000000-0008-0000-0200-000070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30" name="CSADM_TRN" hidden="1">
                  <a:extLst>
                    <a:ext uri="{63B3BB69-23CF-44E3-9099-C40C66FF867C}">
                      <a14:compatExt spid="_x0000_s15730"/>
                    </a:ext>
                    <a:ext uri="{FF2B5EF4-FFF2-40B4-BE49-F238E27FC236}">
                      <a16:creationId xmlns:a16="http://schemas.microsoft.com/office/drawing/2014/main" id="{00000000-0008-0000-0200-000072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30</xdr:row>
      <xdr:rowOff>120512</xdr:rowOff>
    </xdr:from>
    <xdr:to>
      <xdr:col>21</xdr:col>
      <xdr:colOff>435251</xdr:colOff>
      <xdr:row>37</xdr:row>
      <xdr:rowOff>2899</xdr:rowOff>
    </xdr:to>
    <xdr:grpSp>
      <xdr:nvGrpSpPr>
        <xdr:cNvPr id="15921" name="Group 15920">
          <a:extLst>
            <a:ext uri="{FF2B5EF4-FFF2-40B4-BE49-F238E27FC236}">
              <a16:creationId xmlns:a16="http://schemas.microsoft.com/office/drawing/2014/main" id="{00000000-0008-0000-0200-0000313E0000}"/>
            </a:ext>
          </a:extLst>
        </xdr:cNvPr>
        <xdr:cNvGrpSpPr/>
      </xdr:nvGrpSpPr>
      <xdr:grpSpPr>
        <a:xfrm>
          <a:off x="9945342" y="5549762"/>
          <a:ext cx="4891709" cy="1149212"/>
          <a:chOff x="5867400" y="3990975"/>
          <a:chExt cx="4914900" cy="1181100"/>
        </a:xfrm>
      </xdr:grpSpPr>
      <xdr:sp macro="" textlink="">
        <xdr:nvSpPr>
          <xdr:cNvPr id="15865" name="Rectangle 15864">
            <a:extLst>
              <a:ext uri="{FF2B5EF4-FFF2-40B4-BE49-F238E27FC236}">
                <a16:creationId xmlns:a16="http://schemas.microsoft.com/office/drawing/2014/main" id="{00000000-0008-0000-0200-0000F93D0000}"/>
              </a:ext>
            </a:extLst>
          </xdr:cNvPr>
          <xdr:cNvSpPr/>
        </xdr:nvSpPr>
        <xdr:spPr>
          <a:xfrm>
            <a:off x="5867400" y="3990975"/>
            <a:ext cx="4914900" cy="11811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66" name="Rectangle 15865">
            <a:extLst>
              <a:ext uri="{FF2B5EF4-FFF2-40B4-BE49-F238E27FC236}">
                <a16:creationId xmlns:a16="http://schemas.microsoft.com/office/drawing/2014/main" id="{00000000-0008-0000-0200-0000FA3D0000}"/>
              </a:ext>
            </a:extLst>
          </xdr:cNvPr>
          <xdr:cNvSpPr/>
        </xdr:nvSpPr>
        <xdr:spPr>
          <a:xfrm>
            <a:off x="5894777" y="402193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SC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867" name="Rectangle 15866">
            <a:extLst>
              <a:ext uri="{FF2B5EF4-FFF2-40B4-BE49-F238E27FC236}">
                <a16:creationId xmlns:a16="http://schemas.microsoft.com/office/drawing/2014/main" id="{00000000-0008-0000-0200-0000FB3D0000}"/>
              </a:ext>
            </a:extLst>
          </xdr:cNvPr>
          <xdr:cNvSpPr/>
        </xdr:nvSpPr>
        <xdr:spPr>
          <a:xfrm>
            <a:off x="5894777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51 PRO</a:t>
            </a:r>
          </a:p>
        </xdr:txBody>
      </xdr:sp>
      <xdr:sp macro="" textlink="">
        <xdr:nvSpPr>
          <xdr:cNvPr id="15868" name="Rectangle 15867">
            <a:extLst>
              <a:ext uri="{FF2B5EF4-FFF2-40B4-BE49-F238E27FC236}">
                <a16:creationId xmlns:a16="http://schemas.microsoft.com/office/drawing/2014/main" id="{00000000-0008-0000-0200-0000FC3D0000}"/>
              </a:ext>
            </a:extLst>
          </xdr:cNvPr>
          <xdr:cNvSpPr/>
        </xdr:nvSpPr>
        <xdr:spPr>
          <a:xfrm>
            <a:off x="5894777" y="479811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52 CON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3" name="Group 15872">
                <a:extLst>
                  <a:ext uri="{FF2B5EF4-FFF2-40B4-BE49-F238E27FC236}">
                    <a16:creationId xmlns:a16="http://schemas.microsoft.com/office/drawing/2014/main" id="{00000000-0008-0000-0200-0000013E0000}"/>
                  </a:ext>
                </a:extLst>
              </xdr:cNvPr>
              <xdr:cNvGrpSpPr/>
            </xdr:nvGrpSpPr>
            <xdr:grpSpPr>
              <a:xfrm>
                <a:off x="6781544" y="4446517"/>
                <a:ext cx="2799813" cy="273845"/>
                <a:chOff x="1546365" y="1608481"/>
                <a:chExt cx="2564020" cy="276330"/>
              </a:xfrm>
            </xdr:grpSpPr>
            <xdr:sp macro="" textlink="">
              <xdr:nvSpPr>
                <xdr:cNvPr id="15781" name="PRO_JR" hidden="1">
                  <a:extLst>
                    <a:ext uri="{63B3BB69-23CF-44E3-9099-C40C66FF867C}">
                      <a14:compatExt spid="_x0000_s15752"/>
                    </a:ext>
                    <a:ext uri="{FF2B5EF4-FFF2-40B4-BE49-F238E27FC236}">
                      <a16:creationId xmlns:a16="http://schemas.microsoft.com/office/drawing/2014/main" id="{00000000-0008-0000-0200-0000A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0" name="PRO_INT" hidden="1">
                  <a:extLst>
                    <a:ext uri="{63B3BB69-23CF-44E3-9099-C40C66FF867C}">
                      <a14:compatExt spid="_x0000_s15753"/>
                    </a:ext>
                    <a:ext uri="{FF2B5EF4-FFF2-40B4-BE49-F238E27FC236}">
                      <a16:creationId xmlns:a16="http://schemas.microsoft.com/office/drawing/2014/main" id="{00000000-0008-0000-0200-0000A4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9" name="PRO_SR" hidden="1">
                  <a:extLst>
                    <a:ext uri="{63B3BB69-23CF-44E3-9099-C40C66FF867C}">
                      <a14:compatExt spid="_x0000_s15754"/>
                    </a:ext>
                    <a:ext uri="{FF2B5EF4-FFF2-40B4-BE49-F238E27FC236}">
                      <a16:creationId xmlns:a16="http://schemas.microsoft.com/office/drawing/2014/main" id="{00000000-0008-0000-0200-0000A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55" name="PRO_LD" hidden="1">
                  <a:extLst>
                    <a:ext uri="{63B3BB69-23CF-44E3-9099-C40C66FF867C}">
                      <a14:compatExt spid="_x0000_s15755"/>
                    </a:ext>
                    <a:ext uri="{FF2B5EF4-FFF2-40B4-BE49-F238E27FC236}">
                      <a16:creationId xmlns:a16="http://schemas.microsoft.com/office/drawing/2014/main" id="{00000000-0008-0000-0200-00008B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8" name="PRO_TRN" hidden="1">
                  <a:extLst>
                    <a:ext uri="{63B3BB69-23CF-44E3-9099-C40C66FF867C}">
                      <a14:compatExt spid="_x0000_s15758"/>
                    </a:ext>
                    <a:ext uri="{FF2B5EF4-FFF2-40B4-BE49-F238E27FC236}">
                      <a16:creationId xmlns:a16="http://schemas.microsoft.com/office/drawing/2014/main" id="{00000000-0008-0000-0200-0000A2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4" name="Group 15873">
                <a:extLst>
                  <a:ext uri="{FF2B5EF4-FFF2-40B4-BE49-F238E27FC236}">
                    <a16:creationId xmlns:a16="http://schemas.microsoft.com/office/drawing/2014/main" id="{00000000-0008-0000-0200-0000023E0000}"/>
                  </a:ext>
                </a:extLst>
              </xdr:cNvPr>
              <xdr:cNvGrpSpPr/>
            </xdr:nvGrpSpPr>
            <xdr:grpSpPr>
              <a:xfrm>
                <a:off x="6781544" y="4832189"/>
                <a:ext cx="2799813" cy="273845"/>
                <a:chOff x="1546365" y="1608481"/>
                <a:chExt cx="2564020" cy="276330"/>
              </a:xfrm>
            </xdr:grpSpPr>
            <xdr:sp macro="" textlink="">
              <xdr:nvSpPr>
                <xdr:cNvPr id="15777" name="CON_JR" hidden="1">
                  <a:extLst>
                    <a:ext uri="{63B3BB69-23CF-44E3-9099-C40C66FF867C}">
                      <a14:compatExt spid="_x0000_s15759"/>
                    </a:ext>
                    <a:ext uri="{FF2B5EF4-FFF2-40B4-BE49-F238E27FC236}">
                      <a16:creationId xmlns:a16="http://schemas.microsoft.com/office/drawing/2014/main" id="{00000000-0008-0000-0200-0000A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1" name="CON_INT" hidden="1">
                  <a:extLst>
                    <a:ext uri="{63B3BB69-23CF-44E3-9099-C40C66FF867C}">
                      <a14:compatExt spid="_x0000_s15760"/>
                    </a:ext>
                    <a:ext uri="{FF2B5EF4-FFF2-40B4-BE49-F238E27FC236}">
                      <a16:creationId xmlns:a16="http://schemas.microsoft.com/office/drawing/2014/main" id="{00000000-0008-0000-0200-0000AF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1" name="CON_SR" hidden="1">
                  <a:extLst>
                    <a:ext uri="{63B3BB69-23CF-44E3-9099-C40C66FF867C}">
                      <a14:compatExt spid="_x0000_s15761"/>
                    </a:ext>
                    <a:ext uri="{FF2B5EF4-FFF2-40B4-BE49-F238E27FC236}">
                      <a16:creationId xmlns:a16="http://schemas.microsoft.com/office/drawing/2014/main" id="{00000000-0008-0000-0200-00009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2" name="CON_LD" hidden="1">
                  <a:extLst>
                    <a:ext uri="{63B3BB69-23CF-44E3-9099-C40C66FF867C}">
                      <a14:compatExt spid="_x0000_s15762"/>
                    </a:ext>
                    <a:ext uri="{FF2B5EF4-FFF2-40B4-BE49-F238E27FC236}">
                      <a16:creationId xmlns:a16="http://schemas.microsoft.com/office/drawing/2014/main" id="{00000000-0008-0000-0200-000092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5" name="CON_TRN" hidden="1">
                  <a:extLst>
                    <a:ext uri="{63B3BB69-23CF-44E3-9099-C40C66FF867C}">
                      <a14:compatExt spid="_x0000_s15765"/>
                    </a:ext>
                    <a:ext uri="{FF2B5EF4-FFF2-40B4-BE49-F238E27FC236}">
                      <a16:creationId xmlns:a16="http://schemas.microsoft.com/office/drawing/2014/main" id="{00000000-0008-0000-0200-000095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31</xdr:row>
      <xdr:rowOff>163582</xdr:rowOff>
    </xdr:from>
    <xdr:to>
      <xdr:col>14</xdr:col>
      <xdr:colOff>239367</xdr:colOff>
      <xdr:row>37</xdr:row>
      <xdr:rowOff>2899</xdr:rowOff>
    </xdr:to>
    <xdr:grpSp>
      <xdr:nvGrpSpPr>
        <xdr:cNvPr id="15979" name="Group 15978">
          <a:extLst>
            <a:ext uri="{FF2B5EF4-FFF2-40B4-BE49-F238E27FC236}">
              <a16:creationId xmlns:a16="http://schemas.microsoft.com/office/drawing/2014/main" id="{00000000-0008-0000-0200-00006B3E0000}"/>
            </a:ext>
          </a:extLst>
        </xdr:cNvPr>
        <xdr:cNvGrpSpPr/>
      </xdr:nvGrpSpPr>
      <xdr:grpSpPr>
        <a:xfrm>
          <a:off x="4948859" y="5773807"/>
          <a:ext cx="4891708" cy="925167"/>
          <a:chOff x="6048375" y="4362450"/>
          <a:chExt cx="4914900" cy="952500"/>
        </a:xfrm>
      </xdr:grpSpPr>
      <xdr:sp macro="" textlink="">
        <xdr:nvSpPr>
          <xdr:cNvPr id="15923" name="Rectangle 15922">
            <a:extLst>
              <a:ext uri="{FF2B5EF4-FFF2-40B4-BE49-F238E27FC236}">
                <a16:creationId xmlns:a16="http://schemas.microsoft.com/office/drawing/2014/main" id="{00000000-0008-0000-0200-0000333E0000}"/>
              </a:ext>
            </a:extLst>
          </xdr:cNvPr>
          <xdr:cNvSpPr/>
        </xdr:nvSpPr>
        <xdr:spPr>
          <a:xfrm>
            <a:off x="6048375" y="4362450"/>
            <a:ext cx="4914900" cy="9525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925" name="Rectangle 15924">
            <a:extLst>
              <a:ext uri="{FF2B5EF4-FFF2-40B4-BE49-F238E27FC236}">
                <a16:creationId xmlns:a16="http://schemas.microsoft.com/office/drawing/2014/main" id="{00000000-0008-0000-0200-0000353E0000}"/>
              </a:ext>
            </a:extLst>
          </xdr:cNvPr>
          <xdr:cNvSpPr/>
        </xdr:nvSpPr>
        <xdr:spPr>
          <a:xfrm>
            <a:off x="6075752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8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SOFTWARE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931" name="Group 15930">
                <a:extLst>
                  <a:ext uri="{FF2B5EF4-FFF2-40B4-BE49-F238E27FC236}">
                    <a16:creationId xmlns:a16="http://schemas.microsoft.com/office/drawing/2014/main" id="{00000000-0008-0000-0200-00003B3E0000}"/>
                  </a:ext>
                </a:extLst>
              </xdr:cNvPr>
              <xdr:cNvGrpSpPr/>
            </xdr:nvGrpSpPr>
            <xdr:grpSpPr>
              <a:xfrm>
                <a:off x="6962518" y="4446514"/>
                <a:ext cx="3940598" cy="273851"/>
                <a:chOff x="1546364" y="1608477"/>
                <a:chExt cx="3608732" cy="276336"/>
              </a:xfrm>
            </xdr:grpSpPr>
            <xdr:sp macro="" textlink="">
              <xdr:nvSpPr>
                <xdr:cNvPr id="15794" name="ETAP" hidden="1">
                  <a:extLst>
                    <a:ext uri="{63B3BB69-23CF-44E3-9099-C40C66FF867C}">
                      <a14:compatExt spid="_x0000_s15794"/>
                    </a:ext>
                    <a:ext uri="{FF2B5EF4-FFF2-40B4-BE49-F238E27FC236}">
                      <a16:creationId xmlns:a16="http://schemas.microsoft.com/office/drawing/2014/main" id="{00000000-0008-0000-0200-0000B2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687903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5" name="TCA" hidden="1">
                  <a:extLst>
                    <a:ext uri="{63B3BB69-23CF-44E3-9099-C40C66FF867C}">
                      <a14:compatExt spid="_x0000_s15795"/>
                    </a:ext>
                    <a:ext uri="{FF2B5EF4-FFF2-40B4-BE49-F238E27FC236}">
                      <a16:creationId xmlns:a16="http://schemas.microsoft.com/office/drawing/2014/main" id="{00000000-0008-0000-0200-0000B33D0000}"/>
                    </a:ext>
                  </a:extLst>
                </xdr:cNvPr>
                <xdr:cNvSpPr/>
              </xdr:nvSpPr>
              <xdr:spPr bwMode="auto">
                <a:xfrm>
                  <a:off x="3004384" y="1608478"/>
                  <a:ext cx="69029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8" name="PathLoss" hidden="1">
                  <a:extLst>
                    <a:ext uri="{63B3BB69-23CF-44E3-9099-C40C66FF867C}">
                      <a14:compatExt spid="_x0000_s15798"/>
                    </a:ext>
                    <a:ext uri="{FF2B5EF4-FFF2-40B4-BE49-F238E27FC236}">
                      <a16:creationId xmlns:a16="http://schemas.microsoft.com/office/drawing/2014/main" id="{00000000-0008-0000-0200-0000B63D0000}"/>
                    </a:ext>
                  </a:extLst>
                </xdr:cNvPr>
                <xdr:cNvSpPr/>
              </xdr:nvSpPr>
              <xdr:spPr bwMode="auto">
                <a:xfrm>
                  <a:off x="3735787" y="1608483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9" name="UniSim" hidden="1">
                  <a:extLst>
                    <a:ext uri="{63B3BB69-23CF-44E3-9099-C40C66FF867C}">
                      <a14:compatExt spid="_x0000_s15799"/>
                    </a:ext>
                    <a:ext uri="{FF2B5EF4-FFF2-40B4-BE49-F238E27FC236}">
                      <a16:creationId xmlns:a16="http://schemas.microsoft.com/office/drawing/2014/main" id="{00000000-0008-0000-0200-0000B73D0000}"/>
                    </a:ext>
                  </a:extLst>
                </xdr:cNvPr>
                <xdr:cNvSpPr/>
              </xdr:nvSpPr>
              <xdr:spPr bwMode="auto">
                <a:xfrm>
                  <a:off x="4464799" y="1608479"/>
                  <a:ext cx="69029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800" name="SmartPlant" hidden="1">
                  <a:extLst>
                    <a:ext uri="{63B3BB69-23CF-44E3-9099-C40C66FF867C}">
                      <a14:compatExt spid="_x0000_s15800"/>
                    </a:ext>
                    <a:ext uri="{FF2B5EF4-FFF2-40B4-BE49-F238E27FC236}">
                      <a16:creationId xmlns:a16="http://schemas.microsoft.com/office/drawing/2014/main" id="{00000000-0008-0000-0200-0000B83D0000}"/>
                    </a:ext>
                  </a:extLst>
                </xdr:cNvPr>
                <xdr:cNvSpPr/>
              </xdr:nvSpPr>
              <xdr:spPr bwMode="auto">
                <a:xfrm>
                  <a:off x="2275373" y="1608477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7</xdr:row>
          <xdr:rowOff>85725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15801" name="ProjectInfo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2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7</xdr:row>
          <xdr:rowOff>85725</xdr:rowOff>
        </xdr:from>
        <xdr:to>
          <xdr:col>3</xdr:col>
          <xdr:colOff>657225</xdr:colOff>
          <xdr:row>10</xdr:row>
          <xdr:rowOff>9525</xdr:rowOff>
        </xdr:to>
        <xdr:sp macro="" textlink="">
          <xdr:nvSpPr>
            <xdr:cNvPr id="15879" name="MRPackage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2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85725</xdr:rowOff>
        </xdr:from>
        <xdr:to>
          <xdr:col>5</xdr:col>
          <xdr:colOff>371475</xdr:colOff>
          <xdr:row>10</xdr:row>
          <xdr:rowOff>9525</xdr:rowOff>
        </xdr:to>
        <xdr:sp macro="" textlink="">
          <xdr:nvSpPr>
            <xdr:cNvPr id="15880" name="ExpensesButton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2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85725</xdr:rowOff>
        </xdr:from>
        <xdr:to>
          <xdr:col>7</xdr:col>
          <xdr:colOff>95250</xdr:colOff>
          <xdr:row>10</xdr:row>
          <xdr:rowOff>9525</xdr:rowOff>
        </xdr:to>
        <xdr:sp macro="" textlink="">
          <xdr:nvSpPr>
            <xdr:cNvPr id="15881" name="Future2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2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10</xdr:row>
      <xdr:rowOff>11595</xdr:rowOff>
    </xdr:from>
    <xdr:to>
      <xdr:col>7</xdr:col>
      <xdr:colOff>95698</xdr:colOff>
      <xdr:row>37</xdr:row>
      <xdr:rowOff>6753</xdr:rowOff>
    </xdr:to>
    <xdr:grpSp>
      <xdr:nvGrpSpPr>
        <xdr:cNvPr id="14" name="Group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3400" y="1821345"/>
          <a:ext cx="4362898" cy="4881483"/>
          <a:chOff x="533400" y="1869798"/>
          <a:chExt cx="4397685" cy="5033469"/>
        </a:xfrm>
      </xdr:grpSpPr>
      <xdr:grpSp>
        <xdr:nvGrpSpPr>
          <xdr:cNvPr id="10" name="Group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pSpPr/>
        </xdr:nvGrpSpPr>
        <xdr:grpSpPr>
          <a:xfrm>
            <a:off x="533400" y="1869798"/>
            <a:ext cx="4397685" cy="5033469"/>
            <a:chOff x="533400" y="1869798"/>
            <a:chExt cx="4397685" cy="5033469"/>
          </a:xfrm>
        </xdr:grpSpPr>
        <xdr:grpSp>
          <xdr:nvGrpSpPr>
            <xdr:cNvPr id="16149" name="Group 16148" hidden="1">
              <a:extLst>
                <a:ext uri="{FF2B5EF4-FFF2-40B4-BE49-F238E27FC236}">
                  <a16:creationId xmlns:a16="http://schemas.microsoft.com/office/drawing/2014/main" id="{00000000-0008-0000-0200-0000153F0000}"/>
                </a:ext>
              </a:extLst>
            </xdr:cNvPr>
            <xdr:cNvGrpSpPr/>
          </xdr:nvGrpSpPr>
          <xdr:grpSpPr>
            <a:xfrm>
              <a:off x="533400" y="1869798"/>
              <a:ext cx="4397685" cy="5033469"/>
              <a:chOff x="1279712" y="7663141"/>
              <a:chExt cx="4370401" cy="4955241"/>
            </a:xfrm>
          </xdr:grpSpPr>
          <xdr:sp macro="" textlink="">
            <xdr:nvSpPr>
              <xdr:cNvPr id="16073" name="Rectangle 16072" hidden="1">
                <a:extLst>
                  <a:ext uri="{FF2B5EF4-FFF2-40B4-BE49-F238E27FC236}">
                    <a16:creationId xmlns:a16="http://schemas.microsoft.com/office/drawing/2014/main" id="{00000000-0008-0000-0200-0000C93E0000}"/>
                  </a:ext>
                </a:extLst>
              </xdr:cNvPr>
              <xdr:cNvSpPr/>
            </xdr:nvSpPr>
            <xdr:spPr>
              <a:xfrm>
                <a:off x="1279712" y="7663141"/>
                <a:ext cx="4367773" cy="4955241"/>
              </a:xfrm>
              <a:prstGeom prst="rect">
                <a:avLst/>
              </a:prstGeom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 kern="1200"/>
              </a:p>
            </xdr:txBody>
          </xdr:sp>
          <xdr:grpSp>
            <xdr:nvGrpSpPr>
              <xdr:cNvPr id="16118" name="Group 16117" hidden="1">
                <a:extLst>
                  <a:ext uri="{FF2B5EF4-FFF2-40B4-BE49-F238E27FC236}">
                    <a16:creationId xmlns:a16="http://schemas.microsoft.com/office/drawing/2014/main" id="{00000000-0008-0000-0200-0000F63E0000}"/>
                  </a:ext>
                </a:extLst>
              </xdr:cNvPr>
              <xdr:cNvGrpSpPr/>
            </xdr:nvGrpSpPr>
            <xdr:grpSpPr>
              <a:xfrm>
                <a:off x="1281028" y="7691463"/>
                <a:ext cx="4367772" cy="1428033"/>
                <a:chOff x="1280639" y="7944796"/>
                <a:chExt cx="4365067" cy="1465421"/>
              </a:xfrm>
            </xdr:grpSpPr>
            <xdr:sp macro="" textlink="">
              <xdr:nvSpPr>
                <xdr:cNvPr id="16116" name="Rectangle 16115" hidden="1">
                  <a:extLst>
                    <a:ext uri="{FF2B5EF4-FFF2-40B4-BE49-F238E27FC236}">
                      <a16:creationId xmlns:a16="http://schemas.microsoft.com/office/drawing/2014/main" id="{00000000-0008-0000-0200-0000F43E0000}"/>
                    </a:ext>
                  </a:extLst>
                </xdr:cNvPr>
                <xdr:cNvSpPr/>
              </xdr:nvSpPr>
              <xdr:spPr>
                <a:xfrm>
                  <a:off x="1280639" y="7944796"/>
                  <a:ext cx="4365067" cy="1465421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15" name="Group 16114" hidden="1">
                      <a:extLst>
                        <a:ext uri="{FF2B5EF4-FFF2-40B4-BE49-F238E27FC236}">
                          <a16:creationId xmlns:a16="http://schemas.microsoft.com/office/drawing/2014/main" id="{00000000-0008-0000-0200-0000F3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02" name="MMR_Vessel" hidden="1">
                        <a:extLst>
                          <a:ext uri="{63B3BB69-23CF-44E3-9099-C40C66FF867C}">
                            <a14:compatExt spid="_x0000_s15902"/>
                          </a:ext>
                          <a:ext uri="{FF2B5EF4-FFF2-40B4-BE49-F238E27FC236}">
                            <a16:creationId xmlns:a16="http://schemas.microsoft.com/office/drawing/2014/main" id="{00000000-0008-0000-0200-00001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3" name="MMR_Column" hidden="1">
                        <a:extLst>
                          <a:ext uri="{63B3BB69-23CF-44E3-9099-C40C66FF867C}">
                            <a14:compatExt spid="_x0000_s15903"/>
                          </a:ext>
                          <a:ext uri="{FF2B5EF4-FFF2-40B4-BE49-F238E27FC236}">
                            <a16:creationId xmlns:a16="http://schemas.microsoft.com/office/drawing/2014/main" id="{00000000-0008-0000-0200-00001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4" name="MMR_Tank" hidden="1">
                        <a:extLst>
                          <a:ext uri="{63B3BB69-23CF-44E3-9099-C40C66FF867C}">
                            <a14:compatExt spid="_x0000_s15904"/>
                          </a:ext>
                          <a:ext uri="{FF2B5EF4-FFF2-40B4-BE49-F238E27FC236}">
                            <a16:creationId xmlns:a16="http://schemas.microsoft.com/office/drawing/2014/main" id="{00000000-0008-0000-0200-00002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5" name="MMR_Exchanger" hidden="1">
                        <a:extLst>
                          <a:ext uri="{63B3BB69-23CF-44E3-9099-C40C66FF867C}">
                            <a14:compatExt spid="_x0000_s15905"/>
                          </a:ext>
                          <a:ext uri="{FF2B5EF4-FFF2-40B4-BE49-F238E27FC236}">
                            <a16:creationId xmlns:a16="http://schemas.microsoft.com/office/drawing/2014/main" id="{00000000-0008-0000-0200-000021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6" name="MMR_Boiler" hidden="1">
                        <a:extLst>
                          <a:ext uri="{63B3BB69-23CF-44E3-9099-C40C66FF867C}">
                            <a14:compatExt spid="_x0000_s15906"/>
                          </a:ext>
                          <a:ext uri="{FF2B5EF4-FFF2-40B4-BE49-F238E27FC236}">
                            <a16:creationId xmlns:a16="http://schemas.microsoft.com/office/drawing/2014/main" id="{00000000-0008-0000-0200-00002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7" name="MMR_Compressor" hidden="1">
                        <a:extLst>
                          <a:ext uri="{63B3BB69-23CF-44E3-9099-C40C66FF867C}">
                            <a14:compatExt spid="_x0000_s15907"/>
                          </a:ext>
                          <a:ext uri="{FF2B5EF4-FFF2-40B4-BE49-F238E27FC236}">
                            <a16:creationId xmlns:a16="http://schemas.microsoft.com/office/drawing/2014/main" id="{00000000-0008-0000-0200-000023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8" name="MMR_HVAC" hidden="1">
                        <a:extLst>
                          <a:ext uri="{63B3BB69-23CF-44E3-9099-C40C66FF867C}">
                            <a14:compatExt spid="_x0000_s15908"/>
                          </a:ext>
                          <a:ext uri="{FF2B5EF4-FFF2-40B4-BE49-F238E27FC236}">
                            <a16:creationId xmlns:a16="http://schemas.microsoft.com/office/drawing/2014/main" id="{00000000-0008-0000-0200-00002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7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9" name="MMR_Pump" hidden="1">
                        <a:extLst>
                          <a:ext uri="{63B3BB69-23CF-44E3-9099-C40C66FF867C}">
                            <a14:compatExt spid="_x0000_s15909"/>
                          </a:ext>
                          <a:ext uri="{FF2B5EF4-FFF2-40B4-BE49-F238E27FC236}">
                            <a16:creationId xmlns:a16="http://schemas.microsoft.com/office/drawing/2014/main" id="{00000000-0008-0000-0200-000025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0" name="MMR_Packaged" hidden="1">
                        <a:extLst>
                          <a:ext uri="{63B3BB69-23CF-44E3-9099-C40C66FF867C}">
                            <a14:compatExt spid="_x0000_s15910"/>
                          </a:ext>
                          <a:ext uri="{FF2B5EF4-FFF2-40B4-BE49-F238E27FC236}">
                            <a16:creationId xmlns:a16="http://schemas.microsoft.com/office/drawing/2014/main" id="{00000000-0008-0000-0200-00002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1" name="MR_Pipe" hidden="1">
                        <a:extLst>
                          <a:ext uri="{63B3BB69-23CF-44E3-9099-C40C66FF867C}">
                            <a14:compatExt spid="_x0000_s15911"/>
                          </a:ext>
                          <a:ext uri="{FF2B5EF4-FFF2-40B4-BE49-F238E27FC236}">
                            <a16:creationId xmlns:a16="http://schemas.microsoft.com/office/drawing/2014/main" id="{00000000-0008-0000-0200-00002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2" name="MRR_Spec" hidden="1">
                        <a:extLst>
                          <a:ext uri="{63B3BB69-23CF-44E3-9099-C40C66FF867C}">
                            <a14:compatExt spid="_x0000_s15912"/>
                          </a:ext>
                          <a:ext uri="{FF2B5EF4-FFF2-40B4-BE49-F238E27FC236}">
                            <a16:creationId xmlns:a16="http://schemas.microsoft.com/office/drawing/2014/main" id="{00000000-0008-0000-0200-00002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19" name="Group 16118" hidden="1">
                <a:extLst>
                  <a:ext uri="{FF2B5EF4-FFF2-40B4-BE49-F238E27FC236}">
                    <a16:creationId xmlns:a16="http://schemas.microsoft.com/office/drawing/2014/main" id="{00000000-0008-0000-0200-0000F73E0000}"/>
                  </a:ext>
                </a:extLst>
              </xdr:cNvPr>
              <xdr:cNvGrpSpPr/>
            </xdr:nvGrpSpPr>
            <xdr:grpSpPr>
              <a:xfrm>
                <a:off x="1281027" y="9296240"/>
                <a:ext cx="4367772" cy="1414803"/>
                <a:chOff x="1279325" y="7968052"/>
                <a:chExt cx="4365067" cy="1451845"/>
              </a:xfrm>
            </xdr:grpSpPr>
            <xdr:sp macro="" textlink="">
              <xdr:nvSpPr>
                <xdr:cNvPr id="16120" name="Rectangle 16119" hidden="1">
                  <a:extLst>
                    <a:ext uri="{FF2B5EF4-FFF2-40B4-BE49-F238E27FC236}">
                      <a16:creationId xmlns:a16="http://schemas.microsoft.com/office/drawing/2014/main" id="{00000000-0008-0000-0200-0000F83E0000}"/>
                    </a:ext>
                  </a:extLst>
                </xdr:cNvPr>
                <xdr:cNvSpPr/>
              </xdr:nvSpPr>
              <xdr:spPr>
                <a:xfrm>
                  <a:off x="1279325" y="7968052"/>
                  <a:ext cx="4365067" cy="1451845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21" name="Group 16120" hidden="1">
                      <a:extLst>
                        <a:ext uri="{FF2B5EF4-FFF2-40B4-BE49-F238E27FC236}">
                          <a16:creationId xmlns:a16="http://schemas.microsoft.com/office/drawing/2014/main" id="{00000000-0008-0000-0200-0000F9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14" name="EMR_Conduit" hidden="1">
                        <a:extLst>
                          <a:ext uri="{63B3BB69-23CF-44E3-9099-C40C66FF867C}">
                            <a14:compatExt spid="_x0000_s15914"/>
                          </a:ext>
                          <a:ext uri="{FF2B5EF4-FFF2-40B4-BE49-F238E27FC236}">
                            <a16:creationId xmlns:a16="http://schemas.microsoft.com/office/drawing/2014/main" id="{00000000-0008-0000-0200-00002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5" name="EMR_Transformer" hidden="1">
                        <a:extLst>
                          <a:ext uri="{63B3BB69-23CF-44E3-9099-C40C66FF867C}">
                            <a14:compatExt spid="_x0000_s15915"/>
                          </a:ext>
                          <a:ext uri="{FF2B5EF4-FFF2-40B4-BE49-F238E27FC236}">
                            <a16:creationId xmlns:a16="http://schemas.microsoft.com/office/drawing/2014/main" id="{00000000-0008-0000-0200-00002B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6" name="EMR_Panel" hidden="1">
                        <a:extLst>
                          <a:ext uri="{63B3BB69-23CF-44E3-9099-C40C66FF867C}">
                            <a14:compatExt spid="_x0000_s15916"/>
                          </a:ext>
                          <a:ext uri="{FF2B5EF4-FFF2-40B4-BE49-F238E27FC236}">
                            <a16:creationId xmlns:a16="http://schemas.microsoft.com/office/drawing/2014/main" id="{00000000-0008-0000-0200-00002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7" name="EMR_Device" hidden="1">
                        <a:extLst>
                          <a:ext uri="{63B3BB69-23CF-44E3-9099-C40C66FF867C}">
                            <a14:compatExt spid="_x0000_s15917"/>
                          </a:ext>
                          <a:ext uri="{FF2B5EF4-FFF2-40B4-BE49-F238E27FC236}">
                            <a16:creationId xmlns:a16="http://schemas.microsoft.com/office/drawing/2014/main" id="{00000000-0008-0000-0200-00002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8" name="EMR_ControlPanel" hidden="1">
                        <a:extLst>
                          <a:ext uri="{63B3BB69-23CF-44E3-9099-C40C66FF867C}">
                            <a14:compatExt spid="_x0000_s15918"/>
                          </a:ext>
                          <a:ext uri="{FF2B5EF4-FFF2-40B4-BE49-F238E27FC236}">
                            <a16:creationId xmlns:a16="http://schemas.microsoft.com/office/drawing/2014/main" id="{00000000-0008-0000-0200-00002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9" name="EMR_UPS" hidden="1">
                        <a:extLst>
                          <a:ext uri="{63B3BB69-23CF-44E3-9099-C40C66FF867C}">
                            <a14:compatExt spid="_x0000_s15919"/>
                          </a:ext>
                          <a:ext uri="{FF2B5EF4-FFF2-40B4-BE49-F238E27FC236}">
                            <a16:creationId xmlns:a16="http://schemas.microsoft.com/office/drawing/2014/main" id="{00000000-0008-0000-0200-00002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0" name="EMR_MCC" hidden="1">
                        <a:extLst>
                          <a:ext uri="{63B3BB69-23CF-44E3-9099-C40C66FF867C}">
                            <a14:compatExt spid="_x0000_s15920"/>
                          </a:ext>
                          <a:ext uri="{FF2B5EF4-FFF2-40B4-BE49-F238E27FC236}">
                            <a16:creationId xmlns:a16="http://schemas.microsoft.com/office/drawing/2014/main" id="{00000000-0008-0000-0200-00003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2" name="EMR_Switchboard" hidden="1">
                        <a:extLst>
                          <a:ext uri="{63B3BB69-23CF-44E3-9099-C40C66FF867C}">
                            <a14:compatExt spid="_x0000_s15921"/>
                          </a:ext>
                          <a:ext uri="{FF2B5EF4-FFF2-40B4-BE49-F238E27FC236}">
                            <a16:creationId xmlns:a16="http://schemas.microsoft.com/office/drawing/2014/main" id="{00000000-0008-0000-0200-0000BA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2" name="EMR_Wire" hidden="1">
                        <a:extLst>
                          <a:ext uri="{63B3BB69-23CF-44E3-9099-C40C66FF867C}">
                            <a14:compatExt spid="_x0000_s15922"/>
                          </a:ext>
                          <a:ext uri="{FF2B5EF4-FFF2-40B4-BE49-F238E27FC236}">
                            <a16:creationId xmlns:a16="http://schemas.microsoft.com/office/drawing/2014/main" id="{00000000-0008-0000-0200-00003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3" name="EMR_Lighting" hidden="1">
                        <a:extLst>
                          <a:ext uri="{63B3BB69-23CF-44E3-9099-C40C66FF867C}">
                            <a14:compatExt spid="_x0000_s15923"/>
                          </a:ext>
                          <a:ext uri="{FF2B5EF4-FFF2-40B4-BE49-F238E27FC236}">
                            <a16:creationId xmlns:a16="http://schemas.microsoft.com/office/drawing/2014/main" id="{00000000-0008-0000-0200-0000BB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4" name="EMR_Grounding" hidden="1">
                        <a:extLst>
                          <a:ext uri="{63B3BB69-23CF-44E3-9099-C40C66FF867C}">
                            <a14:compatExt spid="_x0000_s15924"/>
                          </a:ext>
                          <a:ext uri="{FF2B5EF4-FFF2-40B4-BE49-F238E27FC236}">
                            <a16:creationId xmlns:a16="http://schemas.microsoft.com/office/drawing/2014/main" id="{00000000-0008-0000-0200-00003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4" name="EMR_Substations" hidden="1">
                        <a:extLst>
                          <a:ext uri="{63B3BB69-23CF-44E3-9099-C40C66FF867C}">
                            <a14:compatExt spid="_x0000_s15925"/>
                          </a:ext>
                          <a:ext uri="{FF2B5EF4-FFF2-40B4-BE49-F238E27FC236}">
                            <a16:creationId xmlns:a16="http://schemas.microsoft.com/office/drawing/2014/main" id="{00000000-0008-0000-0200-0000BC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9085536"/>
                        <a:ext cx="1014306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34" name="Group 16133" hidden="1">
                <a:extLst>
                  <a:ext uri="{FF2B5EF4-FFF2-40B4-BE49-F238E27FC236}">
                    <a16:creationId xmlns:a16="http://schemas.microsoft.com/office/drawing/2014/main" id="{00000000-0008-0000-0200-0000063F0000}"/>
                  </a:ext>
                </a:extLst>
              </xdr:cNvPr>
              <xdr:cNvGrpSpPr/>
            </xdr:nvGrpSpPr>
            <xdr:grpSpPr>
              <a:xfrm>
                <a:off x="1282341" y="10891581"/>
                <a:ext cx="4367772" cy="1421291"/>
                <a:chOff x="1279325" y="7961395"/>
                <a:chExt cx="4365067" cy="1458502"/>
              </a:xfrm>
            </xdr:grpSpPr>
            <xdr:sp macro="" textlink="">
              <xdr:nvSpPr>
                <xdr:cNvPr id="16135" name="Rectangle 16134" hidden="1">
                  <a:extLst>
                    <a:ext uri="{FF2B5EF4-FFF2-40B4-BE49-F238E27FC236}">
                      <a16:creationId xmlns:a16="http://schemas.microsoft.com/office/drawing/2014/main" id="{00000000-0008-0000-0200-0000073F0000}"/>
                    </a:ext>
                  </a:extLst>
                </xdr:cNvPr>
                <xdr:cNvSpPr/>
              </xdr:nvSpPr>
              <xdr:spPr>
                <a:xfrm>
                  <a:off x="1279325" y="7961395"/>
                  <a:ext cx="4365067" cy="1458502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36" name="Group 16135" hidden="1">
                      <a:extLst>
                        <a:ext uri="{FF2B5EF4-FFF2-40B4-BE49-F238E27FC236}">
                          <a16:creationId xmlns:a16="http://schemas.microsoft.com/office/drawing/2014/main" id="{00000000-0008-0000-0200-0000083F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79990" cy="989692"/>
                      <a:chOff x="1322333" y="8368456"/>
                      <a:chExt cx="4279990" cy="989692"/>
                    </a:xfrm>
                  </xdr:grpSpPr>
                  <xdr:sp macro="" textlink="">
                    <xdr:nvSpPr>
                      <xdr:cNvPr id="15926" name="ICTMR_Comm" hidden="1">
                        <a:extLst>
                          <a:ext uri="{63B3BB69-23CF-44E3-9099-C40C66FF867C}">
                            <a14:compatExt spid="_x0000_s15926"/>
                          </a:ext>
                          <a:ext uri="{FF2B5EF4-FFF2-40B4-BE49-F238E27FC236}">
                            <a16:creationId xmlns:a16="http://schemas.microsoft.com/office/drawing/2014/main" id="{00000000-0008-0000-0200-00003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7" name="ICTMR_Detection" hidden="1">
                        <a:extLst>
                          <a:ext uri="{63B3BB69-23CF-44E3-9099-C40C66FF867C}">
                            <a14:compatExt spid="_x0000_s15927"/>
                          </a:ext>
                          <a:ext uri="{FF2B5EF4-FFF2-40B4-BE49-F238E27FC236}">
                            <a16:creationId xmlns:a16="http://schemas.microsoft.com/office/drawing/2014/main" id="{00000000-0008-0000-0200-00003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8" name="ICTMR_Testing" hidden="1">
                        <a:extLst>
                          <a:ext uri="{63B3BB69-23CF-44E3-9099-C40C66FF867C}">
                            <a14:compatExt spid="_x0000_s15928"/>
                          </a:ext>
                          <a:ext uri="{FF2B5EF4-FFF2-40B4-BE49-F238E27FC236}">
                            <a16:creationId xmlns:a16="http://schemas.microsoft.com/office/drawing/2014/main" id="{00000000-0008-0000-0200-00003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9" name="ICTMR_HMI" hidden="1">
                        <a:extLst>
                          <a:ext uri="{63B3BB69-23CF-44E3-9099-C40C66FF867C}">
                            <a14:compatExt spid="_x0000_s15929"/>
                          </a:ext>
                          <a:ext uri="{FF2B5EF4-FFF2-40B4-BE49-F238E27FC236}">
                            <a16:creationId xmlns:a16="http://schemas.microsoft.com/office/drawing/2014/main" id="{00000000-0008-0000-0200-000039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0" name="ICTMR_Computers" hidden="1">
                        <a:extLst>
                          <a:ext uri="{63B3BB69-23CF-44E3-9099-C40C66FF867C}">
                            <a14:compatExt spid="_x0000_s15930"/>
                          </a:ext>
                          <a:ext uri="{FF2B5EF4-FFF2-40B4-BE49-F238E27FC236}">
                            <a16:creationId xmlns:a16="http://schemas.microsoft.com/office/drawing/2014/main" id="{00000000-0008-0000-0200-00003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" name="ICTMR_Antennas" hidden="1">
                        <a:extLst>
                          <a:ext uri="{63B3BB69-23CF-44E3-9099-C40C66FF867C}">
                            <a14:compatExt spid="_x0000_s15931"/>
                          </a:ext>
                          <a:ext uri="{FF2B5EF4-FFF2-40B4-BE49-F238E27FC236}">
                            <a16:creationId xmlns:a16="http://schemas.microsoft.com/office/drawing/2014/main" id="{00000000-0008-0000-0200-00000F00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2" name="ICTMR_DCS" hidden="1">
                        <a:extLst>
                          <a:ext uri="{63B3BB69-23CF-44E3-9099-C40C66FF867C}">
                            <a14:compatExt spid="_x0000_s15932"/>
                          </a:ext>
                          <a:ext uri="{FF2B5EF4-FFF2-40B4-BE49-F238E27FC236}">
                            <a16:creationId xmlns:a16="http://schemas.microsoft.com/office/drawing/2014/main" id="{00000000-0008-0000-0200-00003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3" name="ICTMR_PLC" hidden="1">
                        <a:extLst>
                          <a:ext uri="{63B3BB69-23CF-44E3-9099-C40C66FF867C}">
                            <a14:compatExt spid="_x0000_s15933"/>
                          </a:ext>
                          <a:ext uri="{FF2B5EF4-FFF2-40B4-BE49-F238E27FC236}">
                            <a16:creationId xmlns:a16="http://schemas.microsoft.com/office/drawing/2014/main" id="{00000000-0008-0000-0200-00003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4" name="ICTMR_Scada" hidden="1">
                        <a:extLst>
                          <a:ext uri="{63B3BB69-23CF-44E3-9099-C40C66FF867C}">
                            <a14:compatExt spid="_x0000_s15934"/>
                          </a:ext>
                          <a:ext uri="{FF2B5EF4-FFF2-40B4-BE49-F238E27FC236}">
                            <a16:creationId xmlns:a16="http://schemas.microsoft.com/office/drawing/2014/main" id="{00000000-0008-0000-0200-00003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5" name="ICTMR_ESD" hidden="1">
                        <a:extLst>
                          <a:ext uri="{63B3BB69-23CF-44E3-9099-C40C66FF867C}">
                            <a14:compatExt spid="_x0000_s15935"/>
                          </a:ext>
                          <a:ext uri="{FF2B5EF4-FFF2-40B4-BE49-F238E27FC236}">
                            <a16:creationId xmlns:a16="http://schemas.microsoft.com/office/drawing/2014/main" id="{00000000-0008-0000-0200-00003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7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</xdr:grpSp>
        <xdr:sp macro="" textlink="">
          <xdr:nvSpPr>
            <xdr:cNvPr id="15805" name="Rectangle 15804" hidden="1">
              <a:extLst>
                <a:ext uri="{FF2B5EF4-FFF2-40B4-BE49-F238E27FC236}">
                  <a16:creationId xmlns:a16="http://schemas.microsoft.com/office/drawing/2014/main" id="{00000000-0008-0000-0200-0000BD3D0000}"/>
                </a:ext>
              </a:extLst>
            </xdr:cNvPr>
            <xdr:cNvSpPr/>
          </xdr:nvSpPr>
          <xdr:spPr>
            <a:xfrm>
              <a:off x="574813" y="1939787"/>
              <a:ext cx="1082925" cy="324979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Mechanical</a:t>
              </a:r>
            </a:p>
          </xdr:txBody>
        </xdr:sp>
      </xdr:grpSp>
      <xdr:sp macro="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574813" y="3559450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Electrical</a:t>
            </a:r>
          </a:p>
        </xdr:txBody>
      </xdr:sp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74813" y="5186154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ICT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1</xdr:row>
          <xdr:rowOff>66675</xdr:rowOff>
        </xdr:from>
        <xdr:to>
          <xdr:col>21</xdr:col>
          <xdr:colOff>409575</xdr:colOff>
          <xdr:row>3</xdr:row>
          <xdr:rowOff>171450</xdr:rowOff>
        </xdr:to>
        <xdr:sp macro="" textlink="">
          <xdr:nvSpPr>
            <xdr:cNvPr id="15992" name="APPLY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2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9</xdr:row>
      <xdr:rowOff>173520</xdr:rowOff>
    </xdr:from>
    <xdr:to>
      <xdr:col>7</xdr:col>
      <xdr:colOff>95698</xdr:colOff>
      <xdr:row>36</xdr:row>
      <xdr:rowOff>168678</xdr:rowOff>
    </xdr:to>
    <xdr:grpSp>
      <xdr:nvGrpSpPr>
        <xdr:cNvPr id="43" name="Group 42" hidden="1">
          <a:extLst>
            <a:ext uri="{FF2B5EF4-FFF2-40B4-BE49-F238E27FC236}">
              <a16:creationId xmlns:a16="http://schemas.microsoft.com/office/drawing/2014/main" id="{C1034E95-001F-7D9D-42BA-EB3D8C0AEA7C}"/>
            </a:ext>
          </a:extLst>
        </xdr:cNvPr>
        <xdr:cNvGrpSpPr/>
      </xdr:nvGrpSpPr>
      <xdr:grpSpPr>
        <a:xfrm>
          <a:off x="533400" y="1802295"/>
          <a:ext cx="4362898" cy="4881483"/>
          <a:chOff x="533400" y="1802295"/>
          <a:chExt cx="4362898" cy="4881483"/>
        </a:xfrm>
      </xdr:grpSpPr>
      <xdr:grpSp>
        <xdr:nvGrpSpPr>
          <xdr:cNvPr id="42" name="Group 41" hidden="1">
            <a:extLst>
              <a:ext uri="{FF2B5EF4-FFF2-40B4-BE49-F238E27FC236}">
                <a16:creationId xmlns:a16="http://schemas.microsoft.com/office/drawing/2014/main" id="{B2F88163-FEEE-C1DC-A423-E2355F3C5213}"/>
              </a:ext>
            </a:extLst>
          </xdr:cNvPr>
          <xdr:cNvGrpSpPr/>
        </xdr:nvGrpSpPr>
        <xdr:grpSpPr>
          <a:xfrm>
            <a:off x="533400" y="1802295"/>
            <a:ext cx="4362898" cy="4881483"/>
            <a:chOff x="533400" y="1802295"/>
            <a:chExt cx="4362898" cy="4881483"/>
          </a:xfrm>
        </xdr:grpSpPr>
        <xdr:grpSp>
          <xdr:nvGrpSpPr>
            <xdr:cNvPr id="16146" name="Group 16145" hidden="1">
              <a:extLst>
                <a:ext uri="{FF2B5EF4-FFF2-40B4-BE49-F238E27FC236}">
                  <a16:creationId xmlns:a16="http://schemas.microsoft.com/office/drawing/2014/main" id="{00000000-0008-0000-0200-0000123F0000}"/>
                </a:ext>
              </a:extLst>
            </xdr:cNvPr>
            <xdr:cNvGrpSpPr/>
          </xdr:nvGrpSpPr>
          <xdr:grpSpPr>
            <a:xfrm>
              <a:off x="533400" y="1802295"/>
              <a:ext cx="4362898" cy="4881483"/>
              <a:chOff x="533400" y="1869798"/>
              <a:chExt cx="4397685" cy="5033469"/>
            </a:xfrm>
          </xdr:grpSpPr>
          <xdr:grpSp>
            <xdr:nvGrpSpPr>
              <xdr:cNvPr id="16147" name="Group 16146" hidden="1">
                <a:extLst>
                  <a:ext uri="{FF2B5EF4-FFF2-40B4-BE49-F238E27FC236}">
                    <a16:creationId xmlns:a16="http://schemas.microsoft.com/office/drawing/2014/main" id="{00000000-0008-0000-0200-0000133F0000}"/>
                  </a:ext>
                </a:extLst>
              </xdr:cNvPr>
              <xdr:cNvGrpSpPr/>
            </xdr:nvGrpSpPr>
            <xdr:grpSpPr>
              <a:xfrm>
                <a:off x="533400" y="1869798"/>
                <a:ext cx="4397685" cy="5033469"/>
                <a:chOff x="533400" y="1869798"/>
                <a:chExt cx="4397685" cy="5033469"/>
              </a:xfrm>
            </xdr:grpSpPr>
            <xdr:grpSp>
              <xdr:nvGrpSpPr>
                <xdr:cNvPr id="16151" name="Group 16150" hidden="1">
                  <a:extLst>
                    <a:ext uri="{FF2B5EF4-FFF2-40B4-BE49-F238E27FC236}">
                      <a16:creationId xmlns:a16="http://schemas.microsoft.com/office/drawing/2014/main" id="{00000000-0008-0000-0200-0000173F0000}"/>
                    </a:ext>
                  </a:extLst>
                </xdr:cNvPr>
                <xdr:cNvGrpSpPr/>
              </xdr:nvGrpSpPr>
              <xdr:grpSpPr>
                <a:xfrm>
                  <a:off x="533400" y="1869798"/>
                  <a:ext cx="4397685" cy="5033469"/>
                  <a:chOff x="1279712" y="7663141"/>
                  <a:chExt cx="4370401" cy="4955241"/>
                </a:xfrm>
              </xdr:grpSpPr>
              <xdr:sp macro="" textlink="">
                <xdr:nvSpPr>
                  <xdr:cNvPr id="16153" name="Rectangle 16152" hidden="1">
                    <a:extLst>
                      <a:ext uri="{FF2B5EF4-FFF2-40B4-BE49-F238E27FC236}">
                        <a16:creationId xmlns:a16="http://schemas.microsoft.com/office/drawing/2014/main" id="{00000000-0008-0000-0200-0000193F0000}"/>
                      </a:ext>
                    </a:extLst>
                  </xdr:cNvPr>
                  <xdr:cNvSpPr/>
                </xdr:nvSpPr>
                <xdr:spPr>
                  <a:xfrm>
                    <a:off x="1279712" y="7663141"/>
                    <a:ext cx="4367773" cy="4955241"/>
                  </a:xfrm>
                  <a:prstGeom prst="rect">
                    <a:avLst/>
                  </a:prstGeom>
                  <a:solidFill>
                    <a:schemeClr val="bg1">
                      <a:lumMod val="5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grpSp>
                <xdr:nvGrpSpPr>
                  <xdr:cNvPr id="16154" name="Group 16153" hidden="1">
                    <a:extLst>
                      <a:ext uri="{FF2B5EF4-FFF2-40B4-BE49-F238E27FC236}">
                        <a16:creationId xmlns:a16="http://schemas.microsoft.com/office/drawing/2014/main" id="{00000000-0008-0000-0200-00001A3F0000}"/>
                      </a:ext>
                    </a:extLst>
                  </xdr:cNvPr>
                  <xdr:cNvGrpSpPr/>
                </xdr:nvGrpSpPr>
                <xdr:grpSpPr>
                  <a:xfrm>
                    <a:off x="1281028" y="7691463"/>
                    <a:ext cx="4367772" cy="1428033"/>
                    <a:chOff x="1280639" y="7944796"/>
                    <a:chExt cx="4365067" cy="1465421"/>
                  </a:xfrm>
                </xdr:grpSpPr>
                <xdr:sp macro="" textlink="">
                  <xdr:nvSpPr>
                    <xdr:cNvPr id="16164" name="Rectangle 16163" hidden="1">
                      <a:extLst>
                        <a:ext uri="{FF2B5EF4-FFF2-40B4-BE49-F238E27FC236}">
                          <a16:creationId xmlns:a16="http://schemas.microsoft.com/office/drawing/2014/main" id="{00000000-0008-0000-0200-0000243F0000}"/>
                        </a:ext>
                      </a:extLst>
                    </xdr:cNvPr>
                    <xdr:cNvSpPr/>
                  </xdr:nvSpPr>
                  <xdr:spPr>
                    <a:xfrm>
                      <a:off x="1280639" y="7944796"/>
                      <a:ext cx="4365067" cy="1465421"/>
                    </a:xfrm>
                    <a:prstGeom prst="rect">
                      <a:avLst/>
                    </a:prstGeom>
                    <a:solidFill>
                      <a:schemeClr val="bg2">
                        <a:lumMod val="10000"/>
                      </a:schemeClr>
                    </a:solid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CA" sz="1100" kern="12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grpSp>
                      <xdr:nvGrpSpPr>
                        <xdr:cNvPr id="16165" name="Group 16164" hidden="1">
                          <a:extLst>
                            <a:ext uri="{FF2B5EF4-FFF2-40B4-BE49-F238E27FC236}">
                              <a16:creationId xmlns:a16="http://schemas.microsoft.com/office/drawing/2014/main" id="{00000000-0008-0000-0200-0000253F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322333" y="8368452"/>
                          <a:ext cx="1016548" cy="989693"/>
                          <a:chOff x="1322333" y="8368452"/>
                          <a:chExt cx="1016548" cy="989693"/>
                        </a:xfrm>
                      </xdr:grpSpPr>
                      <xdr:sp macro="" textlink="">
                        <xdr:nvSpPr>
                          <xdr:cNvPr id="15956" name="SiteVisit" hidden="1">
                            <a:extLst>
                              <a:ext uri="{63B3BB69-23CF-44E3-9099-C40C66FF867C}">
                                <a14:compatExt spid="_x0000_s15956"/>
                              </a:ext>
                              <a:ext uri="{FF2B5EF4-FFF2-40B4-BE49-F238E27FC236}">
                                <a16:creationId xmlns:a16="http://schemas.microsoft.com/office/drawing/2014/main" id="{00000000-0008-0000-0200-000054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368452"/>
                            <a:ext cx="1016547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7" name="CourierCheckbox" hidden="1">
                            <a:extLst>
                              <a:ext uri="{63B3BB69-23CF-44E3-9099-C40C66FF867C}">
                                <a14:compatExt spid="_x0000_s15957"/>
                              </a:ext>
                              <a:ext uri="{FF2B5EF4-FFF2-40B4-BE49-F238E27FC236}">
                                <a16:creationId xmlns:a16="http://schemas.microsoft.com/office/drawing/2014/main" id="{00000000-0008-0000-0200-000055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726996"/>
                            <a:ext cx="1014306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8" name="ArcFlashCheckbox" hidden="1">
                            <a:extLst>
                              <a:ext uri="{63B3BB69-23CF-44E3-9099-C40C66FF867C}">
                                <a14:compatExt spid="_x0000_s15958"/>
                              </a:ext>
                              <a:ext uri="{FF2B5EF4-FFF2-40B4-BE49-F238E27FC236}">
                                <a16:creationId xmlns:a16="http://schemas.microsoft.com/office/drawing/2014/main" id="{00000000-0008-0000-0200-000056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9085534"/>
                            <a:ext cx="1016548" cy="272611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xdr:grpSp>
                  </mc:Choice>
                  <mc:Fallback/>
                </mc:AlternateContent>
              </xdr:grpSp>
              <xdr:sp macro="" textlink="">
                <xdr:nvSpPr>
                  <xdr:cNvPr id="16162" name="Rectangle 16161" hidden="1">
                    <a:extLst>
                      <a:ext uri="{FF2B5EF4-FFF2-40B4-BE49-F238E27FC236}">
                        <a16:creationId xmlns:a16="http://schemas.microsoft.com/office/drawing/2014/main" id="{00000000-0008-0000-0200-0000223F0000}"/>
                      </a:ext>
                    </a:extLst>
                  </xdr:cNvPr>
                  <xdr:cNvSpPr/>
                </xdr:nvSpPr>
                <xdr:spPr>
                  <a:xfrm>
                    <a:off x="1281027" y="9296240"/>
                    <a:ext cx="4367772" cy="1414803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sp macro="" textlink="">
                <xdr:nvSpPr>
                  <xdr:cNvPr id="16157" name="Rectangle 16156" hidden="1">
                    <a:extLst>
                      <a:ext uri="{FF2B5EF4-FFF2-40B4-BE49-F238E27FC236}">
                        <a16:creationId xmlns:a16="http://schemas.microsoft.com/office/drawing/2014/main" id="{00000000-0008-0000-0200-00001D3F0000}"/>
                      </a:ext>
                    </a:extLst>
                  </xdr:cNvPr>
                  <xdr:cNvSpPr/>
                </xdr:nvSpPr>
                <xdr:spPr>
                  <a:xfrm>
                    <a:off x="1282341" y="10891581"/>
                    <a:ext cx="4367772" cy="1421291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</xdr:grpSp>
            <xdr:sp macro="" textlink="">
              <xdr:nvSpPr>
                <xdr:cNvPr id="16152" name="Rectangle 16151" hidden="1">
                  <a:extLst>
                    <a:ext uri="{FF2B5EF4-FFF2-40B4-BE49-F238E27FC236}">
                      <a16:creationId xmlns:a16="http://schemas.microsoft.com/office/drawing/2014/main" id="{00000000-0008-0000-0200-0000183F0000}"/>
                    </a:ext>
                  </a:extLst>
                </xdr:cNvPr>
                <xdr:cNvSpPr/>
              </xdr:nvSpPr>
              <xdr:spPr>
                <a:xfrm>
                  <a:off x="574813" y="1939787"/>
                  <a:ext cx="1082925" cy="324979"/>
                </a:xfrm>
                <a:prstGeom prst="rect">
                  <a:avLst/>
                </a:prstGeom>
                <a:solidFill>
                  <a:srgbClr val="63081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CA" sz="1400" b="1" kern="1200">
                      <a:ln w="3175">
                        <a:noFill/>
                      </a:ln>
                      <a:solidFill>
                        <a:srgbClr val="FFFF00"/>
                      </a:solidFill>
                      <a:latin typeface="Times New Roman" panose="02020603050405020304" pitchFamily="18" charset="0"/>
                      <a:ea typeface="Adobe Gothic Std B" panose="020B0800000000000000" pitchFamily="34" charset="-128"/>
                      <a:cs typeface="Times New Roman" panose="02020603050405020304" pitchFamily="18" charset="0"/>
                    </a:rPr>
                    <a:t>Expenses</a:t>
                  </a:r>
                </a:p>
              </xdr:txBody>
            </xdr:sp>
          </xdr:grpSp>
          <xdr:sp macro="" textlink="">
            <xdr:nvSpPr>
              <xdr:cNvPr id="16148" name="Rectangle 16147" hidden="1">
                <a:extLst>
                  <a:ext uri="{FF2B5EF4-FFF2-40B4-BE49-F238E27FC236}">
                    <a16:creationId xmlns:a16="http://schemas.microsoft.com/office/drawing/2014/main" id="{00000000-0008-0000-0200-0000143F0000}"/>
                  </a:ext>
                </a:extLst>
              </xdr:cNvPr>
              <xdr:cNvSpPr/>
            </xdr:nvSpPr>
            <xdr:spPr>
              <a:xfrm>
                <a:off x="574813" y="3559450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6150" name="Rectangle 16149" hidden="1">
                <a:extLst>
                  <a:ext uri="{FF2B5EF4-FFF2-40B4-BE49-F238E27FC236}">
                    <a16:creationId xmlns:a16="http://schemas.microsoft.com/office/drawing/2014/main" id="{00000000-0008-0000-0200-0000163F0000}"/>
                  </a:ext>
                </a:extLst>
              </xdr:cNvPr>
              <xdr:cNvSpPr/>
            </xdr:nvSpPr>
            <xdr:spPr>
              <a:xfrm>
                <a:off x="574813" y="5186154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88" name="MechStressCheckbox" hidden="1">
                  <a:extLst>
                    <a:ext uri="{63B3BB69-23CF-44E3-9099-C40C66FF867C}">
                      <a14:compatExt spid="_x0000_s16013"/>
                    </a:ext>
                    <a:ext uri="{FF2B5EF4-FFF2-40B4-BE49-F238E27FC236}">
                      <a16:creationId xmlns:a16="http://schemas.microsoft.com/office/drawing/2014/main" id="{00000000-0008-0000-0200-0000AC3D0000}"/>
                    </a:ext>
                  </a:extLst>
                </xdr:cNvPr>
                <xdr:cNvSpPr/>
              </xdr:nvSpPr>
              <xdr:spPr bwMode="auto">
                <a:xfrm>
                  <a:off x="1685925" y="22383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6014" name="TPSCPPCheckbox" hidden="1">
                  <a:extLst>
                    <a:ext uri="{63B3BB69-23CF-44E3-9099-C40C66FF867C}">
                      <a14:compatExt spid="_x0000_s16014"/>
                    </a:ext>
                    <a:ext uri="{FF2B5EF4-FFF2-40B4-BE49-F238E27FC236}">
                      <a16:creationId xmlns:a16="http://schemas.microsoft.com/office/drawing/2014/main" id="{00000000-0008-0000-0200-00008E3E0000}"/>
                    </a:ext>
                  </a:extLst>
                </xdr:cNvPr>
                <xdr:cNvSpPr/>
              </xdr:nvSpPr>
              <xdr:spPr bwMode="auto">
                <a:xfrm>
                  <a:off x="1685925" y="25812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76" name="TCAProgrammingCheckbox" hidden="1">
                  <a:extLst>
                    <a:ext uri="{63B3BB69-23CF-44E3-9099-C40C66FF867C}">
                      <a14:compatExt spid="_x0000_s16015"/>
                    </a:ext>
                    <a:ext uri="{FF2B5EF4-FFF2-40B4-BE49-F238E27FC236}">
                      <a16:creationId xmlns:a16="http://schemas.microsoft.com/office/drawing/2014/main" id="{00000000-0008-0000-0200-0000A03D0000}"/>
                    </a:ext>
                  </a:extLst>
                </xdr:cNvPr>
                <xdr:cNvSpPr/>
              </xdr:nvSpPr>
              <xdr:spPr bwMode="auto">
                <a:xfrm>
                  <a:off x="1685925" y="2924175"/>
                  <a:ext cx="100965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016" name="TPSCCSACheckbox" hidden="1">
                <a:extLst>
                  <a:ext uri="{63B3BB69-23CF-44E3-9099-C40C66FF867C}">
                    <a14:compatExt spid="_x0000_s16016"/>
                  </a:ext>
                  <a:ext uri="{FF2B5EF4-FFF2-40B4-BE49-F238E27FC236}">
                    <a16:creationId xmlns:a16="http://schemas.microsoft.com/office/drawing/2014/main" id="{00000000-0008-0000-0200-0000903E0000}"/>
                  </a:ext>
                </a:extLst>
              </xdr:cNvPr>
              <xdr:cNvSpPr/>
            </xdr:nvSpPr>
            <xdr:spPr bwMode="auto">
              <a:xfrm>
                <a:off x="2794676" y="2232903"/>
                <a:ext cx="100965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1</xdr:row>
          <xdr:rowOff>66675</xdr:rowOff>
        </xdr:from>
        <xdr:to>
          <xdr:col>19</xdr:col>
          <xdr:colOff>600075</xdr:colOff>
          <xdr:row>3</xdr:row>
          <xdr:rowOff>171450</xdr:rowOff>
        </xdr:to>
        <xdr:sp macro="" textlink="">
          <xdr:nvSpPr>
            <xdr:cNvPr id="15789" name="exportButton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2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4</xdr:col>
          <xdr:colOff>419100</xdr:colOff>
          <xdr:row>3</xdr:row>
          <xdr:rowOff>171450</xdr:rowOff>
        </xdr:to>
        <xdr:sp macro="" textlink="">
          <xdr:nvSpPr>
            <xdr:cNvPr id="16018" name="PopulateResources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2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10</xdr:row>
      <xdr:rowOff>11595</xdr:rowOff>
    </xdr:from>
    <xdr:to>
      <xdr:col>7</xdr:col>
      <xdr:colOff>93069</xdr:colOff>
      <xdr:row>37</xdr:row>
      <xdr:rowOff>7453</xdr:rowOff>
    </xdr:to>
    <xdr:grpSp>
      <xdr:nvGrpSpPr>
        <xdr:cNvPr id="15790" name="Group 15789">
          <a:extLst>
            <a:ext uri="{FF2B5EF4-FFF2-40B4-BE49-F238E27FC236}">
              <a16:creationId xmlns:a16="http://schemas.microsoft.com/office/drawing/2014/main" id="{6B99BAAB-E493-C2AB-7848-B870146405DF}"/>
            </a:ext>
          </a:extLst>
        </xdr:cNvPr>
        <xdr:cNvGrpSpPr/>
      </xdr:nvGrpSpPr>
      <xdr:grpSpPr>
        <a:xfrm>
          <a:off x="533400" y="1821345"/>
          <a:ext cx="4360269" cy="4882183"/>
          <a:chOff x="533400" y="1830004"/>
          <a:chExt cx="4348146" cy="4905563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pSpPr/>
        </xdr:nvGrpSpPr>
        <xdr:grpSpPr>
          <a:xfrm>
            <a:off x="533400" y="1830004"/>
            <a:ext cx="4348146" cy="4905563"/>
            <a:chOff x="542925" y="1802295"/>
            <a:chExt cx="4360269" cy="4882183"/>
          </a:xfrm>
        </xdr:grpSpPr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GrpSpPr/>
          </xdr:nvGrpSpPr>
          <xdr:grpSpPr>
            <a:xfrm>
              <a:off x="542925" y="1802295"/>
              <a:ext cx="4360269" cy="4882183"/>
              <a:chOff x="552450" y="1859445"/>
              <a:chExt cx="4360269" cy="4882183"/>
            </a:xfrm>
          </xdr:grpSpPr>
          <xdr:grpSp>
            <xdr:nvGrpSpPr>
              <xdr:cNvPr id="16044" name="Group 16043">
                <a:extLst>
                  <a:ext uri="{FF2B5EF4-FFF2-40B4-BE49-F238E27FC236}">
                    <a16:creationId xmlns:a16="http://schemas.microsoft.com/office/drawing/2014/main" id="{00000000-0008-0000-0200-0000AC3E0000}"/>
                  </a:ext>
                </a:extLst>
              </xdr:cNvPr>
              <xdr:cNvGrpSpPr/>
            </xdr:nvGrpSpPr>
            <xdr:grpSpPr>
              <a:xfrm>
                <a:off x="552450" y="1859445"/>
                <a:ext cx="4360269" cy="4882183"/>
                <a:chOff x="533400" y="1840565"/>
                <a:chExt cx="4367772" cy="4955241"/>
              </a:xfrm>
            </xdr:grpSpPr>
            <xdr:grpSp>
              <xdr:nvGrpSpPr>
                <xdr:cNvPr id="16042" name="Group 16041">
                  <a:extLst>
                    <a:ext uri="{FF2B5EF4-FFF2-40B4-BE49-F238E27FC236}">
                      <a16:creationId xmlns:a16="http://schemas.microsoft.com/office/drawing/2014/main" id="{00000000-0008-0000-0200-0000AA3E0000}"/>
                    </a:ext>
                  </a:extLst>
                </xdr:cNvPr>
                <xdr:cNvGrpSpPr/>
              </xdr:nvGrpSpPr>
              <xdr:grpSpPr>
                <a:xfrm>
                  <a:off x="533400" y="1840565"/>
                  <a:ext cx="4367772" cy="4955241"/>
                  <a:chOff x="533400" y="1876424"/>
                  <a:chExt cx="4383460" cy="5052060"/>
                </a:xfrm>
              </xdr:grpSpPr>
              <xdr:grpSp>
                <xdr:nvGrpSpPr>
                  <xdr:cNvPr id="16038" name="Group 16037">
                    <a:extLst>
                      <a:ext uri="{FF2B5EF4-FFF2-40B4-BE49-F238E27FC236}">
                        <a16:creationId xmlns:a16="http://schemas.microsoft.com/office/drawing/2014/main" id="{00000000-0008-0000-0200-0000A63E0000}"/>
                      </a:ext>
                    </a:extLst>
                  </xdr:cNvPr>
                  <xdr:cNvGrpSpPr/>
                </xdr:nvGrpSpPr>
                <xdr:grpSpPr>
                  <a:xfrm>
                    <a:off x="533400" y="1876424"/>
                    <a:ext cx="4383460" cy="5052060"/>
                    <a:chOff x="5741615" y="1495424"/>
                    <a:chExt cx="4383460" cy="5000625"/>
                  </a:xfrm>
                </xdr:grpSpPr>
                <xdr:grpSp>
                  <xdr:nvGrpSpPr>
                    <xdr:cNvPr id="16034" name="Group 16033">
                      <a:extLst>
                        <a:ext uri="{FF2B5EF4-FFF2-40B4-BE49-F238E27FC236}">
                          <a16:creationId xmlns:a16="http://schemas.microsoft.com/office/drawing/2014/main" id="{00000000-0008-0000-0200-0000A23E0000}"/>
                        </a:ext>
                      </a:extLst>
                    </xdr:cNvPr>
                    <xdr:cNvGrpSpPr/>
                  </xdr:nvGrpSpPr>
                  <xdr:grpSpPr>
                    <a:xfrm>
                      <a:off x="5741615" y="1495424"/>
                      <a:ext cx="4383460" cy="5000625"/>
                      <a:chOff x="493340" y="1364455"/>
                      <a:chExt cx="4375126" cy="4934813"/>
                    </a:xfrm>
                  </xdr:grpSpPr>
                  <xdr:grpSp>
                    <xdr:nvGrpSpPr>
                      <xdr:cNvPr id="16026" name="Group 16025">
                        <a:extLst>
                          <a:ext uri="{FF2B5EF4-FFF2-40B4-BE49-F238E27FC236}">
                            <a16:creationId xmlns:a16="http://schemas.microsoft.com/office/drawing/2014/main" id="{00000000-0008-0000-0200-00009A3E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3340" y="1364455"/>
                        <a:ext cx="4375126" cy="4934813"/>
                        <a:chOff x="493340" y="1364455"/>
                        <a:chExt cx="4375126" cy="4934813"/>
                      </a:xfrm>
                    </xdr:grpSpPr>
                    <xdr:grpSp>
                      <xdr:nvGrpSpPr>
                        <xdr:cNvPr id="16025" name="Group 16024">
                          <a:extLst>
                            <a:ext uri="{FF2B5EF4-FFF2-40B4-BE49-F238E27FC236}">
                              <a16:creationId xmlns:a16="http://schemas.microsoft.com/office/drawing/2014/main" id="{00000000-0008-0000-0200-0000993E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93340" y="1364455"/>
                          <a:ext cx="4375126" cy="4934813"/>
                          <a:chOff x="493340" y="1364455"/>
                          <a:chExt cx="4375126" cy="4934813"/>
                        </a:xfrm>
                      </xdr:grpSpPr>
                      <xdr:sp macro="" textlink="">
                        <xdr:nvSpPr>
                          <xdr:cNvPr id="15986" name="Rectangle 15985">
                            <a:extLst>
                              <a:ext uri="{FF2B5EF4-FFF2-40B4-BE49-F238E27FC236}">
                                <a16:creationId xmlns:a16="http://schemas.microsoft.com/office/drawing/2014/main" id="{00000000-0008-0000-0200-000072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3340" y="1364455"/>
                            <a:ext cx="4375126" cy="4934813"/>
                          </a:xfrm>
                          <a:prstGeom prst="rect">
                            <a:avLst/>
                          </a:prstGeom>
                          <a:solidFill>
                            <a:schemeClr val="bg1">
                              <a:lumMod val="50000"/>
                            </a:schemeClr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CA" sz="1100" kern="1200"/>
                          </a:p>
                        </xdr:txBody>
                      </xdr:sp>
                      <xdr:grpSp>
                        <xdr:nvGrpSpPr>
                          <xdr:cNvPr id="16023" name="Group 16022">
                            <a:extLst>
                              <a:ext uri="{FF2B5EF4-FFF2-40B4-BE49-F238E27FC236}">
                                <a16:creationId xmlns:a16="http://schemas.microsoft.com/office/drawing/2014/main" id="{00000000-0008-0000-0200-0000973E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18513" y="1416006"/>
                            <a:ext cx="4302113" cy="4844228"/>
                            <a:chOff x="497374" y="665729"/>
                            <a:chExt cx="4275811" cy="4797693"/>
                          </a:xfrm>
                        </xdr:grpSpPr>
                        <xdr:sp macro="" textlink="">
                          <xdr:nvSpPr>
                            <xdr:cNvPr id="15984" name="Rectangle 15983">
                              <a:extLst>
                                <a:ext uri="{FF2B5EF4-FFF2-40B4-BE49-F238E27FC236}">
                                  <a16:creationId xmlns:a16="http://schemas.microsoft.com/office/drawing/2014/main" id="{00000000-0008-0000-0200-000070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1072866"/>
                              <a:ext cx="1332139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Client</a:t>
                              </a:r>
                              <a:r>
                                <a:rPr lang="en-CA" sz="1400" b="1" kern="1200" baseline="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 Code</a:t>
                              </a:r>
                              <a:endPara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endParaRP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40" name="TextBox2" hidden="1">
                                  <a:extLst>
                                    <a:ext uri="{63B3BB69-23CF-44E3-9099-C40C66FF867C}">
                                      <a14:compatExt spid="_x0000_s15840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0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1928738" y="1080258"/>
                                  <a:ext cx="642109" cy="3073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5989" name="Rectangle 15988">
                              <a:extLst>
                                <a:ext uri="{FF2B5EF4-FFF2-40B4-BE49-F238E27FC236}">
                                  <a16:creationId xmlns:a16="http://schemas.microsoft.com/office/drawing/2014/main" id="{00000000-0008-0000-0200-000075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719275" y="1072866"/>
                              <a:ext cx="1321284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Project Code</a:t>
                              </a: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41" name="TextBox3" hidden="1">
                                  <a:extLst>
                                    <a:ext uri="{63B3BB69-23CF-44E3-9099-C40C66FF867C}">
                                      <a14:compatExt spid="_x0000_s15841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1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4131768" y="1080258"/>
                                  <a:ext cx="641417" cy="3073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5991" name="Rectangle 15990">
                              <a:extLst>
                                <a:ext uri="{FF2B5EF4-FFF2-40B4-BE49-F238E27FC236}">
                                  <a16:creationId xmlns:a16="http://schemas.microsoft.com/office/drawing/2014/main" id="{00000000-0008-0000-0200-000077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1888841"/>
                              <a:ext cx="1332139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Location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5993" name="Rectangle 15992">
                              <a:extLst>
                                <a:ext uri="{FF2B5EF4-FFF2-40B4-BE49-F238E27FC236}">
                                  <a16:creationId xmlns:a16="http://schemas.microsoft.com/office/drawing/2014/main" id="{00000000-0008-0000-0200-000079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665729"/>
                              <a:ext cx="1332139" cy="314769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Project Name</a:t>
                              </a: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43" name="ProjectNameTextBox" hidden="1">
                                  <a:extLst>
                                    <a:ext uri="{63B3BB69-23CF-44E3-9099-C40C66FF867C}">
                                      <a14:compatExt spid="_x0000_s15843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3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1928738" y="669425"/>
                                  <a:ext cx="2833610" cy="307377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5995" name="Rectangle 15994">
                              <a:extLst>
                                <a:ext uri="{FF2B5EF4-FFF2-40B4-BE49-F238E27FC236}">
                                  <a16:creationId xmlns:a16="http://schemas.microsoft.com/office/drawing/2014/main" id="{00000000-0008-0000-0200-00007B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2295979"/>
                              <a:ext cx="1332139" cy="314768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Project</a:t>
                              </a:r>
                              <a:r>
                                <a:rPr lang="en-CA" sz="1400" b="1" kern="1200" baseline="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 Start</a:t>
                              </a:r>
                              <a:endPara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5997" name="Rectangle 159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7D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26633" y="1857358"/>
                              <a:ext cx="1332139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2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Project Duration</a:t>
                              </a: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45" name="TextBox7" hidden="1">
                                  <a:extLst>
                                    <a:ext uri="{63B3BB69-23CF-44E3-9099-C40C66FF867C}">
                                      <a14:compatExt spid="_x0000_s15845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5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4303812" y="1864750"/>
                                  <a:ext cx="469373" cy="3073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5999" name="Rectangle 15998">
                              <a:extLst>
                                <a:ext uri="{FF2B5EF4-FFF2-40B4-BE49-F238E27FC236}">
                                  <a16:creationId xmlns:a16="http://schemas.microsoft.com/office/drawing/2014/main" id="{00000000-0008-0000-0200-00007F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2703115"/>
                              <a:ext cx="1332139" cy="314769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Project Phase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03" name="Rectangle 16002">
                              <a:extLst>
                                <a:ext uri="{FF2B5EF4-FFF2-40B4-BE49-F238E27FC236}">
                                  <a16:creationId xmlns:a16="http://schemas.microsoft.com/office/drawing/2014/main" id="{00000000-0008-0000-0200-000083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3110251"/>
                              <a:ext cx="1332139" cy="314768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Contingency</a:t>
                              </a: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48" name="TextBox10" hidden="1">
                                  <a:extLst>
                                    <a:ext uri="{63B3BB69-23CF-44E3-9099-C40C66FF867C}">
                                      <a14:compatExt spid="_x0000_s15848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8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1928738" y="3117643"/>
                                  <a:ext cx="2842313" cy="307376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6005" name="Rectangle 16004">
                              <a:extLst>
                                <a:ext uri="{FF2B5EF4-FFF2-40B4-BE49-F238E27FC236}">
                                  <a16:creationId xmlns:a16="http://schemas.microsoft.com/office/drawing/2014/main" id="{00000000-0008-0000-0200-000085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1480003"/>
                              <a:ext cx="1332139" cy="3164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Industry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07" name="Rectangle 160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87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3517387"/>
                              <a:ext cx="1332139" cy="3164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Estimate</a:t>
                              </a:r>
                              <a:r>
                                <a:rPr lang="en-CA" sz="1400" b="1" kern="1200" baseline="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 Class</a:t>
                              </a:r>
                              <a:endPara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endParaRPr>
                            </a:p>
                          </xdr:txBody>
                        </xdr:sp>
                        <mc:AlternateContent xmlns:mc="http://schemas.openxmlformats.org/markup-compatibility/2006">
                          <mc:Choice xmlns:a14="http://schemas.microsoft.com/office/drawing/2010/main" Requires="a14">
                            <xdr:sp macro="" textlink="">
                              <xdr:nvSpPr>
                                <xdr:cNvPr id="15850" name="TextBox12" hidden="1">
                                  <a:extLst>
                                    <a:ext uri="{63B3BB69-23CF-44E3-9099-C40C66FF867C}">
                                      <a14:compatExt spid="_x0000_s15850"/>
                                    </a:ext>
                                    <a:ext uri="{FF2B5EF4-FFF2-40B4-BE49-F238E27FC236}">
                                      <a16:creationId xmlns:a16="http://schemas.microsoft.com/office/drawing/2014/main" id="{00000000-0008-0000-0200-0000EA3D0000}"/>
                                    </a:ext>
                                  </a:extLst>
                                </xdr:cNvPr>
                                <xdr:cNvSpPr/>
                              </xdr:nvSpPr>
                              <xdr:spPr bwMode="auto">
                                <a:xfrm>
                                  <a:off x="1928738" y="3526479"/>
                                  <a:ext cx="481350" cy="3073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  <a:extLst>
                                  <a:ext uri="{91240B29-F687-4F45-9708-019B960494DF}">
                                    <a14:hiddenLine w="9525">
                                      <a:noFill/>
                                      <a:miter lim="800000"/>
                                      <a:headEnd/>
                                      <a:tailEnd/>
                                    </a14:hiddenLine>
                                  </a:ext>
                                </a:extLst>
                              </xdr:spPr>
                            </xdr:sp>
                          </mc:Choice>
                          <mc:Fallback/>
                        </mc:AlternateContent>
                        <xdr:sp macro="" textlink="">
                          <xdr:nvSpPr>
                            <xdr:cNvPr id="16009" name="Rectangle 160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89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26633" y="3519087"/>
                              <a:ext cx="1332139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Accu Score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11" name="Rectangle 16010">
                              <a:extLst>
                                <a:ext uri="{FF2B5EF4-FFF2-40B4-BE49-F238E27FC236}">
                                  <a16:creationId xmlns:a16="http://schemas.microsoft.com/office/drawing/2014/main" id="{00000000-0008-0000-0200-00008B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3926225"/>
                              <a:ext cx="1332139" cy="314768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Commerc PM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13" name="Rectangle 16012">
                              <a:extLst>
                                <a:ext uri="{FF2B5EF4-FFF2-40B4-BE49-F238E27FC236}">
                                  <a16:creationId xmlns:a16="http://schemas.microsoft.com/office/drawing/2014/main" id="{00000000-0008-0000-0200-00008D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26633" y="3926223"/>
                              <a:ext cx="1332139" cy="3147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Tech</a:t>
                              </a:r>
                              <a:r>
                                <a:rPr lang="en-CA" sz="1400" b="1" kern="1200" baseline="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 PM</a:t>
                              </a:r>
                              <a:endPara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6015" name="Rectangle 16014">
                              <a:extLst>
                                <a:ext uri="{FF2B5EF4-FFF2-40B4-BE49-F238E27FC236}">
                                  <a16:creationId xmlns:a16="http://schemas.microsoft.com/office/drawing/2014/main" id="{00000000-0008-0000-0200-00008F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4333360"/>
                              <a:ext cx="1332139" cy="3164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Estimator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17" name="Rectangle 16016">
                              <a:extLst>
                                <a:ext uri="{FF2B5EF4-FFF2-40B4-BE49-F238E27FC236}">
                                  <a16:creationId xmlns:a16="http://schemas.microsoft.com/office/drawing/2014/main" id="{00000000-0008-0000-0200-000091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26633" y="4337443"/>
                              <a:ext cx="1332139" cy="312387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Approver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19" name="Rectangle 16018">
                              <a:extLst>
                                <a:ext uri="{FF2B5EF4-FFF2-40B4-BE49-F238E27FC236}">
                                  <a16:creationId xmlns:a16="http://schemas.microsoft.com/office/drawing/2014/main" id="{00000000-0008-0000-0200-000093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4742198"/>
                              <a:ext cx="1332139" cy="316470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Method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6021" name="Rectangle 16020">
                              <a:extLst>
                                <a:ext uri="{FF2B5EF4-FFF2-40B4-BE49-F238E27FC236}">
                                  <a16:creationId xmlns:a16="http://schemas.microsoft.com/office/drawing/2014/main" id="{00000000-0008-0000-0200-0000953E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97374" y="5151035"/>
                              <a:ext cx="1332139" cy="312387"/>
                            </a:xfrm>
                            <a:prstGeom prst="rect">
                              <a:avLst/>
                            </a:prstGeom>
                            <a:solidFill>
                              <a:srgbClr val="630811"/>
                            </a:solidFill>
                            <a:ln>
                              <a:noFill/>
                            </a:ln>
                            <a:effectLst>
                              <a:outerShdw blurRad="50800" dist="38100" dir="2700000" algn="tl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15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r"/>
                              <a:r>
                                <a:rPr lang="en-CA" sz="1400" b="1" kern="1200">
                                  <a:ln w="3175">
                                    <a:noFill/>
                                  </a:ln>
                                  <a:solidFill>
                                    <a:schemeClr val="bg1"/>
                                  </a:solidFill>
                                  <a:latin typeface="Times New Roman" panose="02020603050405020304" pitchFamily="18" charset="0"/>
                                  <a:ea typeface="Adobe Gothic Std B" panose="020B0800000000000000" pitchFamily="34" charset="-128"/>
                                  <a:cs typeface="Times New Roman" panose="02020603050405020304" pitchFamily="18" charset="0"/>
                                </a:rPr>
                                <a:t>Complexity</a:t>
                              </a:r>
                            </a:p>
                          </xdr:txBody>
                        </xdr:sp>
                      </xdr:grpSp>
                    </xdr:grpSp>
                    <mc:AlternateContent xmlns:mc="http://schemas.openxmlformats.org/markup-compatibility/2006">
                      <mc:Choice xmlns:a14="http://schemas.microsoft.com/office/drawing/2010/main" Requires="a14">
                        <xdr:sp macro="" textlink="">
                          <xdr:nvSpPr>
                            <xdr:cNvPr id="15858" name="ComboBox1" hidden="1">
                              <a:extLst>
                                <a:ext uri="{63B3BB69-23CF-44E3-9099-C40C66FF867C}">
                                  <a14:compatExt spid="_x0000_s15858"/>
                                </a:ext>
                                <a:ext uri="{FF2B5EF4-FFF2-40B4-BE49-F238E27FC236}">
                                  <a16:creationId xmlns:a16="http://schemas.microsoft.com/office/drawing/2014/main" id="{00000000-0008-0000-0200-0000F23D0000}"/>
                                </a:ext>
                              </a:extLst>
                            </xdr:cNvPr>
                            <xdr:cNvSpPr/>
                          </xdr:nvSpPr>
                          <xdr:spPr bwMode="auto">
                            <a:xfrm>
                              <a:off x="1958682" y="2219580"/>
                              <a:ext cx="2859008" cy="338138"/>
                            </a:xfrm>
                            <a:prstGeom prst="rect">
                              <a:avLst/>
                            </a:prstGeom>
                            <a:noFill/>
                            <a:ln>
                              <a:noFill/>
                            </a:ln>
                            <a:extLst>
                              <a:ext uri="{91240B29-F687-4F45-9708-019B960494DF}">
                                <a14:hiddenLine w="9525">
                                  <a:noFill/>
                                  <a:miter lim="800000"/>
                                  <a:headEnd/>
                                  <a:tailEnd/>
                                </a14:hiddenLine>
                              </a:ext>
                            </a:extLst>
                          </xdr:spPr>
                        </xdr:sp>
                      </mc:Choice>
                      <mc:Fallback/>
                    </mc:AlternateContent>
                  </xdr:grpSp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5796" name="ComboBox2" hidden="1">
                            <a:extLst>
                              <a:ext uri="{63B3BB69-23CF-44E3-9099-C40C66FF867C}">
                                <a14:compatExt spid="_x0000_s15865"/>
                              </a:ext>
                              <a:ext uri="{FF2B5EF4-FFF2-40B4-BE49-F238E27FC236}">
                                <a16:creationId xmlns:a16="http://schemas.microsoft.com/office/drawing/2014/main" id="{00000000-0008-0000-0200-0000B43D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958682" y="5511036"/>
                            <a:ext cx="2854589" cy="340519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mc:Choice>
                    <mc:Fallback/>
                  </mc:AlternateContent>
                </xdr:grp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859" name="TextBox1" hidden="1">
                          <a:extLst>
                            <a:ext uri="{63B3BB69-23CF-44E3-9099-C40C66FF867C}">
                              <a14:compatExt spid="_x0000_s15859"/>
                            </a:ext>
                            <a:ext uri="{FF2B5EF4-FFF2-40B4-BE49-F238E27FC236}">
                              <a16:creationId xmlns:a16="http://schemas.microsoft.com/office/drawing/2014/main" id="{00000000-0008-0000-0200-0000F3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7209748" y="2806845"/>
                          <a:ext cx="647701" cy="31432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861" name="TextBox9" hidden="1">
                          <a:extLst>
                            <a:ext uri="{63B3BB69-23CF-44E3-9099-C40C66FF867C}">
                              <a14:compatExt spid="_x0000_s15861"/>
                            </a:ext>
                            <a:ext uri="{FF2B5EF4-FFF2-40B4-BE49-F238E27FC236}">
                              <a16:creationId xmlns:a16="http://schemas.microsoft.com/office/drawing/2014/main" id="{00000000-0008-0000-0200-0000F5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7209748" y="4891422"/>
                          <a:ext cx="486966" cy="314326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2" name="TextBox11" hidden="1">
                          <a:extLst>
                            <a:ext uri="{63B3BB69-23CF-44E3-9099-C40C66FF867C}">
                              <a14:compatExt spid="_x0000_s15862"/>
                            </a:ext>
                            <a:ext uri="{FF2B5EF4-FFF2-40B4-BE49-F238E27FC236}">
                              <a16:creationId xmlns:a16="http://schemas.microsoft.com/office/drawing/2014/main" id="{00000000-0008-0000-0200-0000B0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591370" y="4881898"/>
                          <a:ext cx="485775" cy="32385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3" name="TextBox13" hidden="1">
                          <a:extLst>
                            <a:ext uri="{63B3BB69-23CF-44E3-9099-C40C66FF867C}">
                              <a14:compatExt spid="_x0000_s15863"/>
                            </a:ext>
                            <a:ext uri="{FF2B5EF4-FFF2-40B4-BE49-F238E27FC236}">
                              <a16:creationId xmlns:a16="http://schemas.microsoft.com/office/drawing/2014/main" id="{00000000-0008-0000-0200-0000B1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7209748" y="5302588"/>
                          <a:ext cx="486966" cy="321468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864" name="TextBox14" hidden="1">
                          <a:extLst>
                            <a:ext uri="{63B3BB69-23CF-44E3-9099-C40C66FF867C}">
                              <a14:compatExt spid="_x0000_s15864"/>
                            </a:ext>
                            <a:ext uri="{FF2B5EF4-FFF2-40B4-BE49-F238E27FC236}">
                              <a16:creationId xmlns:a16="http://schemas.microsoft.com/office/drawing/2014/main" id="{00000000-0008-0000-0200-0000F8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592559" y="5300207"/>
                          <a:ext cx="484585" cy="323848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7" name="TextBox15" hidden="1">
                          <a:extLst>
                            <a:ext uri="{63B3BB69-23CF-44E3-9099-C40C66FF867C}">
                              <a14:compatExt spid="_x0000_s15867"/>
                            </a:ext>
                            <a:ext uri="{FF2B5EF4-FFF2-40B4-BE49-F238E27FC236}">
                              <a16:creationId xmlns:a16="http://schemas.microsoft.com/office/drawing/2014/main" id="{00000000-0008-0000-0200-0000B5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591370" y="4474857"/>
                          <a:ext cx="485775" cy="31432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9" name="ComboBox3" hidden="1">
                        <a:extLst>
                          <a:ext uri="{63B3BB69-23CF-44E3-9099-C40C66FF867C}">
                            <a14:compatExt spid="_x0000_s15869"/>
                          </a:ext>
                          <a:ext uri="{FF2B5EF4-FFF2-40B4-BE49-F238E27FC236}">
                            <a16:creationId xmlns:a16="http://schemas.microsoft.com/office/drawing/2014/main" id="{00000000-0008-0000-0200-0000FD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000250" y="6541812"/>
                        <a:ext cx="2857500" cy="34671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870" name="ComboBox4" hidden="1">
                      <a:extLst>
                        <a:ext uri="{63B3BB69-23CF-44E3-9099-C40C66FF867C}">
                          <a14:compatExt spid="_x0000_s15870"/>
                        </a:ext>
                        <a:ext uri="{FF2B5EF4-FFF2-40B4-BE49-F238E27FC236}">
                          <a16:creationId xmlns:a16="http://schemas.microsoft.com/office/drawing/2014/main" id="{00000000-0008-0000-0200-0000FE3D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996279" y="3957992"/>
                      <a:ext cx="2848536" cy="339538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xdr:sp macro="" textlink="">
            <xdr:nvSpPr>
              <xdr:cNvPr id="45" name="Rectangle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SpPr/>
            </xdr:nvSpPr>
            <xdr:spPr>
              <a:xfrm>
                <a:off x="3028950" y="3538953"/>
                <a:ext cx="1485900" cy="314433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en-CA" sz="1200" b="1" kern="1200">
                    <a:ln w="3175">
                      <a:noFill/>
                    </a:ln>
                    <a:solidFill>
                      <a:schemeClr val="bg1"/>
                    </a:solidFill>
                    <a:latin typeface="Times New Roman" panose="02020603050405020304" pitchFamily="18" charset="0"/>
                    <a:ea typeface="Adobe Gothic Std B" panose="020B0800000000000000" pitchFamily="34" charset="-128"/>
                    <a:cs typeface="Times New Roman" panose="02020603050405020304" pitchFamily="18" charset="0"/>
                  </a:rPr>
                  <a:t>Bi-weekly Meetings</a:t>
                </a: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937" name="bwmeetings" hidden="1">
                  <a:extLst>
                    <a:ext uri="{63B3BB69-23CF-44E3-9099-C40C66FF867C}">
                      <a14:compatExt spid="_x0000_s15937"/>
                    </a:ext>
                    <a:ext uri="{FF2B5EF4-FFF2-40B4-BE49-F238E27FC236}">
                      <a16:creationId xmlns:a16="http://schemas.microsoft.com/office/drawing/2014/main" id="{00000000-0008-0000-0200-0000413E0000}"/>
                    </a:ext>
                  </a:extLst>
                </xdr:cNvPr>
                <xdr:cNvSpPr/>
              </xdr:nvSpPr>
              <xdr:spPr bwMode="auto">
                <a:xfrm>
                  <a:off x="4629150" y="3505200"/>
                  <a:ext cx="228600" cy="2857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020" name="DTPicker1" hidden="1">
                <a:extLst>
                  <a:ext uri="{63B3BB69-23CF-44E3-9099-C40C66FF867C}">
                    <a14:compatExt spid="_x0000_s16020"/>
                  </a:ext>
                  <a:ext uri="{FF2B5EF4-FFF2-40B4-BE49-F238E27FC236}">
                    <a16:creationId xmlns:a16="http://schemas.microsoft.com/office/drawing/2014/main" id="{00000000-0008-0000-0200-0000943E0000}"/>
                  </a:ext>
                </a:extLst>
              </xdr:cNvPr>
              <xdr:cNvSpPr/>
            </xdr:nvSpPr>
            <xdr:spPr bwMode="auto">
              <a:xfrm>
                <a:off x="1989706" y="3517555"/>
                <a:ext cx="917990" cy="3065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752475</xdr:colOff>
          <xdr:row>0</xdr:row>
          <xdr:rowOff>409575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8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E6F623-455B-4952-95AE-7763B18680E6}" name="Table3" displayName="Table3" ref="A2:K25" totalsRowShown="0">
  <autoFilter ref="A2:K25" xr:uid="{DFEE4BB5-D0D4-483D-B77B-58E5D0092E5E}"/>
  <tableColumns count="11">
    <tableColumn id="1" xr3:uid="{7A106AC0-90A4-4D30-BF1F-13CF2DB3F23F}" name="RsCod" dataDxfId="168"/>
    <tableColumn id="2" xr3:uid="{555581EC-A5B7-4565-9531-9753FA07C80D}" name="Description" dataDxfId="167"/>
    <tableColumn id="3" xr3:uid="{06541201-5C82-483E-A05F-539142D77714}" name="Short" dataDxfId="166"/>
    <tableColumn id="4" xr3:uid="{E2448F07-E37A-4884-B434-3E346118D2F3}" name="TRN" dataCellStyle="Currency"/>
    <tableColumn id="5" xr3:uid="{3190AD19-E492-4F9D-BB43-D413B540975F}" name="JR" dataCellStyle="Currency"/>
    <tableColumn id="6" xr3:uid="{A479BC78-DBB0-4BC4-B819-D26089500A67}" name="INT" dataCellStyle="Currency"/>
    <tableColumn id="7" xr3:uid="{0BE75CC6-2959-42F1-90EE-D7CF0E3CFE8E}" name="SR" dataCellStyle="Currency"/>
    <tableColumn id="8" xr3:uid="{22E58D55-D732-4612-BA49-A41F3F9D1FC8}" name="LD" dataCellStyle="Currency"/>
    <tableColumn id="9" xr3:uid="{5320CD38-7BF2-4331-92B4-FAE67827C5C0}" name="SP" dataCellStyle="Currency"/>
    <tableColumn id="10" xr3:uid="{375771A6-D2AE-4C7F-A71D-A81BAD8E1A7F}" name="SME" dataCellStyle="Currency"/>
    <tableColumn id="11" xr3:uid="{6936D9B8-AB96-4936-A5B3-3AECE91EEB68}" name="FIN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74AB6F-D9EC-4F7A-BA87-09F3D2AC35D0}" name="Table5" displayName="Table5" ref="A3:J15" totalsRowShown="0" headerRowDxfId="165" dataDxfId="163" headerRowBorderDxfId="164" tableBorderDxfId="162" totalsRowBorderDxfId="161">
  <autoFilter ref="A3:J15" xr:uid="{A0E94143-4504-45FF-B8BB-E6C1041EA8C9}"/>
  <tableColumns count="10">
    <tableColumn id="1" xr3:uid="{8607383A-F00B-4200-A207-BDEA021F3702}" name="Level Subcode" dataDxfId="160"/>
    <tableColumn id="2" xr3:uid="{42903C80-062D-4B32-BEA4-CB47A3C0EB00}" name="Discipline" dataDxfId="159"/>
    <tableColumn id="4" xr3:uid="{1F86097E-6809-4B42-8639-2D867C1AFAD6}" name="Trainee (TRN)" dataDxfId="158"/>
    <tableColumn id="5" xr3:uid="{75A7775F-37CA-4026-9269-0A32F893A1FD}" name="Junior (JR)" dataDxfId="157"/>
    <tableColumn id="6" xr3:uid="{FFA4B92E-A09C-4EE4-82B7-C1A471D996C7}" name="Intermediate (INT)" dataDxfId="156"/>
    <tableColumn id="7" xr3:uid="{66783BDB-184D-47BE-BD9E-2C99F13AB223}" name="Senior (SR)" dataDxfId="155"/>
    <tableColumn id="8" xr3:uid="{00C1C182-6957-4BB3-B52B-E4AB2FA42151}" name="Lead (LD)" dataDxfId="154"/>
    <tableColumn id="9" xr3:uid="{8965341B-87CE-40DC-8256-8C44EA0312ED}" name="Specialist (SP)" dataDxfId="153"/>
    <tableColumn id="10" xr3:uid="{69FE5EA7-2936-449A-A783-9849392FF091}" name="Subject Mater Expert (SME)" dataDxfId="152"/>
    <tableColumn id="11" xr3:uid="{B8A2490F-7D89-4510-91BB-9375CE83F190}" name="Insurance Specialist" dataDxfId="15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50AA1E-4D4A-49A3-983D-5EE84A052751}" name="Table1" displayName="Table1" ref="A1:EQ277" totalsRowShown="0" headerRowDxfId="150" dataDxfId="148" headerRowBorderDxfId="149" tableBorderDxfId="147" headerRowCellStyle="Normal 3 2" dataCellStyle="Normal 3 2">
  <autoFilter ref="A1:EQ277" xr:uid="{C750AA1E-4D4A-49A3-983D-5EE84A0527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</autoFilter>
  <tableColumns count="147">
    <tableColumn id="1" xr3:uid="{2953CB05-1842-4A0C-8804-F70679062D19}" name="EST COA" dataDxfId="146"/>
    <tableColumn id="2" xr3:uid="{FD47DD36-29B0-4BF3-B556-2E26D0AEBFA1}" name="DESCRIPTION" dataDxfId="145"/>
    <tableColumn id="4" xr3:uid="{243F14C6-3E61-4761-87FE-F022C14E022C}" name="Units" dataDxfId="144"/>
    <tableColumn id="103" xr3:uid="{08ED2806-C71D-45B7-9ABD-12776E1C73C9}" name="Cycles" dataDxfId="143" dataCellStyle="Comma"/>
    <tableColumn id="3" xr3:uid="{B079C4DD-3673-4536-86D8-009BB54C6854}" name="Quantity" dataDxfId="142" dataCellStyle="Comma"/>
    <tableColumn id="5" xr3:uid="{C95CA663-9826-4233-9758-47F87DEBC01C}" name="Hrs" dataDxfId="141" dataCellStyle="Comma">
      <calculatedColumnFormula>SUM(H2:DY2)*E2</calculatedColumnFormula>
    </tableColumn>
    <tableColumn id="6" xr3:uid="{C0E87EF7-B3D3-428B-8CA9-D117DE379BE6}" name="Cost" dataDxfId="140" dataCellStyle="Normal 3 2">
      <calculatedColumnFormula>SUMPRODUCT($H$2:$DY$2,$H2:$DY2)*E2</calculatedColumnFormula>
    </tableColumn>
    <tableColumn id="7" xr3:uid="{E86ADA1F-5A2F-4DF0-897C-DE13840F7774}" name="PM JR" dataDxfId="139" dataCellStyle="Normal 3 2"/>
    <tableColumn id="8" xr3:uid="{74BA882C-15B7-4191-A061-5E46E2AE9824}" name="PM INT" dataDxfId="138" dataCellStyle="Normal 3 2"/>
    <tableColumn id="9" xr3:uid="{55E466BD-C44D-452A-8454-D7380B35F77A}" name="PM SR" dataDxfId="137" dataCellStyle="Normal 3 2"/>
    <tableColumn id="10" xr3:uid="{E81E9A05-40D4-42CB-B630-C2D5B4A6FBC0}" name="PM LD" dataDxfId="136" dataCellStyle="Normal 3 2"/>
    <tableColumn id="11" xr3:uid="{F9B9AA33-289D-4240-83D0-38568AF23CEE}" name="PM SP" dataDxfId="135" dataCellStyle="Normal 3 2"/>
    <tableColumn id="12" xr3:uid="{0F9770C2-C45A-448C-8BD3-7954AC6D1C0E}" name="PM SME" dataDxfId="134" dataCellStyle="Normal 3 2"/>
    <tableColumn id="13" xr3:uid="{073F447F-88EA-4408-8D56-6CDDD3AB8AE0}" name="AD TRN" dataDxfId="133" dataCellStyle="Normal 3 2"/>
    <tableColumn id="14" xr3:uid="{4E3EF56B-3D0D-4E15-BC01-83FC26304054}" name="AD JR" dataDxfId="132" dataCellStyle="Normal 3 2"/>
    <tableColumn id="15" xr3:uid="{34971820-B384-4619-BC2D-CE21D346B099}" name="AD INT" dataDxfId="131" dataCellStyle="Normal 3 2"/>
    <tableColumn id="16" xr3:uid="{2C559C32-661B-4C47-8B88-FF63AED0520E}" name="AD SR" dataDxfId="130" dataCellStyle="Normal 3 2"/>
    <tableColumn id="43" xr3:uid="{00EB7B5E-A2A3-4D59-A4A7-8D9185DA878A}" name="DC TRN" dataDxfId="129" dataCellStyle="Normal 3 2"/>
    <tableColumn id="44" xr3:uid="{EDE7A581-8F90-463E-B398-DB7E4B41CAD1}" name="DC JR" dataDxfId="128" dataCellStyle="Normal 3 2"/>
    <tableColumn id="45" xr3:uid="{B74D9B42-CCA8-426B-B3A4-69FF0E09991A}" name="DC INT" dataDxfId="127" dataCellStyle="Normal 3 2"/>
    <tableColumn id="46" xr3:uid="{D64AE4E4-558F-40DB-9131-728F15D38D4E}" name="DC SR" dataDxfId="126" dataCellStyle="Normal 3 2"/>
    <tableColumn id="47" xr3:uid="{3EA405E9-F695-451D-B2F9-9DC3A8147F56}" name="DC LD" dataDxfId="125" dataCellStyle="Normal 3 2"/>
    <tableColumn id="17" xr3:uid="{7F77D203-A264-4EF9-A0EF-E96C4D910EE5}" name="PE EIT" dataDxfId="124" dataCellStyle="Normal 3 2"/>
    <tableColumn id="18" xr3:uid="{6F27F5EE-6931-4883-808B-7437291E9FB8}" name="PE JR" dataDxfId="123" dataCellStyle="Normal 3 2"/>
    <tableColumn id="19" xr3:uid="{5AD545A7-2AD5-44BE-90D9-DD52EACF0BFA}" name="PE INT" dataDxfId="122" dataCellStyle="Normal 3 2"/>
    <tableColumn id="20" xr3:uid="{C8B5AB31-3526-4D9B-B14F-0F8920DFBCB0}" name="PE SR" dataDxfId="121" dataCellStyle="Normal 3 2"/>
    <tableColumn id="21" xr3:uid="{7E7DFE33-D84A-402E-949F-FE7AEA384EFB}" name="PE LD" dataDxfId="120" dataCellStyle="Normal 3 2"/>
    <tableColumn id="22" xr3:uid="{B1BE2F19-8DB7-4297-AF94-E08341451955}" name="PCO TRN" dataDxfId="119" dataCellStyle="Normal 3 2"/>
    <tableColumn id="23" xr3:uid="{7B68DA57-E585-450E-90CE-D86E56355F47}" name="PCO JR" dataDxfId="118" dataCellStyle="Normal 3 2"/>
    <tableColumn id="24" xr3:uid="{5FA96A0D-E9FC-4794-BA15-9D0FC1A99795}" name="PCO INT" dataDxfId="117" dataCellStyle="Normal 3 2"/>
    <tableColumn id="25" xr3:uid="{CC73B05A-2242-4041-993F-77AABEF8D505}" name="PCO SR" dataDxfId="116" dataCellStyle="Normal 3 2"/>
    <tableColumn id="26" xr3:uid="{691304BD-0783-411D-B5EF-A2652B1BB7C6}" name="PCO LD" dataDxfId="115" dataCellStyle="Normal 3 2"/>
    <tableColumn id="27" xr3:uid="{D54A7821-698F-4081-B0BD-A07178F9A308}" name="PC TRN" dataDxfId="114" dataCellStyle="Normal 3 2"/>
    <tableColumn id="28" xr3:uid="{9A73C428-BBF8-4642-A6DA-F959A8FE4328}" name="PC JR" dataDxfId="113" dataCellStyle="Normal 3 2"/>
    <tableColumn id="29" xr3:uid="{FD5FD508-688A-4022-A2F2-A2C01CCA5A5D}" name="PC INT" dataDxfId="112" dataCellStyle="Normal 3 2"/>
    <tableColumn id="30" xr3:uid="{C6D98B2B-010F-45EE-820E-59D8EC43A742}" name="PC SR" dataDxfId="111" dataCellStyle="Normal 3 2"/>
    <tableColumn id="31" xr3:uid="{1E01CED4-BBF2-47BD-BD4D-32A125A156E1}" name="PC LD" dataDxfId="110" dataCellStyle="Normal 3 2"/>
    <tableColumn id="32" xr3:uid="{18015CCB-33CB-4614-B103-E95DD6EA7C07}" name="PC SP" dataDxfId="109" dataCellStyle="Normal 3 2"/>
    <tableColumn id="48" xr3:uid="{7D030ABB-98B6-428C-84D6-06B03B14A8AC}" name="PrEng EIT" dataDxfId="108" dataCellStyle="Normal 3 2"/>
    <tableColumn id="49" xr3:uid="{E03519BB-F879-4909-9D9D-6D8ED6DD57A7}" name="PrEng JR" dataDxfId="107" dataCellStyle="Normal 3 2"/>
    <tableColumn id="50" xr3:uid="{FE8F5E2D-5D99-4486-8675-550AFA0C65FA}" name="PrEng INT" dataDxfId="106" dataCellStyle="Normal 3 2"/>
    <tableColumn id="51" xr3:uid="{110A27F4-6E80-4A49-9066-4BECF60D4D84}" name="PrEng SR" dataDxfId="105" dataCellStyle="Normal 3 2"/>
    <tableColumn id="52" xr3:uid="{A5F1290C-78FD-4C90-B534-A36BC5AC16B4}" name="PrEng LD" dataDxfId="104" dataCellStyle="Normal 3 2"/>
    <tableColumn id="53" xr3:uid="{570FEA76-5CAE-416B-A55C-9B94C70174E3}" name="PrEng SP" dataDxfId="103" dataCellStyle="Normal 3 2"/>
    <tableColumn id="54" xr3:uid="{15D39BC3-7BAA-485F-9E42-D3775BF4C56C}" name="PrEng SME" dataDxfId="102" dataCellStyle="Normal 3 2"/>
    <tableColumn id="55" xr3:uid="{74A01F02-4633-4CD1-BDC7-DAF60901BB8E}" name="MEng EIT" dataDxfId="101" dataCellStyle="Normal 3 2"/>
    <tableColumn id="56" xr3:uid="{8543DDBB-4898-457F-A9C4-8CC98B359124}" name="MEng JR" dataDxfId="100" dataCellStyle="Normal 3 2"/>
    <tableColumn id="57" xr3:uid="{2F532E54-EC8F-408D-917D-304A5FBDCB96}" name="MEng INT" dataDxfId="99" dataCellStyle="Normal 3 2"/>
    <tableColumn id="58" xr3:uid="{4DA92E00-41CF-4FF1-BF34-96A6E7A31753}" name="MEng SR" dataDxfId="98" dataCellStyle="Normal 3 2"/>
    <tableColumn id="59" xr3:uid="{A352707F-64D0-49F6-B2F6-8F52F610ECBB}" name="MEng LD" dataDxfId="97" dataCellStyle="Normal 3 2"/>
    <tableColumn id="60" xr3:uid="{45C6C23A-D4AF-4CED-AC4C-29D7EAE00018}" name="MEng SP" dataDxfId="96" dataCellStyle="Normal 3 2"/>
    <tableColumn id="61" xr3:uid="{97CB07E2-EE08-4443-9207-63C6946D0FAC}" name="MEng SME" dataDxfId="95" dataCellStyle="Normal 3 2"/>
    <tableColumn id="62" xr3:uid="{9E7AD706-74B0-4758-A304-B385446E857E}" name="EEng EIT" dataDxfId="94" dataCellStyle="Normal 3 2"/>
    <tableColumn id="63" xr3:uid="{FD9474EE-56CB-4337-89DF-57CAC3A8A573}" name="EEng JR" dataDxfId="93" dataCellStyle="Normal 3 2"/>
    <tableColumn id="64" xr3:uid="{62B7B098-A63D-4AB1-A02E-4BBF06220CED}" name="EEng INT" dataDxfId="92" dataCellStyle="Normal 3 2"/>
    <tableColumn id="65" xr3:uid="{21F870FA-376B-4BDB-884E-88AB1E668379}" name="EEng SR" dataDxfId="91" dataCellStyle="Normal 3 2"/>
    <tableColumn id="66" xr3:uid="{8EC76323-C53B-42A7-8878-9D17B439B395}" name="EEng LD" dataDxfId="90" dataCellStyle="Normal 3 2"/>
    <tableColumn id="67" xr3:uid="{A572E851-C729-4A54-A51F-93D4130E7E01}" name="EEng SP" dataDxfId="89" dataCellStyle="Normal 3 2"/>
    <tableColumn id="68" xr3:uid="{7C60652C-B7F5-4A38-A7A1-4BFE80663F1B}" name="EEng SME" dataDxfId="88" dataCellStyle="Normal 3 2"/>
    <tableColumn id="69" xr3:uid="{2D9C2EB4-A891-46C9-9BF7-D50BA19C9812}" name="ICEng EIT" dataDxfId="87" dataCellStyle="Normal 3 2"/>
    <tableColumn id="70" xr3:uid="{C4FD1D4D-D375-463A-8975-D06C618702E2}" name="ICEng JR" dataDxfId="86" dataCellStyle="Normal 3 2"/>
    <tableColumn id="71" xr3:uid="{1DDE6570-0D76-46B6-96B8-7AE1C17D2119}" name="ICEng INT" dataDxfId="85" dataCellStyle="Normal 3 2"/>
    <tableColumn id="72" xr3:uid="{CE98184B-BEA1-418B-9C3A-CD05C8F2EB9E}" name="ICEng SR" dataDxfId="84" dataCellStyle="Normal 3 2"/>
    <tableColumn id="73" xr3:uid="{C6D72313-1448-4B54-B6FE-8A1B3C4B5E6E}" name="ICEng LD" dataDxfId="83" dataCellStyle="Normal 3 2"/>
    <tableColumn id="74" xr3:uid="{5ADDF470-2ED0-499C-B99C-4E7A0313A587}" name="ICEng SP" dataDxfId="82" dataCellStyle="Normal 3 2"/>
    <tableColumn id="75" xr3:uid="{822EA406-8226-492D-BCB4-DAD918D117DB}" name="ICEng SME" dataDxfId="81" dataCellStyle="Normal 3 2"/>
    <tableColumn id="83" xr3:uid="{8E17E7D0-F9B0-48DB-AFA3-BA197717FD50}" name="TCA Eng EIT" dataDxfId="80" dataCellStyle="Normal 3 2"/>
    <tableColumn id="40" xr3:uid="{570E66C5-ACBB-4E21-A3BA-EE402ABF1BBB}" name="TCA Eng JR" dataDxfId="79" dataCellStyle="Normal 3 2">
      <calculatedColumnFormula>'Rates Sheet'!D7</calculatedColumnFormula>
    </tableColumn>
    <tableColumn id="41" xr3:uid="{AC9ECDBA-EE3B-4A4F-96C3-F8D4D9F6DA98}" name="TCA Eng INT" dataDxfId="78" dataCellStyle="Normal 3 2">
      <calculatedColumnFormula>'Rates Sheet'!E7</calculatedColumnFormula>
    </tableColumn>
    <tableColumn id="42" xr3:uid="{AB412290-69E4-4D65-AB8C-DC5D8880111B}" name="TCA Eng SR" dataDxfId="77" dataCellStyle="Normal 3 2">
      <calculatedColumnFormula>'Rates Sheet'!F7</calculatedColumnFormula>
    </tableColumn>
    <tableColumn id="76" xr3:uid="{DECC59AE-0F77-4F03-A365-5330E2AEF103}" name="TCA Eng LD" dataDxfId="76" dataCellStyle="Normal 3 2">
      <calculatedColumnFormula>'Rates Sheet'!G7</calculatedColumnFormula>
    </tableColumn>
    <tableColumn id="77" xr3:uid="{DC9EA475-9DAD-4746-9A55-69C07E3B7330}" name="TCA Eng SP" dataDxfId="75" dataCellStyle="Normal 3 2">
      <calculatedColumnFormula>'Rates Sheet'!H7</calculatedColumnFormula>
    </tableColumn>
    <tableColumn id="78" xr3:uid="{EDFC2F0D-3BB8-4C5F-97D1-A2F62D3895E7}" name="TCA Eng SME" dataDxfId="74" dataCellStyle="Normal 3 2">
      <calculatedColumnFormula>'Rates Sheet'!I7</calculatedColumnFormula>
    </tableColumn>
    <tableColumn id="109" xr3:uid="{BF818A27-0FEB-4F83-B8B8-D3B22B578D54}" name="CSAEng EIT" dataDxfId="73" dataCellStyle="Normal 3 2"/>
    <tableColumn id="84" xr3:uid="{EDF97478-FC20-46A9-A795-3374FD2C4C23}" name="CSAEng JR" dataDxfId="72" dataCellStyle="Normal 3 2"/>
    <tableColumn id="85" xr3:uid="{0FCA40C2-F918-436B-B4B3-8957A8A1D868}" name="CSAEng INT" dataDxfId="71" dataCellStyle="Normal 3 2"/>
    <tableColumn id="86" xr3:uid="{4F2BA112-72BF-4737-89E5-30F8750D8E55}" name="CSAEng SR" dataDxfId="70" dataCellStyle="Normal 3 2"/>
    <tableColumn id="87" xr3:uid="{1962C15C-E52D-477B-A188-FC3F163B3070}" name="CSAEng LD" dataDxfId="69" dataCellStyle="Normal 3 2"/>
    <tableColumn id="88" xr3:uid="{F8695CDD-FCA2-4D86-8AD4-DB87311115FF}" name="CSAEng SP" dataDxfId="68" dataCellStyle="Normal 3 2"/>
    <tableColumn id="89" xr3:uid="{538A5786-6D00-4CA4-B311-EAF79B25BBF4}" name="CSAEng SME" dataDxfId="67" dataCellStyle="Normal 3 2"/>
    <tableColumn id="111" xr3:uid="{F7315ED3-FC40-498C-9F83-2CCD32FE3DE4}" name="ETech TRN" dataDxfId="66" dataCellStyle="Normal 3 2"/>
    <tableColumn id="112" xr3:uid="{F9688425-18AB-4379-A1A7-A27256F17AE8}" name="ETech JR" dataDxfId="65" dataCellStyle="Normal 3 2"/>
    <tableColumn id="113" xr3:uid="{A103AA8A-D36A-478A-BC00-73D5171FA219}" name="ETech INT" dataDxfId="64" dataCellStyle="Normal 3 2"/>
    <tableColumn id="114" xr3:uid="{92550ABD-58F4-41C3-91CC-BC3B816F72B7}" name="ETech SR" dataDxfId="63" dataCellStyle="Normal 3 2"/>
    <tableColumn id="115" xr3:uid="{82238B9C-3F86-4DFC-8A94-F7C3E83DF79E}" name="ETech LD" dataDxfId="62" dataCellStyle="Normal 3 2"/>
    <tableColumn id="116" xr3:uid="{94F88BBB-A00B-474B-A475-747E2F2D77BB}" name="ETech SP" dataDxfId="61" dataCellStyle="Normal 3 2"/>
    <tableColumn id="117" xr3:uid="{D867E664-D662-4B9E-AF00-2E927655A694}" name="ETech SME" dataDxfId="60" dataCellStyle="Normal 3 2"/>
    <tableColumn id="118" xr3:uid="{85401822-1C82-40A4-B94F-2D848CAB93FD}" name="ICTech TRN" dataDxfId="59" dataCellStyle="Normal 3 2"/>
    <tableColumn id="119" xr3:uid="{598EF6C2-6536-48C6-8480-9B5050ED4639}" name="ICTech JR" dataDxfId="58" dataCellStyle="Normal 3 2"/>
    <tableColumn id="120" xr3:uid="{16F9D741-CDF2-44B2-A9B6-48D10D986264}" name="ICTech INT" dataDxfId="57" dataCellStyle="Normal 3 2"/>
    <tableColumn id="121" xr3:uid="{F329BD59-A389-4D2F-9A1C-51BE22800DD0}" name="ICTech SR" dataDxfId="56" dataCellStyle="Normal 3 2"/>
    <tableColumn id="122" xr3:uid="{771BB464-ADE1-41D1-BD77-426E0E76DDCE}" name="ICTech LD" dataDxfId="55" dataCellStyle="Normal 3 2"/>
    <tableColumn id="123" xr3:uid="{4FF7B9D8-CD7E-4871-A67F-C4EBB30E3DBE}" name="ICTech SP" dataDxfId="54" dataCellStyle="Normal 3 2"/>
    <tableColumn id="124" xr3:uid="{CB30D055-5615-4381-B6C5-5788D050D037}" name="ICTech SME" dataDxfId="53" dataCellStyle="Normal 3 2"/>
    <tableColumn id="139" xr3:uid="{C6DA9A60-B304-411D-87B7-D30B1DD14058}" name="TCATech TRN" dataDxfId="52" dataCellStyle="Normal 3 2"/>
    <tableColumn id="140" xr3:uid="{EE1495CB-B56E-4C55-8023-0AAC445C51AD}" name="TCATech JR" dataDxfId="51" dataCellStyle="Normal 3 2"/>
    <tableColumn id="141" xr3:uid="{ADA22327-051F-42AC-9BFD-F0612330D7CB}" name="TCATech INT" dataDxfId="50" dataCellStyle="Normal 3 2"/>
    <tableColumn id="142" xr3:uid="{0AFC1FE4-FF29-4728-A497-C4C5D854D4A7}" name="TCATech SR" dataDxfId="49" dataCellStyle="Normal 3 2"/>
    <tableColumn id="143" xr3:uid="{C8A30D45-C85D-41A2-958F-74D7A45E19D2}" name="TCATech LD" dataDxfId="48" dataCellStyle="Normal 3 2"/>
    <tableColumn id="144" xr3:uid="{17B00CE9-7424-4F8C-82A4-289B95EC01D5}" name="TCATech SP" dataDxfId="47" dataCellStyle="Normal 3 2"/>
    <tableColumn id="145" xr3:uid="{8C56E2DE-8357-4270-9033-CF303DF9D263}" name="TCATech SME" dataDxfId="46" dataCellStyle="Normal 3 2"/>
    <tableColumn id="146" xr3:uid="{D3479698-B3CB-4EC6-AECA-59D513104879}" name="PPDrf  TRN" dataDxfId="45" dataCellStyle="Normal 3 2"/>
    <tableColumn id="147" xr3:uid="{A3E01E61-B085-4AAC-94AB-8AE47B89831A}" name="PPDrf  JR" dataDxfId="44" dataCellStyle="Normal 3 2"/>
    <tableColumn id="148" xr3:uid="{05CE8A15-1AF8-4FAB-A8B5-D79D0AA539F7}" name="PPDrf  INT" dataDxfId="43" dataCellStyle="Normal 3 2"/>
    <tableColumn id="149" xr3:uid="{B196AEAF-B361-407B-9074-E7EC1F950FF4}" name="PPDrf  SR" dataDxfId="42" dataCellStyle="Normal 3 2"/>
    <tableColumn id="150" xr3:uid="{A0DACCFB-C126-47B7-88B0-A8B0763FE3E1}" name="PPDrf  LD" dataDxfId="41" dataCellStyle="Normal 3 2"/>
    <tableColumn id="151" xr3:uid="{372D0B09-BCA7-4C91-96C3-DA7495B84AF9}" name="PPDrf  SP" dataDxfId="40" dataCellStyle="Normal 3 2"/>
    <tableColumn id="158" xr3:uid="{63468003-F5A5-4E45-BD95-DDAAFA6E5CB4}" name="EICTDrf  TRN" dataDxfId="39" dataCellStyle="Normal 3 2"/>
    <tableColumn id="159" xr3:uid="{FADF3529-7F80-42CD-BD0A-35910C7724B3}" name="EICTDrf  JR" dataDxfId="38" dataCellStyle="Normal 3 2"/>
    <tableColumn id="160" xr3:uid="{20840437-506E-4F3D-8793-AA4B7EEA3976}" name="EICTDrf  INT" dataDxfId="37" dataCellStyle="Normal 3 2"/>
    <tableColumn id="161" xr3:uid="{211EC4EF-0139-4D4B-8AAA-518EE75B74BF}" name="EICTDrf  SR" dataDxfId="36" dataCellStyle="Normal 3 2"/>
    <tableColumn id="162" xr3:uid="{A2ED1CC9-1608-4F77-AEDE-C4A73194C0A5}" name="EICTDrf  LD" dataDxfId="35" dataCellStyle="Normal 3 2"/>
    <tableColumn id="163" xr3:uid="{D2B35F16-26B8-465A-BDCC-E64470D1DB93}" name="EICTDrf  SP" dataDxfId="34" dataCellStyle="Normal 3 2"/>
    <tableColumn id="176" xr3:uid="{893BF44C-DBBA-46FD-8227-F7BE0DDC4DE1}" name="CSADrf  TRN" dataDxfId="33" dataCellStyle="Normal 3 2"/>
    <tableColumn id="177" xr3:uid="{135EF9C8-7220-4227-81C3-8856E025E4B4}" name="CSADrf  JR" dataDxfId="32" dataCellStyle="Normal 3 2"/>
    <tableColumn id="178" xr3:uid="{90D4A5A4-0916-421F-AFB6-73BCD3803ED1}" name="CSADrf  INT" dataDxfId="31" dataCellStyle="Normal 3 2"/>
    <tableColumn id="179" xr3:uid="{D999693C-9D48-452A-9724-2AE652BBA974}" name="CSADrf  SR" dataDxfId="30" dataCellStyle="Normal 3 2"/>
    <tableColumn id="180" xr3:uid="{EE2CFB33-3B74-4434-A9A0-96E3223E4D0F}" name="CSADrf  LD" dataDxfId="29" dataCellStyle="Normal 3 2"/>
    <tableColumn id="181" xr3:uid="{E479C26A-4202-4104-B826-DFA3C36E30C6}" name="CSADrf  SP" dataDxfId="28" dataCellStyle="Normal 3 2"/>
    <tableColumn id="188" xr3:uid="{D4878EEB-9D8F-43CF-808B-FBFC1AC3D036}" name="SC Proc TRN" dataDxfId="27" dataCellStyle="Normal 3 2"/>
    <tableColumn id="189" xr3:uid="{A8CEA8E0-AAE5-4D0D-AEB5-0D94205DE233}" name="SC Proc JR" dataDxfId="26" dataCellStyle="Normal 3 2"/>
    <tableColumn id="190" xr3:uid="{AC8553F8-65A2-458C-B5AD-8507B7A199DE}" name="SC Proc INT" dataDxfId="25" dataCellStyle="Normal 3 2"/>
    <tableColumn id="191" xr3:uid="{BF8B7E4F-8083-4C79-A0E1-4663537C03CB}" name="SC Proc SR" dataDxfId="24" dataCellStyle="Normal 3 2"/>
    <tableColumn id="192" xr3:uid="{8371E7E2-BAFA-43E7-8158-27513BCABD98}" name="SC Proc LD" dataDxfId="23" dataCellStyle="Normal 3 2"/>
    <tableColumn id="193" xr3:uid="{67A5F606-B62B-4D2B-A746-E4980665DBD6}" name="SC Cont TRN" dataDxfId="22" dataCellStyle="Normal 3 2"/>
    <tableColumn id="194" xr3:uid="{6310968F-48A6-4C5B-8F6A-51550A2C0D4E}" name="SC Cont JR" dataDxfId="21" dataCellStyle="Normal 3 2"/>
    <tableColumn id="195" xr3:uid="{CCFAFAF1-90A9-4B0E-94E9-0504B99E8FA9}" name="SC Cont INT" dataDxfId="20" dataCellStyle="Normal 3 2"/>
    <tableColumn id="196" xr3:uid="{F70DD159-3B67-4ED5-BF95-4F7B868FCE49}" name="SC Cont SR" dataDxfId="19" dataCellStyle="Normal 3 2"/>
    <tableColumn id="197" xr3:uid="{6B9F2ECF-F5B1-48FC-9AA8-8CDC2E07D7F1}" name="SC Cont LD" dataDxfId="18" dataCellStyle="Normal 3 2"/>
    <tableColumn id="96" xr3:uid="{1670555B-08B2-49C8-BF35-ABB922A6BAC8}" name="COST LINE" dataDxfId="17" dataCellStyle="Good"/>
    <tableColumn id="33" xr3:uid="{5F4D81C7-3F50-497E-A0E8-AA9AD3C78807}" name="18.1 Airfares" dataDxfId="16" dataCellStyle="Normal 3 2"/>
    <tableColumn id="34" xr3:uid="{8EE1143B-11F2-4A31-80F1-BF91F584134D}" name="18.2 Auto Rental" dataDxfId="15" dataCellStyle="Normal 3 2"/>
    <tableColumn id="35" xr3:uid="{26FD07F3-0C2C-4C43-A025-BE5EF2BC4DB1}" name="18.3 Auto Mileage" dataDxfId="14" dataCellStyle="Normal 3 2"/>
    <tableColumn id="36" xr3:uid="{7DBF0CB1-BC09-4814-95FB-87018FE893A2}" name="18.4 Accommodations" dataDxfId="13" dataCellStyle="Normal 3 2"/>
    <tableColumn id="37" xr3:uid="{6093527D-7CA0-492F-8759-89AEF34F3F34}" name="18.5 Meals" dataDxfId="12" dataCellStyle="Normal 3 2"/>
    <tableColumn id="38" xr3:uid="{7CD395B8-A0C3-4E84-B56F-3085F9C16191}" name="18.6 Misc. Travel Expenses" dataDxfId="11" dataCellStyle="Normal 3 2"/>
    <tableColumn id="39" xr3:uid="{D91F1C4A-9109-4D9C-AF15-537C1BC2BC69}" name="18.7 Courier" dataDxfId="10" dataCellStyle="Normal 3 2"/>
    <tableColumn id="79" xr3:uid="{97F31FDC-6D98-4E3D-A37D-1AE19016B6CD}" name="17.2 ETAP" dataDxfId="9" dataCellStyle="Normal 3 2"/>
    <tableColumn id="80" xr3:uid="{295081F3-3594-483B-98E4-AC657678BA3E}" name="17.3 Arc Flash per Label" dataDxfId="8" dataCellStyle="Normal 3 2"/>
    <tableColumn id="81" xr3:uid="{9FE52464-C778-4540-99A6-8A2A93D5DE1E}" name="17.4 SmartPlant" dataDxfId="7" dataCellStyle="Normal 3 2"/>
    <tableColumn id="82" xr3:uid="{DCB61D55-14B6-4D21-935F-A69191A08004}" name="17.5 Pathloss" dataDxfId="6" dataCellStyle="Normal 3 2"/>
    <tableColumn id="90" xr3:uid="{5265780D-B016-40B7-B94A-4C10B39B5D82}" name="17.6 Unisim" dataDxfId="5" dataCellStyle="Normal 3 2"/>
    <tableColumn id="91" xr3:uid="{0F48A560-5727-4F1C-8A77-B0F539B83AEC}" name="17.7 TCA Bundle" dataDxfId="4" dataCellStyle="Normal 3 2"/>
    <tableColumn id="92" xr3:uid="{844836DB-0FA7-49C2-B75F-97A513B697EF}" name="19.32 TPSC Mech Stress" dataDxfId="3" dataCellStyle="Normal 3 2"/>
    <tableColumn id="93" xr3:uid="{661F1056-CCFB-499A-9C6E-DD37CEACA681}" name="19.41 TPSC PP Model" dataDxfId="2" dataCellStyle="Normal 3 2"/>
    <tableColumn id="94" xr3:uid="{40894122-5031-4773-A900-A15788624BBC}" name="19.35 TPSC TCA Programming" dataDxfId="1" dataCellStyle="Normal 3 2"/>
    <tableColumn id="95" xr3:uid="{330304FC-284B-4A42-B661-E0DDF486241E}" name="19.36 TPSC CSA" dataDxfId="0" dataCellStyle="Normal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99" Type="http://schemas.openxmlformats.org/officeDocument/2006/relationships/image" Target="../media/image146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6.emf"/><Relationship Id="rId324" Type="http://schemas.openxmlformats.org/officeDocument/2006/relationships/control" Target="../activeX/activeX163.xml"/><Relationship Id="rId366" Type="http://schemas.openxmlformats.org/officeDocument/2006/relationships/control" Target="../activeX/activeX184.xml"/><Relationship Id="rId170" Type="http://schemas.openxmlformats.org/officeDocument/2006/relationships/control" Target="../activeX/activeX86.xml"/><Relationship Id="rId226" Type="http://schemas.openxmlformats.org/officeDocument/2006/relationships/control" Target="../activeX/activeX114.xml"/><Relationship Id="rId107" Type="http://schemas.openxmlformats.org/officeDocument/2006/relationships/image" Target="../media/image50.emf"/><Relationship Id="rId268" Type="http://schemas.openxmlformats.org/officeDocument/2006/relationships/control" Target="../activeX/activeX135.xml"/><Relationship Id="rId289" Type="http://schemas.openxmlformats.org/officeDocument/2006/relationships/image" Target="../media/image141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5.xml"/><Relationship Id="rId149" Type="http://schemas.openxmlformats.org/officeDocument/2006/relationships/image" Target="../media/image71.emf"/><Relationship Id="rId314" Type="http://schemas.openxmlformats.org/officeDocument/2006/relationships/control" Target="../activeX/activeX158.xml"/><Relationship Id="rId335" Type="http://schemas.openxmlformats.org/officeDocument/2006/relationships/image" Target="../media/image164.emf"/><Relationship Id="rId356" Type="http://schemas.openxmlformats.org/officeDocument/2006/relationships/control" Target="../activeX/activeX179.xml"/><Relationship Id="rId377" Type="http://schemas.openxmlformats.org/officeDocument/2006/relationships/image" Target="../media/image185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1.xml"/><Relationship Id="rId181" Type="http://schemas.openxmlformats.org/officeDocument/2006/relationships/image" Target="../media/image87.emf"/><Relationship Id="rId216" Type="http://schemas.openxmlformats.org/officeDocument/2006/relationships/control" Target="../activeX/activeX109.xml"/><Relationship Id="rId237" Type="http://schemas.openxmlformats.org/officeDocument/2006/relationships/image" Target="../media/image115.emf"/><Relationship Id="rId258" Type="http://schemas.openxmlformats.org/officeDocument/2006/relationships/control" Target="../activeX/activeX130.xml"/><Relationship Id="rId279" Type="http://schemas.openxmlformats.org/officeDocument/2006/relationships/image" Target="../media/image136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60.xml"/><Relationship Id="rId139" Type="http://schemas.openxmlformats.org/officeDocument/2006/relationships/image" Target="../media/image66.emf"/><Relationship Id="rId290" Type="http://schemas.openxmlformats.org/officeDocument/2006/relationships/control" Target="../activeX/activeX146.xml"/><Relationship Id="rId304" Type="http://schemas.openxmlformats.org/officeDocument/2006/relationships/control" Target="../activeX/activeX153.xml"/><Relationship Id="rId325" Type="http://schemas.openxmlformats.org/officeDocument/2006/relationships/image" Target="../media/image159.emf"/><Relationship Id="rId346" Type="http://schemas.openxmlformats.org/officeDocument/2006/relationships/control" Target="../activeX/activeX174.xml"/><Relationship Id="rId367" Type="http://schemas.openxmlformats.org/officeDocument/2006/relationships/image" Target="../media/image180.emf"/><Relationship Id="rId388" Type="http://schemas.openxmlformats.org/officeDocument/2006/relationships/control" Target="../activeX/activeX195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6.xml"/><Relationship Id="rId171" Type="http://schemas.openxmlformats.org/officeDocument/2006/relationships/image" Target="../media/image82.emf"/><Relationship Id="rId192" Type="http://schemas.openxmlformats.org/officeDocument/2006/relationships/control" Target="../activeX/activeX97.xml"/><Relationship Id="rId206" Type="http://schemas.openxmlformats.org/officeDocument/2006/relationships/control" Target="../activeX/activeX104.xml"/><Relationship Id="rId227" Type="http://schemas.openxmlformats.org/officeDocument/2006/relationships/image" Target="../media/image110.emf"/><Relationship Id="rId248" Type="http://schemas.openxmlformats.org/officeDocument/2006/relationships/control" Target="../activeX/activeX125.xml"/><Relationship Id="rId269" Type="http://schemas.openxmlformats.org/officeDocument/2006/relationships/image" Target="../media/image131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1.emf"/><Relationship Id="rId280" Type="http://schemas.openxmlformats.org/officeDocument/2006/relationships/control" Target="../activeX/activeX141.xml"/><Relationship Id="rId315" Type="http://schemas.openxmlformats.org/officeDocument/2006/relationships/image" Target="../media/image154.emf"/><Relationship Id="rId336" Type="http://schemas.openxmlformats.org/officeDocument/2006/relationships/control" Target="../activeX/activeX169.xml"/><Relationship Id="rId357" Type="http://schemas.openxmlformats.org/officeDocument/2006/relationships/image" Target="../media/image175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image" Target="../media/image45.emf"/><Relationship Id="rId140" Type="http://schemas.openxmlformats.org/officeDocument/2006/relationships/control" Target="../activeX/activeX71.xml"/><Relationship Id="rId161" Type="http://schemas.openxmlformats.org/officeDocument/2006/relationships/image" Target="../media/image77.emf"/><Relationship Id="rId182" Type="http://schemas.openxmlformats.org/officeDocument/2006/relationships/control" Target="../activeX/activeX92.xml"/><Relationship Id="rId217" Type="http://schemas.openxmlformats.org/officeDocument/2006/relationships/image" Target="../media/image105.emf"/><Relationship Id="rId378" Type="http://schemas.openxmlformats.org/officeDocument/2006/relationships/control" Target="../activeX/activeX190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20.xml"/><Relationship Id="rId259" Type="http://schemas.openxmlformats.org/officeDocument/2006/relationships/image" Target="../media/image126.emf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270" Type="http://schemas.openxmlformats.org/officeDocument/2006/relationships/control" Target="../activeX/activeX136.xml"/><Relationship Id="rId291" Type="http://schemas.openxmlformats.org/officeDocument/2006/relationships/image" Target="../media/image142.emf"/><Relationship Id="rId305" Type="http://schemas.openxmlformats.org/officeDocument/2006/relationships/image" Target="../media/image149.emf"/><Relationship Id="rId326" Type="http://schemas.openxmlformats.org/officeDocument/2006/relationships/control" Target="../activeX/activeX164.xml"/><Relationship Id="rId347" Type="http://schemas.openxmlformats.org/officeDocument/2006/relationships/image" Target="../media/image170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6.xml"/><Relationship Id="rId151" Type="http://schemas.openxmlformats.org/officeDocument/2006/relationships/image" Target="../media/image72.emf"/><Relationship Id="rId368" Type="http://schemas.openxmlformats.org/officeDocument/2006/relationships/control" Target="../activeX/activeX185.xml"/><Relationship Id="rId389" Type="http://schemas.openxmlformats.org/officeDocument/2006/relationships/image" Target="../media/image191.emf"/><Relationship Id="rId172" Type="http://schemas.openxmlformats.org/officeDocument/2006/relationships/control" Target="../activeX/activeX87.xml"/><Relationship Id="rId193" Type="http://schemas.openxmlformats.org/officeDocument/2006/relationships/image" Target="../media/image93.emf"/><Relationship Id="rId207" Type="http://schemas.openxmlformats.org/officeDocument/2006/relationships/image" Target="../media/image100.emf"/><Relationship Id="rId228" Type="http://schemas.openxmlformats.org/officeDocument/2006/relationships/control" Target="../activeX/activeX115.xml"/><Relationship Id="rId249" Type="http://schemas.openxmlformats.org/officeDocument/2006/relationships/image" Target="../media/image121.emf"/><Relationship Id="rId13" Type="http://schemas.openxmlformats.org/officeDocument/2006/relationships/image" Target="../media/image5.emf"/><Relationship Id="rId109" Type="http://schemas.openxmlformats.org/officeDocument/2006/relationships/image" Target="../media/image51.emf"/><Relationship Id="rId260" Type="http://schemas.openxmlformats.org/officeDocument/2006/relationships/control" Target="../activeX/activeX131.xml"/><Relationship Id="rId281" Type="http://schemas.openxmlformats.org/officeDocument/2006/relationships/image" Target="../media/image137.emf"/><Relationship Id="rId316" Type="http://schemas.openxmlformats.org/officeDocument/2006/relationships/control" Target="../activeX/activeX159.xml"/><Relationship Id="rId337" Type="http://schemas.openxmlformats.org/officeDocument/2006/relationships/image" Target="../media/image165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control" Target="../activeX/activeX49.xml"/><Relationship Id="rId120" Type="http://schemas.openxmlformats.org/officeDocument/2006/relationships/control" Target="../activeX/activeX61.xml"/><Relationship Id="rId141" Type="http://schemas.openxmlformats.org/officeDocument/2006/relationships/image" Target="../media/image67.emf"/><Relationship Id="rId358" Type="http://schemas.openxmlformats.org/officeDocument/2006/relationships/control" Target="../activeX/activeX180.xml"/><Relationship Id="rId379" Type="http://schemas.openxmlformats.org/officeDocument/2006/relationships/image" Target="../media/image186.emf"/><Relationship Id="rId7" Type="http://schemas.openxmlformats.org/officeDocument/2006/relationships/image" Target="../media/image2.emf"/><Relationship Id="rId162" Type="http://schemas.openxmlformats.org/officeDocument/2006/relationships/control" Target="../activeX/activeX82.xml"/><Relationship Id="rId183" Type="http://schemas.openxmlformats.org/officeDocument/2006/relationships/image" Target="../media/image88.emf"/><Relationship Id="rId218" Type="http://schemas.openxmlformats.org/officeDocument/2006/relationships/control" Target="../activeX/activeX110.xml"/><Relationship Id="rId239" Type="http://schemas.openxmlformats.org/officeDocument/2006/relationships/image" Target="../media/image116.emf"/><Relationship Id="rId390" Type="http://schemas.openxmlformats.org/officeDocument/2006/relationships/control" Target="../activeX/activeX196.xml"/><Relationship Id="rId250" Type="http://schemas.openxmlformats.org/officeDocument/2006/relationships/control" Target="../activeX/activeX126.xml"/><Relationship Id="rId271" Type="http://schemas.openxmlformats.org/officeDocument/2006/relationships/image" Target="../media/image132.emf"/><Relationship Id="rId292" Type="http://schemas.openxmlformats.org/officeDocument/2006/relationships/control" Target="../activeX/activeX147.xml"/><Relationship Id="rId306" Type="http://schemas.openxmlformats.org/officeDocument/2006/relationships/control" Target="../activeX/activeX154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ontrol" Target="../activeX/activeX43.xml"/><Relationship Id="rId110" Type="http://schemas.openxmlformats.org/officeDocument/2006/relationships/control" Target="../activeX/activeX56.xml"/><Relationship Id="rId131" Type="http://schemas.openxmlformats.org/officeDocument/2006/relationships/image" Target="../media/image62.emf"/><Relationship Id="rId327" Type="http://schemas.openxmlformats.org/officeDocument/2006/relationships/image" Target="../media/image160.emf"/><Relationship Id="rId348" Type="http://schemas.openxmlformats.org/officeDocument/2006/relationships/control" Target="../activeX/activeX175.xml"/><Relationship Id="rId369" Type="http://schemas.openxmlformats.org/officeDocument/2006/relationships/image" Target="../media/image181.emf"/><Relationship Id="rId152" Type="http://schemas.openxmlformats.org/officeDocument/2006/relationships/control" Target="../activeX/activeX77.xml"/><Relationship Id="rId173" Type="http://schemas.openxmlformats.org/officeDocument/2006/relationships/image" Target="../media/image83.emf"/><Relationship Id="rId194" Type="http://schemas.openxmlformats.org/officeDocument/2006/relationships/control" Target="../activeX/activeX98.xml"/><Relationship Id="rId208" Type="http://schemas.openxmlformats.org/officeDocument/2006/relationships/control" Target="../activeX/activeX105.xml"/><Relationship Id="rId229" Type="http://schemas.openxmlformats.org/officeDocument/2006/relationships/image" Target="../media/image111.emf"/><Relationship Id="rId380" Type="http://schemas.openxmlformats.org/officeDocument/2006/relationships/control" Target="../activeX/activeX191.xml"/><Relationship Id="rId240" Type="http://schemas.openxmlformats.org/officeDocument/2006/relationships/control" Target="../activeX/activeX121.xml"/><Relationship Id="rId261" Type="http://schemas.openxmlformats.org/officeDocument/2006/relationships/image" Target="../media/image127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51.xml"/><Relationship Id="rId282" Type="http://schemas.openxmlformats.org/officeDocument/2006/relationships/control" Target="../activeX/activeX142.xml"/><Relationship Id="rId317" Type="http://schemas.openxmlformats.org/officeDocument/2006/relationships/image" Target="../media/image155.emf"/><Relationship Id="rId338" Type="http://schemas.openxmlformats.org/officeDocument/2006/relationships/control" Target="../activeX/activeX170.xml"/><Relationship Id="rId359" Type="http://schemas.openxmlformats.org/officeDocument/2006/relationships/image" Target="../media/image176.emf"/><Relationship Id="rId8" Type="http://schemas.openxmlformats.org/officeDocument/2006/relationships/control" Target="../activeX/activeX3.xml"/><Relationship Id="rId98" Type="http://schemas.openxmlformats.org/officeDocument/2006/relationships/control" Target="../activeX/activeX50.xml"/><Relationship Id="rId121" Type="http://schemas.openxmlformats.org/officeDocument/2006/relationships/image" Target="../media/image57.emf"/><Relationship Id="rId142" Type="http://schemas.openxmlformats.org/officeDocument/2006/relationships/control" Target="../activeX/activeX72.xml"/><Relationship Id="rId163" Type="http://schemas.openxmlformats.org/officeDocument/2006/relationships/image" Target="../media/image78.emf"/><Relationship Id="rId184" Type="http://schemas.openxmlformats.org/officeDocument/2006/relationships/control" Target="../activeX/activeX93.xml"/><Relationship Id="rId219" Type="http://schemas.openxmlformats.org/officeDocument/2006/relationships/image" Target="../media/image106.emf"/><Relationship Id="rId370" Type="http://schemas.openxmlformats.org/officeDocument/2006/relationships/control" Target="../activeX/activeX186.xml"/><Relationship Id="rId391" Type="http://schemas.openxmlformats.org/officeDocument/2006/relationships/image" Target="../media/image192.emf"/><Relationship Id="rId230" Type="http://schemas.openxmlformats.org/officeDocument/2006/relationships/control" Target="../activeX/activeX116.xml"/><Relationship Id="rId251" Type="http://schemas.openxmlformats.org/officeDocument/2006/relationships/image" Target="../media/image122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7.xml"/><Relationship Id="rId293" Type="http://schemas.openxmlformats.org/officeDocument/2006/relationships/image" Target="../media/image143.emf"/><Relationship Id="rId307" Type="http://schemas.openxmlformats.org/officeDocument/2006/relationships/image" Target="../media/image150.emf"/><Relationship Id="rId328" Type="http://schemas.openxmlformats.org/officeDocument/2006/relationships/control" Target="../activeX/activeX165.xml"/><Relationship Id="rId349" Type="http://schemas.openxmlformats.org/officeDocument/2006/relationships/image" Target="../media/image171.emf"/><Relationship Id="rId88" Type="http://schemas.openxmlformats.org/officeDocument/2006/relationships/image" Target="../media/image42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7.xml"/><Relationship Id="rId153" Type="http://schemas.openxmlformats.org/officeDocument/2006/relationships/image" Target="../media/image73.emf"/><Relationship Id="rId174" Type="http://schemas.openxmlformats.org/officeDocument/2006/relationships/control" Target="../activeX/activeX88.xml"/><Relationship Id="rId195" Type="http://schemas.openxmlformats.org/officeDocument/2006/relationships/image" Target="../media/image94.emf"/><Relationship Id="rId209" Type="http://schemas.openxmlformats.org/officeDocument/2006/relationships/image" Target="../media/image101.emf"/><Relationship Id="rId360" Type="http://schemas.openxmlformats.org/officeDocument/2006/relationships/control" Target="../activeX/activeX181.xml"/><Relationship Id="rId381" Type="http://schemas.openxmlformats.org/officeDocument/2006/relationships/image" Target="../media/image187.emf"/><Relationship Id="rId220" Type="http://schemas.openxmlformats.org/officeDocument/2006/relationships/control" Target="../activeX/activeX111.xml"/><Relationship Id="rId241" Type="http://schemas.openxmlformats.org/officeDocument/2006/relationships/image" Target="../media/image117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2.xml"/><Relationship Id="rId283" Type="http://schemas.openxmlformats.org/officeDocument/2006/relationships/image" Target="../media/image138.emf"/><Relationship Id="rId318" Type="http://schemas.openxmlformats.org/officeDocument/2006/relationships/control" Target="../activeX/activeX160.xml"/><Relationship Id="rId339" Type="http://schemas.openxmlformats.org/officeDocument/2006/relationships/image" Target="../media/image166.emf"/><Relationship Id="rId78" Type="http://schemas.openxmlformats.org/officeDocument/2006/relationships/control" Target="../activeX/activeX3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2.xml"/><Relationship Id="rId143" Type="http://schemas.openxmlformats.org/officeDocument/2006/relationships/image" Target="../media/image68.emf"/><Relationship Id="rId164" Type="http://schemas.openxmlformats.org/officeDocument/2006/relationships/control" Target="../activeX/activeX83.xml"/><Relationship Id="rId185" Type="http://schemas.openxmlformats.org/officeDocument/2006/relationships/image" Target="../media/image89.emf"/><Relationship Id="rId350" Type="http://schemas.openxmlformats.org/officeDocument/2006/relationships/control" Target="../activeX/activeX176.xml"/><Relationship Id="rId371" Type="http://schemas.openxmlformats.org/officeDocument/2006/relationships/image" Target="../media/image182.emf"/><Relationship Id="rId9" Type="http://schemas.openxmlformats.org/officeDocument/2006/relationships/image" Target="../media/image3.emf"/><Relationship Id="rId210" Type="http://schemas.openxmlformats.org/officeDocument/2006/relationships/control" Target="../activeX/activeX106.xml"/><Relationship Id="rId392" Type="http://schemas.openxmlformats.org/officeDocument/2006/relationships/control" Target="../activeX/activeX197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2.emf"/><Relationship Id="rId252" Type="http://schemas.openxmlformats.org/officeDocument/2006/relationships/control" Target="../activeX/activeX127.xml"/><Relationship Id="rId273" Type="http://schemas.openxmlformats.org/officeDocument/2006/relationships/image" Target="../media/image133.emf"/><Relationship Id="rId294" Type="http://schemas.openxmlformats.org/officeDocument/2006/relationships/control" Target="../activeX/activeX148.xml"/><Relationship Id="rId308" Type="http://schemas.openxmlformats.org/officeDocument/2006/relationships/control" Target="../activeX/activeX155.xml"/><Relationship Id="rId329" Type="http://schemas.openxmlformats.org/officeDocument/2006/relationships/image" Target="../media/image161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control" Target="../activeX/activeX44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3.emf"/><Relationship Id="rId154" Type="http://schemas.openxmlformats.org/officeDocument/2006/relationships/control" Target="../activeX/activeX78.xml"/><Relationship Id="rId175" Type="http://schemas.openxmlformats.org/officeDocument/2006/relationships/image" Target="../media/image84.emf"/><Relationship Id="rId340" Type="http://schemas.openxmlformats.org/officeDocument/2006/relationships/control" Target="../activeX/activeX171.xml"/><Relationship Id="rId361" Type="http://schemas.openxmlformats.org/officeDocument/2006/relationships/image" Target="../media/image177.emf"/><Relationship Id="rId196" Type="http://schemas.openxmlformats.org/officeDocument/2006/relationships/control" Target="../activeX/activeX99.xml"/><Relationship Id="rId200" Type="http://schemas.openxmlformats.org/officeDocument/2006/relationships/control" Target="../activeX/activeX101.xml"/><Relationship Id="rId382" Type="http://schemas.openxmlformats.org/officeDocument/2006/relationships/control" Target="../activeX/activeX192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7.emf"/><Relationship Id="rId242" Type="http://schemas.openxmlformats.org/officeDocument/2006/relationships/control" Target="../activeX/activeX122.xml"/><Relationship Id="rId263" Type="http://schemas.openxmlformats.org/officeDocument/2006/relationships/image" Target="../media/image128.emf"/><Relationship Id="rId284" Type="http://schemas.openxmlformats.org/officeDocument/2006/relationships/control" Target="../activeX/activeX143.xml"/><Relationship Id="rId319" Type="http://schemas.openxmlformats.org/officeDocument/2006/relationships/image" Target="../media/image156.emf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2.xml"/><Relationship Id="rId123" Type="http://schemas.openxmlformats.org/officeDocument/2006/relationships/image" Target="../media/image58.emf"/><Relationship Id="rId144" Type="http://schemas.openxmlformats.org/officeDocument/2006/relationships/control" Target="../activeX/activeX73.xml"/><Relationship Id="rId330" Type="http://schemas.openxmlformats.org/officeDocument/2006/relationships/control" Target="../activeX/activeX166.xml"/><Relationship Id="rId90" Type="http://schemas.openxmlformats.org/officeDocument/2006/relationships/control" Target="../activeX/activeX45.xml"/><Relationship Id="rId165" Type="http://schemas.openxmlformats.org/officeDocument/2006/relationships/image" Target="../media/image79.emf"/><Relationship Id="rId186" Type="http://schemas.openxmlformats.org/officeDocument/2006/relationships/control" Target="../activeX/activeX94.xml"/><Relationship Id="rId351" Type="http://schemas.openxmlformats.org/officeDocument/2006/relationships/image" Target="../media/image172.emf"/><Relationship Id="rId372" Type="http://schemas.openxmlformats.org/officeDocument/2006/relationships/control" Target="../activeX/activeX187.xml"/><Relationship Id="rId393" Type="http://schemas.openxmlformats.org/officeDocument/2006/relationships/image" Target="../media/image193.emf"/><Relationship Id="rId211" Type="http://schemas.openxmlformats.org/officeDocument/2006/relationships/image" Target="../media/image102.emf"/><Relationship Id="rId232" Type="http://schemas.openxmlformats.org/officeDocument/2006/relationships/control" Target="../activeX/activeX117.xml"/><Relationship Id="rId253" Type="http://schemas.openxmlformats.org/officeDocument/2006/relationships/image" Target="../media/image123.emf"/><Relationship Id="rId274" Type="http://schemas.openxmlformats.org/officeDocument/2006/relationships/control" Target="../activeX/activeX138.xml"/><Relationship Id="rId295" Type="http://schemas.openxmlformats.org/officeDocument/2006/relationships/image" Target="../media/image144.emf"/><Relationship Id="rId309" Type="http://schemas.openxmlformats.org/officeDocument/2006/relationships/image" Target="../media/image151.emf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3.emf"/><Relationship Id="rId134" Type="http://schemas.openxmlformats.org/officeDocument/2006/relationships/control" Target="../activeX/activeX68.xml"/><Relationship Id="rId320" Type="http://schemas.openxmlformats.org/officeDocument/2006/relationships/control" Target="../activeX/activeX161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4.emf"/><Relationship Id="rId176" Type="http://schemas.openxmlformats.org/officeDocument/2006/relationships/control" Target="../activeX/activeX89.xml"/><Relationship Id="rId197" Type="http://schemas.openxmlformats.org/officeDocument/2006/relationships/image" Target="../media/image95.emf"/><Relationship Id="rId341" Type="http://schemas.openxmlformats.org/officeDocument/2006/relationships/image" Target="../media/image167.emf"/><Relationship Id="rId362" Type="http://schemas.openxmlformats.org/officeDocument/2006/relationships/control" Target="../activeX/activeX182.xml"/><Relationship Id="rId383" Type="http://schemas.openxmlformats.org/officeDocument/2006/relationships/image" Target="../media/image188.emf"/><Relationship Id="rId201" Type="http://schemas.openxmlformats.org/officeDocument/2006/relationships/image" Target="../media/image97.emf"/><Relationship Id="rId222" Type="http://schemas.openxmlformats.org/officeDocument/2006/relationships/control" Target="../activeX/activeX112.xml"/><Relationship Id="rId243" Type="http://schemas.openxmlformats.org/officeDocument/2006/relationships/image" Target="../media/image118.emf"/><Relationship Id="rId264" Type="http://schemas.openxmlformats.org/officeDocument/2006/relationships/control" Target="../activeX/activeX133.xml"/><Relationship Id="rId285" Type="http://schemas.openxmlformats.org/officeDocument/2006/relationships/image" Target="../media/image139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48.emf"/><Relationship Id="rId124" Type="http://schemas.openxmlformats.org/officeDocument/2006/relationships/control" Target="../activeX/activeX63.xml"/><Relationship Id="rId310" Type="http://schemas.openxmlformats.org/officeDocument/2006/relationships/control" Target="../activeX/activeX156.xml"/><Relationship Id="rId70" Type="http://schemas.openxmlformats.org/officeDocument/2006/relationships/control" Target="../activeX/activeX34.xml"/><Relationship Id="rId91" Type="http://schemas.openxmlformats.org/officeDocument/2006/relationships/image" Target="../media/image43.emf"/><Relationship Id="rId145" Type="http://schemas.openxmlformats.org/officeDocument/2006/relationships/image" Target="../media/image69.emf"/><Relationship Id="rId166" Type="http://schemas.openxmlformats.org/officeDocument/2006/relationships/control" Target="../activeX/activeX84.xml"/><Relationship Id="rId187" Type="http://schemas.openxmlformats.org/officeDocument/2006/relationships/image" Target="../media/image90.emf"/><Relationship Id="rId331" Type="http://schemas.openxmlformats.org/officeDocument/2006/relationships/image" Target="../media/image162.emf"/><Relationship Id="rId352" Type="http://schemas.openxmlformats.org/officeDocument/2006/relationships/control" Target="../activeX/activeX177.xml"/><Relationship Id="rId373" Type="http://schemas.openxmlformats.org/officeDocument/2006/relationships/image" Target="../media/image183.emf"/><Relationship Id="rId394" Type="http://schemas.openxmlformats.org/officeDocument/2006/relationships/control" Target="../activeX/activeX198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107.xml"/><Relationship Id="rId233" Type="http://schemas.openxmlformats.org/officeDocument/2006/relationships/image" Target="../media/image113.emf"/><Relationship Id="rId254" Type="http://schemas.openxmlformats.org/officeDocument/2006/relationships/control" Target="../activeX/activeX128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8.xml"/><Relationship Id="rId275" Type="http://schemas.openxmlformats.org/officeDocument/2006/relationships/image" Target="../media/image134.emf"/><Relationship Id="rId296" Type="http://schemas.openxmlformats.org/officeDocument/2006/relationships/control" Target="../activeX/activeX149.xml"/><Relationship Id="rId300" Type="http://schemas.openxmlformats.org/officeDocument/2006/relationships/control" Target="../activeX/activeX151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4.emf"/><Relationship Id="rId156" Type="http://schemas.openxmlformats.org/officeDocument/2006/relationships/control" Target="../activeX/activeX79.xml"/><Relationship Id="rId177" Type="http://schemas.openxmlformats.org/officeDocument/2006/relationships/image" Target="../media/image85.emf"/><Relationship Id="rId198" Type="http://schemas.openxmlformats.org/officeDocument/2006/relationships/control" Target="../activeX/activeX100.xml"/><Relationship Id="rId321" Type="http://schemas.openxmlformats.org/officeDocument/2006/relationships/image" Target="../media/image157.emf"/><Relationship Id="rId342" Type="http://schemas.openxmlformats.org/officeDocument/2006/relationships/control" Target="../activeX/activeX172.xml"/><Relationship Id="rId363" Type="http://schemas.openxmlformats.org/officeDocument/2006/relationships/image" Target="../media/image178.emf"/><Relationship Id="rId384" Type="http://schemas.openxmlformats.org/officeDocument/2006/relationships/control" Target="../activeX/activeX193.xml"/><Relationship Id="rId202" Type="http://schemas.openxmlformats.org/officeDocument/2006/relationships/control" Target="../activeX/activeX102.xml"/><Relationship Id="rId223" Type="http://schemas.openxmlformats.org/officeDocument/2006/relationships/image" Target="../media/image108.emf"/><Relationship Id="rId244" Type="http://schemas.openxmlformats.org/officeDocument/2006/relationships/control" Target="../activeX/activeX123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29.emf"/><Relationship Id="rId286" Type="http://schemas.openxmlformats.org/officeDocument/2006/relationships/control" Target="../activeX/activeX144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3.xml"/><Relationship Id="rId125" Type="http://schemas.openxmlformats.org/officeDocument/2006/relationships/image" Target="../media/image59.emf"/><Relationship Id="rId146" Type="http://schemas.openxmlformats.org/officeDocument/2006/relationships/control" Target="../activeX/activeX74.xml"/><Relationship Id="rId167" Type="http://schemas.openxmlformats.org/officeDocument/2006/relationships/image" Target="../media/image80.emf"/><Relationship Id="rId188" Type="http://schemas.openxmlformats.org/officeDocument/2006/relationships/control" Target="../activeX/activeX95.xml"/><Relationship Id="rId311" Type="http://schemas.openxmlformats.org/officeDocument/2006/relationships/image" Target="../media/image152.emf"/><Relationship Id="rId332" Type="http://schemas.openxmlformats.org/officeDocument/2006/relationships/control" Target="../activeX/activeX167.xml"/><Relationship Id="rId353" Type="http://schemas.openxmlformats.org/officeDocument/2006/relationships/image" Target="../media/image173.emf"/><Relationship Id="rId374" Type="http://schemas.openxmlformats.org/officeDocument/2006/relationships/control" Target="../activeX/activeX188.xml"/><Relationship Id="rId395" Type="http://schemas.openxmlformats.org/officeDocument/2006/relationships/image" Target="../media/image194.emf"/><Relationship Id="rId71" Type="http://schemas.openxmlformats.org/officeDocument/2006/relationships/image" Target="../media/image34.emf"/><Relationship Id="rId92" Type="http://schemas.openxmlformats.org/officeDocument/2006/relationships/control" Target="../activeX/activeX46.xml"/><Relationship Id="rId213" Type="http://schemas.openxmlformats.org/officeDocument/2006/relationships/image" Target="../media/image103.emf"/><Relationship Id="rId234" Type="http://schemas.openxmlformats.org/officeDocument/2006/relationships/control" Target="../activeX/activeX118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4.emf"/><Relationship Id="rId276" Type="http://schemas.openxmlformats.org/officeDocument/2006/relationships/control" Target="../activeX/activeX139.xml"/><Relationship Id="rId297" Type="http://schemas.openxmlformats.org/officeDocument/2006/relationships/image" Target="../media/image145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4.emf"/><Relationship Id="rId136" Type="http://schemas.openxmlformats.org/officeDocument/2006/relationships/control" Target="../activeX/activeX69.xml"/><Relationship Id="rId157" Type="http://schemas.openxmlformats.org/officeDocument/2006/relationships/image" Target="../media/image75.emf"/><Relationship Id="rId178" Type="http://schemas.openxmlformats.org/officeDocument/2006/relationships/control" Target="../activeX/activeX90.xml"/><Relationship Id="rId301" Type="http://schemas.openxmlformats.org/officeDocument/2006/relationships/image" Target="../media/image147.emf"/><Relationship Id="rId322" Type="http://schemas.openxmlformats.org/officeDocument/2006/relationships/control" Target="../activeX/activeX162.xml"/><Relationship Id="rId343" Type="http://schemas.openxmlformats.org/officeDocument/2006/relationships/image" Target="../media/image168.emf"/><Relationship Id="rId364" Type="http://schemas.openxmlformats.org/officeDocument/2006/relationships/control" Target="../activeX/activeX183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6.emf"/><Relationship Id="rId203" Type="http://schemas.openxmlformats.org/officeDocument/2006/relationships/image" Target="../media/image98.emf"/><Relationship Id="rId385" Type="http://schemas.openxmlformats.org/officeDocument/2006/relationships/image" Target="../media/image189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3.xml"/><Relationship Id="rId245" Type="http://schemas.openxmlformats.org/officeDocument/2006/relationships/image" Target="../media/image119.emf"/><Relationship Id="rId266" Type="http://schemas.openxmlformats.org/officeDocument/2006/relationships/control" Target="../activeX/activeX134.xml"/><Relationship Id="rId287" Type="http://schemas.openxmlformats.org/officeDocument/2006/relationships/image" Target="../media/image140.emf"/><Relationship Id="rId30" Type="http://schemas.openxmlformats.org/officeDocument/2006/relationships/control" Target="../activeX/activeX14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4.xml"/><Relationship Id="rId147" Type="http://schemas.openxmlformats.org/officeDocument/2006/relationships/image" Target="../media/image70.emf"/><Relationship Id="rId168" Type="http://schemas.openxmlformats.org/officeDocument/2006/relationships/control" Target="../activeX/activeX85.xml"/><Relationship Id="rId312" Type="http://schemas.openxmlformats.org/officeDocument/2006/relationships/control" Target="../activeX/activeX157.xml"/><Relationship Id="rId333" Type="http://schemas.openxmlformats.org/officeDocument/2006/relationships/image" Target="../media/image163.emf"/><Relationship Id="rId354" Type="http://schemas.openxmlformats.org/officeDocument/2006/relationships/control" Target="../activeX/activeX178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control" Target="../activeX/activeX47.xml"/><Relationship Id="rId189" Type="http://schemas.openxmlformats.org/officeDocument/2006/relationships/image" Target="../media/image91.emf"/><Relationship Id="rId375" Type="http://schemas.openxmlformats.org/officeDocument/2006/relationships/image" Target="../media/image184.emf"/><Relationship Id="rId396" Type="http://schemas.openxmlformats.org/officeDocument/2006/relationships/control" Target="../activeX/activeX199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8.xml"/><Relationship Id="rId235" Type="http://schemas.openxmlformats.org/officeDocument/2006/relationships/image" Target="../media/image114.emf"/><Relationship Id="rId256" Type="http://schemas.openxmlformats.org/officeDocument/2006/relationships/control" Target="../activeX/activeX129.xml"/><Relationship Id="rId277" Type="http://schemas.openxmlformats.org/officeDocument/2006/relationships/image" Target="../media/image135.emf"/><Relationship Id="rId298" Type="http://schemas.openxmlformats.org/officeDocument/2006/relationships/control" Target="../activeX/activeX150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5.emf"/><Relationship Id="rId158" Type="http://schemas.openxmlformats.org/officeDocument/2006/relationships/control" Target="../activeX/activeX80.xml"/><Relationship Id="rId302" Type="http://schemas.openxmlformats.org/officeDocument/2006/relationships/control" Target="../activeX/activeX152.xml"/><Relationship Id="rId323" Type="http://schemas.openxmlformats.org/officeDocument/2006/relationships/image" Target="../media/image158.emf"/><Relationship Id="rId344" Type="http://schemas.openxmlformats.org/officeDocument/2006/relationships/control" Target="../activeX/activeX17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6.emf"/><Relationship Id="rId365" Type="http://schemas.openxmlformats.org/officeDocument/2006/relationships/image" Target="../media/image179.emf"/><Relationship Id="rId386" Type="http://schemas.openxmlformats.org/officeDocument/2006/relationships/control" Target="../activeX/activeX194.xml"/><Relationship Id="rId190" Type="http://schemas.openxmlformats.org/officeDocument/2006/relationships/control" Target="../activeX/activeX96.xml"/><Relationship Id="rId204" Type="http://schemas.openxmlformats.org/officeDocument/2006/relationships/control" Target="../activeX/activeX103.xml"/><Relationship Id="rId225" Type="http://schemas.openxmlformats.org/officeDocument/2006/relationships/image" Target="../media/image109.emf"/><Relationship Id="rId246" Type="http://schemas.openxmlformats.org/officeDocument/2006/relationships/control" Target="../activeX/activeX124.xml"/><Relationship Id="rId267" Type="http://schemas.openxmlformats.org/officeDocument/2006/relationships/image" Target="../media/image130.emf"/><Relationship Id="rId288" Type="http://schemas.openxmlformats.org/officeDocument/2006/relationships/control" Target="../activeX/activeX145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60.emf"/><Relationship Id="rId313" Type="http://schemas.openxmlformats.org/officeDocument/2006/relationships/image" Target="../media/image153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image" Target="../media/image44.emf"/><Relationship Id="rId148" Type="http://schemas.openxmlformats.org/officeDocument/2006/relationships/control" Target="../activeX/activeX75.xml"/><Relationship Id="rId169" Type="http://schemas.openxmlformats.org/officeDocument/2006/relationships/image" Target="../media/image81.emf"/><Relationship Id="rId334" Type="http://schemas.openxmlformats.org/officeDocument/2006/relationships/control" Target="../activeX/activeX168.xml"/><Relationship Id="rId355" Type="http://schemas.openxmlformats.org/officeDocument/2006/relationships/image" Target="../media/image174.emf"/><Relationship Id="rId376" Type="http://schemas.openxmlformats.org/officeDocument/2006/relationships/control" Target="../activeX/activeX189.xml"/><Relationship Id="rId397" Type="http://schemas.openxmlformats.org/officeDocument/2006/relationships/image" Target="../media/image195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91.xml"/><Relationship Id="rId215" Type="http://schemas.openxmlformats.org/officeDocument/2006/relationships/image" Target="../media/image104.emf"/><Relationship Id="rId236" Type="http://schemas.openxmlformats.org/officeDocument/2006/relationships/control" Target="../activeX/activeX119.xml"/><Relationship Id="rId257" Type="http://schemas.openxmlformats.org/officeDocument/2006/relationships/image" Target="../media/image125.emf"/><Relationship Id="rId278" Type="http://schemas.openxmlformats.org/officeDocument/2006/relationships/control" Target="../activeX/activeX140.xml"/><Relationship Id="rId303" Type="http://schemas.openxmlformats.org/officeDocument/2006/relationships/image" Target="../media/image148.emf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70.xml"/><Relationship Id="rId345" Type="http://schemas.openxmlformats.org/officeDocument/2006/relationships/image" Target="../media/image169.emf"/><Relationship Id="rId387" Type="http://schemas.openxmlformats.org/officeDocument/2006/relationships/image" Target="../media/image190.emf"/><Relationship Id="rId191" Type="http://schemas.openxmlformats.org/officeDocument/2006/relationships/image" Target="../media/image92.emf"/><Relationship Id="rId205" Type="http://schemas.openxmlformats.org/officeDocument/2006/relationships/image" Target="../media/image99.emf"/><Relationship Id="rId247" Type="http://schemas.openxmlformats.org/officeDocument/2006/relationships/image" Target="../media/image120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C24A-1EDB-4B88-81F1-98D7E8FCC486}">
  <sheetPr codeName="Sheet2"/>
  <dimension ref="A1:C10"/>
  <sheetViews>
    <sheetView workbookViewId="0">
      <selection activeCell="A11" sqref="A11:XFD11"/>
    </sheetView>
    <sheetView workbookViewId="1"/>
  </sheetViews>
  <sheetFormatPr defaultRowHeight="14.25" x14ac:dyDescent="0.2"/>
  <cols>
    <col min="1" max="1" width="10.125" bestFit="1" customWidth="1"/>
    <col min="3" max="3" width="64.5" customWidth="1"/>
  </cols>
  <sheetData>
    <row r="1" spans="1:3" x14ac:dyDescent="0.2">
      <c r="A1" s="54" t="s">
        <v>229</v>
      </c>
      <c r="B1" s="54" t="s">
        <v>230</v>
      </c>
      <c r="C1" s="54" t="s">
        <v>231</v>
      </c>
    </row>
    <row r="2" spans="1:3" x14ac:dyDescent="0.2">
      <c r="A2" s="55">
        <v>45337</v>
      </c>
      <c r="B2" s="57" t="s">
        <v>234</v>
      </c>
      <c r="C2" s="56" t="s">
        <v>240</v>
      </c>
    </row>
    <row r="3" spans="1:3" x14ac:dyDescent="0.2">
      <c r="A3" s="55">
        <v>45363</v>
      </c>
      <c r="B3" s="57" t="s">
        <v>265</v>
      </c>
      <c r="C3" s="56" t="s">
        <v>267</v>
      </c>
    </row>
    <row r="4" spans="1:3" x14ac:dyDescent="0.2">
      <c r="A4" s="55">
        <v>45366</v>
      </c>
      <c r="B4" s="57" t="s">
        <v>266</v>
      </c>
      <c r="C4" s="56" t="s">
        <v>268</v>
      </c>
    </row>
    <row r="5" spans="1:3" x14ac:dyDescent="0.2">
      <c r="A5" s="55">
        <v>45376</v>
      </c>
      <c r="B5" s="57" t="s">
        <v>270</v>
      </c>
      <c r="C5" s="95" t="s">
        <v>269</v>
      </c>
    </row>
    <row r="6" spans="1:3" x14ac:dyDescent="0.2">
      <c r="A6" s="55">
        <v>45390</v>
      </c>
      <c r="B6" s="57" t="s">
        <v>272</v>
      </c>
      <c r="C6" s="56" t="s">
        <v>279</v>
      </c>
    </row>
    <row r="7" spans="1:3" x14ac:dyDescent="0.2">
      <c r="A7" s="55">
        <v>45402</v>
      </c>
      <c r="B7" s="57" t="s">
        <v>280</v>
      </c>
      <c r="C7" s="56" t="s">
        <v>281</v>
      </c>
    </row>
    <row r="8" spans="1:3" x14ac:dyDescent="0.2">
      <c r="A8" s="55">
        <v>45519</v>
      </c>
      <c r="B8" s="57" t="s">
        <v>471</v>
      </c>
      <c r="C8" s="56" t="s">
        <v>810</v>
      </c>
    </row>
    <row r="9" spans="1:3" x14ac:dyDescent="0.2">
      <c r="A9" s="55">
        <v>45540</v>
      </c>
      <c r="B9" s="57" t="s">
        <v>472</v>
      </c>
      <c r="C9" s="56" t="s">
        <v>811</v>
      </c>
    </row>
    <row r="10" spans="1:3" x14ac:dyDescent="0.2">
      <c r="A10" s="55">
        <v>45616</v>
      </c>
      <c r="B10" s="57" t="s">
        <v>473</v>
      </c>
      <c r="C10" s="56" t="s">
        <v>812</v>
      </c>
    </row>
  </sheetData>
  <sheetProtection selectLockedCells="1" selectUnlockedCells="1"/>
  <phoneticPr fontId="1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EBB14-083C-4CAE-AFE9-C2F22B7389AC}">
  <sheetPr codeName="Sheet4"/>
  <dimension ref="A1:K61"/>
  <sheetViews>
    <sheetView workbookViewId="0">
      <selection activeCell="B28" sqref="B28"/>
    </sheetView>
    <sheetView workbookViewId="1"/>
  </sheetViews>
  <sheetFormatPr defaultRowHeight="12.75" x14ac:dyDescent="0.2"/>
  <cols>
    <col min="1" max="1" width="9" style="179"/>
    <col min="2" max="2" width="32.375" style="180" bestFit="1" customWidth="1"/>
    <col min="3" max="16384" width="9" style="180"/>
  </cols>
  <sheetData>
    <row r="1" spans="1:11" x14ac:dyDescent="0.2">
      <c r="C1" s="180" t="s">
        <v>813</v>
      </c>
      <c r="D1" s="180" t="s">
        <v>814</v>
      </c>
      <c r="E1" s="180" t="s">
        <v>815</v>
      </c>
      <c r="F1" s="180" t="s">
        <v>816</v>
      </c>
      <c r="G1" s="180" t="s">
        <v>817</v>
      </c>
      <c r="H1" s="180" t="s">
        <v>818</v>
      </c>
      <c r="I1" s="180" t="s">
        <v>819</v>
      </c>
      <c r="J1" s="180" t="s">
        <v>820</v>
      </c>
      <c r="K1" s="180" t="s">
        <v>821</v>
      </c>
    </row>
    <row r="2" spans="1:11" ht="14.25" x14ac:dyDescent="0.2">
      <c r="A2" s="179" t="s">
        <v>822</v>
      </c>
      <c r="B2" s="181" t="s">
        <v>301</v>
      </c>
      <c r="C2" s="181" t="s">
        <v>823</v>
      </c>
      <c r="D2" s="182" t="s">
        <v>824</v>
      </c>
      <c r="E2" s="182" t="s">
        <v>825</v>
      </c>
      <c r="F2" s="182" t="s">
        <v>826</v>
      </c>
      <c r="G2" s="182" t="s">
        <v>827</v>
      </c>
      <c r="H2" s="182" t="s">
        <v>828</v>
      </c>
      <c r="I2" s="182" t="s">
        <v>829</v>
      </c>
      <c r="J2" s="182" t="s">
        <v>830</v>
      </c>
      <c r="K2" s="182" t="s">
        <v>831</v>
      </c>
    </row>
    <row r="3" spans="1:11" ht="14.25" x14ac:dyDescent="0.2">
      <c r="A3" s="179">
        <v>11</v>
      </c>
      <c r="B3" s="181" t="s">
        <v>832</v>
      </c>
      <c r="C3" s="181" t="s">
        <v>833</v>
      </c>
      <c r="D3" s="182">
        <v>60</v>
      </c>
      <c r="E3" s="182">
        <v>65</v>
      </c>
      <c r="F3" s="182">
        <v>80</v>
      </c>
      <c r="G3" s="182">
        <v>95</v>
      </c>
      <c r="H3" s="182"/>
      <c r="I3" s="182"/>
      <c r="J3" s="182"/>
      <c r="K3" s="182"/>
    </row>
    <row r="4" spans="1:11" ht="14.25" x14ac:dyDescent="0.2">
      <c r="A4" s="179">
        <v>12</v>
      </c>
      <c r="B4" s="181" t="s">
        <v>834</v>
      </c>
      <c r="C4" s="181" t="s">
        <v>835</v>
      </c>
      <c r="D4" s="182">
        <v>60</v>
      </c>
      <c r="E4" s="182">
        <v>65</v>
      </c>
      <c r="F4" s="182">
        <v>80</v>
      </c>
      <c r="G4" s="182">
        <v>100</v>
      </c>
      <c r="H4" s="182">
        <v>120</v>
      </c>
      <c r="I4" s="182"/>
      <c r="J4" s="182"/>
      <c r="K4" s="182"/>
    </row>
    <row r="5" spans="1:11" ht="14.25" x14ac:dyDescent="0.2">
      <c r="A5" s="179">
        <v>21</v>
      </c>
      <c r="B5" s="181" t="s">
        <v>836</v>
      </c>
      <c r="C5" s="181" t="s">
        <v>837</v>
      </c>
      <c r="D5" s="182"/>
      <c r="E5" s="182">
        <v>140</v>
      </c>
      <c r="F5" s="182">
        <v>165</v>
      </c>
      <c r="G5" s="182">
        <v>180</v>
      </c>
      <c r="H5" s="182">
        <v>195</v>
      </c>
      <c r="I5" s="182">
        <v>220</v>
      </c>
      <c r="J5" s="182">
        <v>240</v>
      </c>
      <c r="K5" s="182"/>
    </row>
    <row r="6" spans="1:11" ht="14.25" x14ac:dyDescent="0.2">
      <c r="A6" s="179">
        <v>22</v>
      </c>
      <c r="B6" s="181" t="s">
        <v>838</v>
      </c>
      <c r="C6" s="181" t="s">
        <v>839</v>
      </c>
      <c r="D6" s="182"/>
      <c r="E6" s="182">
        <v>120</v>
      </c>
      <c r="F6" s="182">
        <v>145</v>
      </c>
      <c r="G6" s="182">
        <v>160</v>
      </c>
      <c r="H6" s="182">
        <v>180</v>
      </c>
      <c r="I6" s="182"/>
      <c r="J6" s="182"/>
      <c r="K6" s="182"/>
    </row>
    <row r="7" spans="1:11" ht="14.25" x14ac:dyDescent="0.2">
      <c r="A7" s="179">
        <v>23</v>
      </c>
      <c r="B7" s="181" t="s">
        <v>840</v>
      </c>
      <c r="C7" s="181" t="s">
        <v>841</v>
      </c>
      <c r="D7" s="182">
        <v>105</v>
      </c>
      <c r="E7" s="182">
        <v>115</v>
      </c>
      <c r="F7" s="182">
        <v>130</v>
      </c>
      <c r="G7" s="182">
        <v>140</v>
      </c>
      <c r="H7" s="182">
        <v>150</v>
      </c>
      <c r="I7" s="182"/>
      <c r="J7" s="182"/>
      <c r="K7" s="182"/>
    </row>
    <row r="8" spans="1:11" ht="14.25" x14ac:dyDescent="0.2">
      <c r="A8" s="179">
        <v>24</v>
      </c>
      <c r="B8" s="181" t="s">
        <v>842</v>
      </c>
      <c r="C8" s="181" t="s">
        <v>843</v>
      </c>
      <c r="D8" s="182">
        <v>75</v>
      </c>
      <c r="E8" s="182">
        <v>110</v>
      </c>
      <c r="F8" s="182">
        <v>130</v>
      </c>
      <c r="G8" s="182">
        <v>140</v>
      </c>
      <c r="H8" s="182">
        <v>150</v>
      </c>
      <c r="I8" s="182">
        <v>160</v>
      </c>
      <c r="J8" s="182"/>
      <c r="K8" s="182"/>
    </row>
    <row r="9" spans="1:11" ht="14.25" x14ac:dyDescent="0.2">
      <c r="A9" s="179">
        <v>31</v>
      </c>
      <c r="B9" s="181" t="s">
        <v>844</v>
      </c>
      <c r="C9" s="181" t="s">
        <v>845</v>
      </c>
      <c r="D9" s="182">
        <v>110</v>
      </c>
      <c r="E9" s="182">
        <v>115</v>
      </c>
      <c r="F9" s="182">
        <v>140</v>
      </c>
      <c r="G9" s="182">
        <v>155</v>
      </c>
      <c r="H9" s="182">
        <v>175</v>
      </c>
      <c r="I9" s="182">
        <v>195</v>
      </c>
      <c r="J9" s="182">
        <v>230</v>
      </c>
      <c r="K9" s="182">
        <v>250</v>
      </c>
    </row>
    <row r="10" spans="1:11" ht="14.25" x14ac:dyDescent="0.2">
      <c r="A10" s="179">
        <v>32</v>
      </c>
      <c r="B10" s="181" t="s">
        <v>846</v>
      </c>
      <c r="C10" s="181" t="s">
        <v>847</v>
      </c>
      <c r="D10" s="182">
        <v>110</v>
      </c>
      <c r="E10" s="182">
        <v>115</v>
      </c>
      <c r="F10" s="182">
        <v>140</v>
      </c>
      <c r="G10" s="182">
        <v>155</v>
      </c>
      <c r="H10" s="182">
        <v>175</v>
      </c>
      <c r="I10" s="182">
        <v>195</v>
      </c>
      <c r="J10" s="182">
        <v>230</v>
      </c>
      <c r="K10" s="182">
        <v>250</v>
      </c>
    </row>
    <row r="11" spans="1:11" ht="14.25" x14ac:dyDescent="0.2">
      <c r="A11" s="179" t="s">
        <v>848</v>
      </c>
      <c r="B11" s="181" t="s">
        <v>849</v>
      </c>
      <c r="C11" s="181" t="s">
        <v>850</v>
      </c>
      <c r="D11" s="182">
        <v>105</v>
      </c>
      <c r="E11" s="182">
        <v>110</v>
      </c>
      <c r="F11" s="182">
        <v>135</v>
      </c>
      <c r="G11" s="182">
        <v>150</v>
      </c>
      <c r="H11" s="182">
        <v>170</v>
      </c>
      <c r="I11" s="182">
        <v>185</v>
      </c>
      <c r="J11" s="182">
        <v>220</v>
      </c>
      <c r="K11" s="182"/>
    </row>
    <row r="12" spans="1:11" ht="14.25" x14ac:dyDescent="0.2">
      <c r="A12" s="179">
        <v>33</v>
      </c>
      <c r="B12" s="181" t="s">
        <v>851</v>
      </c>
      <c r="C12" s="181" t="s">
        <v>852</v>
      </c>
      <c r="D12" s="182">
        <v>110</v>
      </c>
      <c r="E12" s="182">
        <v>115</v>
      </c>
      <c r="F12" s="182">
        <v>140</v>
      </c>
      <c r="G12" s="182">
        <v>155</v>
      </c>
      <c r="H12" s="182">
        <v>175</v>
      </c>
      <c r="I12" s="182">
        <v>195</v>
      </c>
      <c r="J12" s="182">
        <v>230</v>
      </c>
      <c r="K12" s="182">
        <v>250</v>
      </c>
    </row>
    <row r="13" spans="1:11" ht="14.25" x14ac:dyDescent="0.2">
      <c r="A13" s="179" t="s">
        <v>853</v>
      </c>
      <c r="B13" s="181" t="s">
        <v>854</v>
      </c>
      <c r="C13" s="181" t="s">
        <v>855</v>
      </c>
      <c r="D13" s="182">
        <v>105</v>
      </c>
      <c r="E13" s="182">
        <v>110</v>
      </c>
      <c r="F13" s="182">
        <v>135</v>
      </c>
      <c r="G13" s="182">
        <v>150</v>
      </c>
      <c r="H13" s="182">
        <v>170</v>
      </c>
      <c r="I13" s="182">
        <v>185</v>
      </c>
      <c r="J13" s="182">
        <v>220</v>
      </c>
      <c r="K13" s="182"/>
    </row>
    <row r="14" spans="1:11" ht="14.25" x14ac:dyDescent="0.2">
      <c r="A14" s="179">
        <v>34</v>
      </c>
      <c r="B14" s="181" t="s">
        <v>856</v>
      </c>
      <c r="C14" s="181" t="s">
        <v>857</v>
      </c>
      <c r="D14" s="182">
        <v>110</v>
      </c>
      <c r="E14" s="182">
        <v>115</v>
      </c>
      <c r="F14" s="182">
        <v>140</v>
      </c>
      <c r="G14" s="182">
        <v>155</v>
      </c>
      <c r="H14" s="182">
        <v>175</v>
      </c>
      <c r="I14" s="182">
        <v>195</v>
      </c>
      <c r="J14" s="182">
        <v>230</v>
      </c>
      <c r="K14" s="182">
        <v>250</v>
      </c>
    </row>
    <row r="15" spans="1:11" ht="14.25" x14ac:dyDescent="0.2">
      <c r="A15" s="179" t="s">
        <v>858</v>
      </c>
      <c r="B15" s="181" t="s">
        <v>859</v>
      </c>
      <c r="C15" s="181" t="s">
        <v>860</v>
      </c>
      <c r="D15" s="182">
        <v>105</v>
      </c>
      <c r="E15" s="182">
        <v>110</v>
      </c>
      <c r="F15" s="182">
        <v>135</v>
      </c>
      <c r="G15" s="182">
        <v>150</v>
      </c>
      <c r="H15" s="182">
        <v>170</v>
      </c>
      <c r="I15" s="182">
        <v>185</v>
      </c>
      <c r="J15" s="182">
        <v>220</v>
      </c>
      <c r="K15" s="182"/>
    </row>
    <row r="16" spans="1:11" ht="14.25" x14ac:dyDescent="0.2">
      <c r="A16" s="179" t="s">
        <v>861</v>
      </c>
      <c r="B16" s="181" t="s">
        <v>862</v>
      </c>
      <c r="C16" s="181" t="s">
        <v>863</v>
      </c>
      <c r="D16" s="182">
        <v>110</v>
      </c>
      <c r="E16" s="182">
        <v>115</v>
      </c>
      <c r="F16" s="182">
        <v>140</v>
      </c>
      <c r="G16" s="182">
        <v>155</v>
      </c>
      <c r="H16" s="182">
        <v>175</v>
      </c>
      <c r="I16" s="182">
        <v>195</v>
      </c>
      <c r="J16" s="182">
        <v>230</v>
      </c>
      <c r="K16" s="182">
        <v>250</v>
      </c>
    </row>
    <row r="17" spans="1:11" ht="14.25" x14ac:dyDescent="0.2">
      <c r="A17" s="179" t="s">
        <v>864</v>
      </c>
      <c r="B17" s="181" t="s">
        <v>865</v>
      </c>
      <c r="C17" s="181" t="s">
        <v>866</v>
      </c>
      <c r="D17" s="182">
        <v>105</v>
      </c>
      <c r="E17" s="182">
        <v>110</v>
      </c>
      <c r="F17" s="182">
        <v>135</v>
      </c>
      <c r="G17" s="182">
        <v>150</v>
      </c>
      <c r="H17" s="182">
        <v>170</v>
      </c>
      <c r="I17" s="182">
        <v>185</v>
      </c>
      <c r="J17" s="182">
        <v>220</v>
      </c>
      <c r="K17" s="182"/>
    </row>
    <row r="18" spans="1:11" ht="14.25" x14ac:dyDescent="0.2">
      <c r="A18" s="179" t="s">
        <v>867</v>
      </c>
      <c r="B18" s="181" t="s">
        <v>868</v>
      </c>
      <c r="C18" s="181" t="s">
        <v>869</v>
      </c>
      <c r="D18" s="182">
        <v>110</v>
      </c>
      <c r="E18" s="182">
        <v>115</v>
      </c>
      <c r="F18" s="182">
        <v>140</v>
      </c>
      <c r="G18" s="182">
        <v>155</v>
      </c>
      <c r="H18" s="182">
        <v>175</v>
      </c>
      <c r="I18" s="182">
        <v>195</v>
      </c>
      <c r="J18" s="182">
        <v>230</v>
      </c>
      <c r="K18" s="182">
        <v>250</v>
      </c>
    </row>
    <row r="19" spans="1:11" ht="14.25" x14ac:dyDescent="0.2">
      <c r="A19" s="179">
        <v>41</v>
      </c>
      <c r="B19" s="181" t="s">
        <v>870</v>
      </c>
      <c r="C19" s="181" t="s">
        <v>871</v>
      </c>
      <c r="D19" s="182">
        <v>90</v>
      </c>
      <c r="E19" s="182">
        <v>105</v>
      </c>
      <c r="F19" s="182">
        <v>115</v>
      </c>
      <c r="G19" s="182">
        <v>140</v>
      </c>
      <c r="H19" s="182">
        <v>155</v>
      </c>
      <c r="I19" s="182">
        <v>160</v>
      </c>
      <c r="J19" s="182"/>
      <c r="K19" s="182"/>
    </row>
    <row r="20" spans="1:11" ht="14.25" x14ac:dyDescent="0.2">
      <c r="A20" s="179">
        <v>42</v>
      </c>
      <c r="B20" s="181" t="s">
        <v>872</v>
      </c>
      <c r="C20" s="181" t="s">
        <v>873</v>
      </c>
      <c r="D20" s="182">
        <v>90</v>
      </c>
      <c r="E20" s="182">
        <v>105</v>
      </c>
      <c r="F20" s="182">
        <v>115</v>
      </c>
      <c r="G20" s="182">
        <v>140</v>
      </c>
      <c r="H20" s="182">
        <v>155</v>
      </c>
      <c r="I20" s="182">
        <v>160</v>
      </c>
      <c r="J20" s="182"/>
      <c r="K20" s="182"/>
    </row>
    <row r="21" spans="1:11" ht="14.25" x14ac:dyDescent="0.2">
      <c r="A21" s="179">
        <v>43</v>
      </c>
      <c r="B21" s="181" t="s">
        <v>874</v>
      </c>
      <c r="C21" s="181" t="s">
        <v>875</v>
      </c>
      <c r="D21" s="182">
        <v>90</v>
      </c>
      <c r="E21" s="182">
        <v>105</v>
      </c>
      <c r="F21" s="182">
        <v>115</v>
      </c>
      <c r="G21" s="182">
        <v>140</v>
      </c>
      <c r="H21" s="182">
        <v>155</v>
      </c>
      <c r="I21" s="182">
        <v>160</v>
      </c>
      <c r="J21" s="182"/>
      <c r="K21" s="182"/>
    </row>
    <row r="22" spans="1:11" ht="14.25" x14ac:dyDescent="0.2">
      <c r="A22" s="179">
        <v>51</v>
      </c>
      <c r="B22" s="181" t="s">
        <v>876</v>
      </c>
      <c r="C22" s="181" t="s">
        <v>877</v>
      </c>
      <c r="D22" s="182">
        <v>80</v>
      </c>
      <c r="E22" s="182">
        <v>100</v>
      </c>
      <c r="F22" s="182">
        <v>120</v>
      </c>
      <c r="G22" s="182">
        <v>140</v>
      </c>
      <c r="H22" s="182">
        <v>155</v>
      </c>
      <c r="I22" s="182"/>
      <c r="J22" s="182"/>
      <c r="K22" s="182"/>
    </row>
    <row r="23" spans="1:11" ht="14.25" x14ac:dyDescent="0.2">
      <c r="A23" s="179" t="s">
        <v>878</v>
      </c>
      <c r="B23" s="181" t="s">
        <v>879</v>
      </c>
      <c r="C23" s="181" t="s">
        <v>880</v>
      </c>
      <c r="D23" s="182">
        <v>80</v>
      </c>
      <c r="E23" s="182">
        <v>100</v>
      </c>
      <c r="F23" s="182">
        <v>120</v>
      </c>
      <c r="G23" s="182">
        <v>140</v>
      </c>
      <c r="H23" s="182">
        <v>155</v>
      </c>
      <c r="I23" s="182"/>
      <c r="J23" s="182"/>
      <c r="K23" s="182"/>
    </row>
    <row r="24" spans="1:11" ht="14.25" x14ac:dyDescent="0.2">
      <c r="A24" s="179" t="s">
        <v>881</v>
      </c>
      <c r="B24" s="181" t="s">
        <v>882</v>
      </c>
      <c r="C24" s="181" t="s">
        <v>883</v>
      </c>
      <c r="D24" s="182"/>
      <c r="E24" s="182">
        <v>135</v>
      </c>
      <c r="F24" s="182">
        <v>155</v>
      </c>
      <c r="G24" s="182">
        <v>170</v>
      </c>
      <c r="H24" s="182">
        <v>180</v>
      </c>
      <c r="I24" s="182">
        <v>195</v>
      </c>
      <c r="J24" s="182"/>
      <c r="K24" s="182"/>
    </row>
    <row r="25" spans="1:11" ht="14.25" x14ac:dyDescent="0.2">
      <c r="A25" s="179" t="s">
        <v>884</v>
      </c>
      <c r="B25" s="181" t="s">
        <v>885</v>
      </c>
      <c r="C25" s="181" t="s">
        <v>886</v>
      </c>
      <c r="D25" s="182"/>
      <c r="E25" s="182">
        <v>125</v>
      </c>
      <c r="F25" s="182">
        <v>150</v>
      </c>
      <c r="G25" s="182">
        <v>165</v>
      </c>
      <c r="H25" s="182">
        <v>180</v>
      </c>
      <c r="I25" s="182"/>
      <c r="J25" s="182"/>
      <c r="K25" s="182"/>
    </row>
    <row r="27" spans="1:11" x14ac:dyDescent="0.2">
      <c r="B27" s="180" t="s">
        <v>887</v>
      </c>
      <c r="G27" s="180" t="s">
        <v>813</v>
      </c>
      <c r="H27" s="180" t="s">
        <v>301</v>
      </c>
    </row>
    <row r="28" spans="1:11" ht="14.25" x14ac:dyDescent="0.2">
      <c r="A28" s="179">
        <v>16</v>
      </c>
      <c r="B28" s="180" t="s">
        <v>888</v>
      </c>
      <c r="C28" s="180" t="s">
        <v>889</v>
      </c>
      <c r="D28" s="183">
        <v>0.15</v>
      </c>
      <c r="G28" s="180" t="s">
        <v>824</v>
      </c>
      <c r="H28" s="180" t="s">
        <v>890</v>
      </c>
    </row>
    <row r="29" spans="1:11" ht="14.25" x14ac:dyDescent="0.2">
      <c r="A29" s="179">
        <v>17</v>
      </c>
      <c r="B29" s="180" t="s">
        <v>891</v>
      </c>
      <c r="C29" s="180" t="s">
        <v>892</v>
      </c>
      <c r="D29" s="183" t="s">
        <v>893</v>
      </c>
      <c r="G29" s="180" t="s">
        <v>894</v>
      </c>
      <c r="H29" s="180" t="s">
        <v>895</v>
      </c>
    </row>
    <row r="30" spans="1:11" ht="14.25" x14ac:dyDescent="0.2">
      <c r="A30" s="179">
        <v>18</v>
      </c>
      <c r="B30" s="180" t="s">
        <v>896</v>
      </c>
      <c r="C30" s="180" t="s">
        <v>897</v>
      </c>
      <c r="D30" s="183">
        <v>0.05</v>
      </c>
      <c r="G30" s="180" t="s">
        <v>825</v>
      </c>
      <c r="H30" s="180" t="s">
        <v>898</v>
      </c>
    </row>
    <row r="31" spans="1:11" ht="14.25" x14ac:dyDescent="0.2">
      <c r="A31" s="179">
        <v>19</v>
      </c>
      <c r="B31" s="180" t="s">
        <v>899</v>
      </c>
      <c r="C31" s="180" t="s">
        <v>900</v>
      </c>
      <c r="D31" s="183">
        <v>0.15</v>
      </c>
      <c r="G31" s="180" t="s">
        <v>826</v>
      </c>
      <c r="H31" s="180" t="s">
        <v>901</v>
      </c>
    </row>
    <row r="32" spans="1:11" x14ac:dyDescent="0.2">
      <c r="G32" s="180" t="s">
        <v>827</v>
      </c>
      <c r="H32" s="180" t="s">
        <v>902</v>
      </c>
    </row>
    <row r="33" spans="1:8" x14ac:dyDescent="0.2">
      <c r="A33" s="179" t="s">
        <v>903</v>
      </c>
      <c r="B33" s="212" t="s">
        <v>948</v>
      </c>
      <c r="G33" s="180" t="s">
        <v>828</v>
      </c>
      <c r="H33" s="180" t="s">
        <v>904</v>
      </c>
    </row>
    <row r="34" spans="1:8" x14ac:dyDescent="0.2">
      <c r="A34" s="179" t="s">
        <v>905</v>
      </c>
      <c r="B34" s="180" t="s">
        <v>906</v>
      </c>
      <c r="C34" s="180" t="s">
        <v>907</v>
      </c>
      <c r="D34" s="180">
        <v>500</v>
      </c>
      <c r="G34" s="180" t="s">
        <v>829</v>
      </c>
      <c r="H34" s="180" t="s">
        <v>908</v>
      </c>
    </row>
    <row r="35" spans="1:8" x14ac:dyDescent="0.2">
      <c r="A35" s="179" t="s">
        <v>909</v>
      </c>
      <c r="B35" s="180" t="s">
        <v>910</v>
      </c>
      <c r="C35" s="180" t="s">
        <v>196</v>
      </c>
      <c r="D35" s="180">
        <v>20</v>
      </c>
      <c r="G35" s="180" t="s">
        <v>830</v>
      </c>
      <c r="H35" s="180" t="s">
        <v>911</v>
      </c>
    </row>
    <row r="36" spans="1:8" x14ac:dyDescent="0.2">
      <c r="A36" s="179" t="s">
        <v>912</v>
      </c>
      <c r="B36" s="180" t="s">
        <v>445</v>
      </c>
      <c r="C36" s="180" t="s">
        <v>913</v>
      </c>
      <c r="D36" s="180">
        <v>20</v>
      </c>
      <c r="G36" s="180" t="s">
        <v>831</v>
      </c>
      <c r="H36" s="180" t="s">
        <v>914</v>
      </c>
    </row>
    <row r="37" spans="1:8" x14ac:dyDescent="0.2">
      <c r="A37" s="179" t="s">
        <v>915</v>
      </c>
      <c r="B37" s="180" t="s">
        <v>916</v>
      </c>
      <c r="C37" s="180" t="s">
        <v>198</v>
      </c>
      <c r="D37" s="180">
        <v>20</v>
      </c>
    </row>
    <row r="38" spans="1:8" x14ac:dyDescent="0.2">
      <c r="A38" s="179" t="s">
        <v>917</v>
      </c>
      <c r="B38" s="180" t="s">
        <v>918</v>
      </c>
      <c r="C38" s="180" t="s">
        <v>200</v>
      </c>
      <c r="D38" s="180">
        <v>15</v>
      </c>
    </row>
    <row r="39" spans="1:8" x14ac:dyDescent="0.2">
      <c r="A39" s="179" t="s">
        <v>919</v>
      </c>
      <c r="B39" s="180" t="s">
        <v>920</v>
      </c>
      <c r="C39" s="180" t="s">
        <v>202</v>
      </c>
      <c r="D39" s="180">
        <v>65</v>
      </c>
    </row>
    <row r="40" spans="1:8" x14ac:dyDescent="0.2">
      <c r="A40" s="179" t="s">
        <v>921</v>
      </c>
      <c r="B40" s="180" t="s">
        <v>922</v>
      </c>
      <c r="C40" s="180" t="s">
        <v>923</v>
      </c>
      <c r="D40" s="180">
        <v>0.1</v>
      </c>
    </row>
    <row r="41" spans="1:8" x14ac:dyDescent="0.2">
      <c r="A41" s="179" t="s">
        <v>924</v>
      </c>
      <c r="B41" s="180" t="s">
        <v>925</v>
      </c>
      <c r="C41" s="180" t="s">
        <v>926</v>
      </c>
      <c r="D41" s="180">
        <v>0.1</v>
      </c>
    </row>
    <row r="42" spans="1:8" x14ac:dyDescent="0.2">
      <c r="A42" s="179" t="s">
        <v>927</v>
      </c>
    </row>
    <row r="44" spans="1:8" x14ac:dyDescent="0.2">
      <c r="A44" s="179" t="s">
        <v>928</v>
      </c>
      <c r="B44" s="180" t="s">
        <v>929</v>
      </c>
      <c r="C44" s="180" t="s">
        <v>228</v>
      </c>
      <c r="D44" s="180" t="s">
        <v>930</v>
      </c>
    </row>
    <row r="45" spans="1:8" x14ac:dyDescent="0.2">
      <c r="A45" s="179">
        <v>18.100000000000001</v>
      </c>
      <c r="B45" s="180" t="s">
        <v>127</v>
      </c>
      <c r="D45" s="180">
        <v>0.05</v>
      </c>
    </row>
    <row r="46" spans="1:8" x14ac:dyDescent="0.2">
      <c r="A46" s="179">
        <v>18.2</v>
      </c>
      <c r="B46" s="180" t="s">
        <v>128</v>
      </c>
      <c r="D46" s="180">
        <v>0.05</v>
      </c>
    </row>
    <row r="47" spans="1:8" x14ac:dyDescent="0.2">
      <c r="A47" s="179">
        <v>18.3</v>
      </c>
      <c r="B47" s="180" t="s">
        <v>129</v>
      </c>
      <c r="D47" s="180">
        <v>0.05</v>
      </c>
    </row>
    <row r="48" spans="1:8" x14ac:dyDescent="0.2">
      <c r="A48" s="179">
        <v>18.399999999999999</v>
      </c>
      <c r="B48" s="180" t="s">
        <v>138</v>
      </c>
      <c r="D48" s="180">
        <v>0.05</v>
      </c>
    </row>
    <row r="49" spans="1:4" x14ac:dyDescent="0.2">
      <c r="A49" s="179">
        <v>18.5</v>
      </c>
      <c r="B49" s="180" t="s">
        <v>130</v>
      </c>
      <c r="D49" s="180">
        <v>0.05</v>
      </c>
    </row>
    <row r="50" spans="1:4" x14ac:dyDescent="0.2">
      <c r="A50" s="179">
        <v>18.600000000000001</v>
      </c>
      <c r="B50" s="180" t="s">
        <v>132</v>
      </c>
      <c r="D50" s="180">
        <v>0.05</v>
      </c>
    </row>
    <row r="51" spans="1:4" x14ac:dyDescent="0.2">
      <c r="A51" s="179">
        <v>18.7</v>
      </c>
      <c r="B51" s="180" t="s">
        <v>131</v>
      </c>
      <c r="D51" s="180">
        <v>0.05</v>
      </c>
    </row>
    <row r="53" spans="1:4" x14ac:dyDescent="0.2">
      <c r="A53" s="179" t="s">
        <v>931</v>
      </c>
      <c r="B53" s="180" t="s">
        <v>932</v>
      </c>
      <c r="C53" s="180" t="s">
        <v>228</v>
      </c>
      <c r="D53" s="180" t="s">
        <v>930</v>
      </c>
    </row>
    <row r="54" spans="1:4" x14ac:dyDescent="0.2">
      <c r="A54" s="179" t="s">
        <v>933</v>
      </c>
      <c r="B54" s="180" t="s">
        <v>936</v>
      </c>
      <c r="D54" s="198">
        <v>0.15</v>
      </c>
    </row>
    <row r="55" spans="1:4" x14ac:dyDescent="0.2">
      <c r="A55" s="179" t="s">
        <v>934</v>
      </c>
      <c r="B55" s="180" t="s">
        <v>935</v>
      </c>
      <c r="D55" s="198">
        <v>0.15</v>
      </c>
    </row>
    <row r="56" spans="1:4" x14ac:dyDescent="0.2">
      <c r="A56" s="179" t="s">
        <v>937</v>
      </c>
      <c r="B56" s="180" t="s">
        <v>938</v>
      </c>
      <c r="D56" s="198">
        <v>0.15</v>
      </c>
    </row>
    <row r="57" spans="1:4" x14ac:dyDescent="0.2">
      <c r="A57" s="179" t="s">
        <v>939</v>
      </c>
      <c r="B57" s="180" t="s">
        <v>940</v>
      </c>
      <c r="D57" s="198">
        <v>0.15</v>
      </c>
    </row>
    <row r="58" spans="1:4" x14ac:dyDescent="0.2">
      <c r="A58" s="179" t="s">
        <v>941</v>
      </c>
      <c r="D58" s="198">
        <v>0.15</v>
      </c>
    </row>
    <row r="59" spans="1:4" x14ac:dyDescent="0.2">
      <c r="D59" s="198">
        <v>0.15</v>
      </c>
    </row>
    <row r="60" spans="1:4" x14ac:dyDescent="0.2">
      <c r="D60" s="198">
        <v>0.15</v>
      </c>
    </row>
    <row r="61" spans="1:4" x14ac:dyDescent="0.2">
      <c r="D61" s="198">
        <v>0.15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6448-8ACF-4C9B-879A-58F99B494D44}">
  <sheetPr codeName="Sheet6">
    <pageSetUpPr fitToPage="1"/>
  </sheetPr>
  <dimension ref="B4:X41"/>
  <sheetViews>
    <sheetView tabSelected="1" zoomScaleNormal="100" workbookViewId="0">
      <selection activeCell="O39" sqref="O39"/>
    </sheetView>
    <sheetView workbookViewId="1">
      <selection activeCell="Y24" sqref="Y24"/>
    </sheetView>
  </sheetViews>
  <sheetFormatPr defaultColWidth="9" defaultRowHeight="14.25" x14ac:dyDescent="0.2"/>
  <cols>
    <col min="1" max="16384" width="9" style="176"/>
  </cols>
  <sheetData>
    <row r="4" spans="4:24" x14ac:dyDescent="0.2">
      <c r="D4" s="177"/>
    </row>
    <row r="7" spans="4:24" x14ac:dyDescent="0.2">
      <c r="X7" s="178"/>
    </row>
    <row r="41" spans="2:2" x14ac:dyDescent="0.2">
      <c r="B41" s="229"/>
    </row>
  </sheetData>
  <sheetProtection sheet="1" objects="1" scenarios="1"/>
  <pageMargins left="0.7" right="0.7" top="0.75" bottom="0.75" header="0.3" footer="0.3"/>
  <pageSetup paperSize="17" fitToWidth="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5937" r:id="rId4" name="bwmeetings">
          <controlPr defaultSize="0" autoLine="0" linkedCell="REFERENCE!P2" r:id="rId5">
            <anchor moveWithCells="1">
              <from>
                <xdr:col>6</xdr:col>
                <xdr:colOff>504825</xdr:colOff>
                <xdr:row>19</xdr:row>
                <xdr:rowOff>85725</xdr:rowOff>
              </from>
              <to>
                <xdr:col>7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5937" r:id="rId4" name="bwmeetings"/>
      </mc:Fallback>
    </mc:AlternateContent>
    <mc:AlternateContent xmlns:mc="http://schemas.openxmlformats.org/markup-compatibility/2006">
      <mc:Choice Requires="x14">
        <control shapeId="15935" r:id="rId6" name="ICTMR_ESD">
          <controlPr defaultSize="0" autoLine="0" r:id="rId7">
            <anchor moveWithCells="1">
              <from>
                <xdr:col>5</xdr:col>
                <xdr:colOff>409575</xdr:colOff>
                <xdr:row>29</xdr:row>
                <xdr:rowOff>142875</xdr:rowOff>
              </from>
              <to>
                <xdr:col>7</xdr:col>
                <xdr:colOff>57150</xdr:colOff>
                <xdr:row>31</xdr:row>
                <xdr:rowOff>38100</xdr:rowOff>
              </to>
            </anchor>
          </controlPr>
        </control>
      </mc:Choice>
      <mc:Fallback>
        <control shapeId="15935" r:id="rId6" name="ICTMR_ESD"/>
      </mc:Fallback>
    </mc:AlternateContent>
    <mc:AlternateContent xmlns:mc="http://schemas.openxmlformats.org/markup-compatibility/2006">
      <mc:Choice Requires="x14">
        <control shapeId="15934" r:id="rId8" name="ICTMR_Scada">
          <controlPr defaultSize="0" autoLine="0" r:id="rId9">
            <anchor moveWithCells="1">
              <from>
                <xdr:col>4</xdr:col>
                <xdr:colOff>9525</xdr:colOff>
                <xdr:row>33</xdr:row>
                <xdr:rowOff>104775</xdr:rowOff>
              </from>
              <to>
                <xdr:col>5</xdr:col>
                <xdr:colOff>342900</xdr:colOff>
                <xdr:row>35</xdr:row>
                <xdr:rowOff>9525</xdr:rowOff>
              </to>
            </anchor>
          </controlPr>
        </control>
      </mc:Choice>
      <mc:Fallback>
        <control shapeId="15934" r:id="rId8" name="ICTMR_Scada"/>
      </mc:Fallback>
    </mc:AlternateContent>
    <mc:AlternateContent xmlns:mc="http://schemas.openxmlformats.org/markup-compatibility/2006">
      <mc:Choice Requires="x14">
        <control shapeId="15933" r:id="rId10" name="ICTMR_PLC">
          <controlPr defaultSize="0" autoLine="0" r:id="rId11">
            <anchor moveWithCells="1">
              <from>
                <xdr:col>4</xdr:col>
                <xdr:colOff>9525</xdr:colOff>
                <xdr:row>31</xdr:row>
                <xdr:rowOff>123825</xdr:rowOff>
              </from>
              <to>
                <xdr:col>5</xdr:col>
                <xdr:colOff>352425</xdr:colOff>
                <xdr:row>33</xdr:row>
                <xdr:rowOff>28575</xdr:rowOff>
              </to>
            </anchor>
          </controlPr>
        </control>
      </mc:Choice>
      <mc:Fallback>
        <control shapeId="15933" r:id="rId10" name="ICTMR_PLC"/>
      </mc:Fallback>
    </mc:AlternateContent>
    <mc:AlternateContent xmlns:mc="http://schemas.openxmlformats.org/markup-compatibility/2006">
      <mc:Choice Requires="x14">
        <control shapeId="15932" r:id="rId12" name="ICTMR_DCS">
          <controlPr defaultSize="0" autoLine="0" r:id="rId13">
            <anchor moveWithCells="1">
              <from>
                <xdr:col>4</xdr:col>
                <xdr:colOff>9525</xdr:colOff>
                <xdr:row>29</xdr:row>
                <xdr:rowOff>142875</xdr:rowOff>
              </from>
              <to>
                <xdr:col>5</xdr:col>
                <xdr:colOff>342900</xdr:colOff>
                <xdr:row>31</xdr:row>
                <xdr:rowOff>38100</xdr:rowOff>
              </to>
            </anchor>
          </controlPr>
        </control>
      </mc:Choice>
      <mc:Fallback>
        <control shapeId="15932" r:id="rId12" name="ICTMR_DCS"/>
      </mc:Fallback>
    </mc:AlternateContent>
    <mc:AlternateContent xmlns:mc="http://schemas.openxmlformats.org/markup-compatibility/2006">
      <mc:Choice Requires="x14">
        <control shapeId="15" r:id="rId14" name="ICTMR_Antennas">
          <controlPr defaultSize="0" autoLine="0" r:id="rId15">
            <anchor moveWithCells="1">
              <from>
                <xdr:col>2</xdr:col>
                <xdr:colOff>295275</xdr:colOff>
                <xdr:row>33</xdr:row>
                <xdr:rowOff>104775</xdr:rowOff>
              </from>
              <to>
                <xdr:col>3</xdr:col>
                <xdr:colOff>619125</xdr:colOff>
                <xdr:row>35</xdr:row>
                <xdr:rowOff>0</xdr:rowOff>
              </to>
            </anchor>
          </controlPr>
        </control>
      </mc:Choice>
      <mc:Fallback>
        <control shapeId="15931" r:id="rId14" name="ICTMR_Antennas"/>
      </mc:Fallback>
    </mc:AlternateContent>
    <mc:AlternateContent xmlns:mc="http://schemas.openxmlformats.org/markup-compatibility/2006">
      <mc:Choice Requires="x14">
        <control shapeId="15930" r:id="rId16" name="ICTMR_Computers">
          <controlPr defaultSize="0" autoLine="0" r:id="rId17">
            <anchor moveWithCells="1">
              <from>
                <xdr:col>2</xdr:col>
                <xdr:colOff>295275</xdr:colOff>
                <xdr:row>31</xdr:row>
                <xdr:rowOff>123825</xdr:rowOff>
              </from>
              <to>
                <xdr:col>3</xdr:col>
                <xdr:colOff>628650</xdr:colOff>
                <xdr:row>33</xdr:row>
                <xdr:rowOff>19050</xdr:rowOff>
              </to>
            </anchor>
          </controlPr>
        </control>
      </mc:Choice>
      <mc:Fallback>
        <control shapeId="15930" r:id="rId16" name="ICTMR_Computers"/>
      </mc:Fallback>
    </mc:AlternateContent>
    <mc:AlternateContent xmlns:mc="http://schemas.openxmlformats.org/markup-compatibility/2006">
      <mc:Choice Requires="x14">
        <control shapeId="15929" r:id="rId18" name="ICTMR_HMI">
          <controlPr defaultSize="0" autoLine="0" r:id="rId19">
            <anchor moveWithCells="1">
              <from>
                <xdr:col>2</xdr:col>
                <xdr:colOff>295275</xdr:colOff>
                <xdr:row>29</xdr:row>
                <xdr:rowOff>142875</xdr:rowOff>
              </from>
              <to>
                <xdr:col>3</xdr:col>
                <xdr:colOff>619125</xdr:colOff>
                <xdr:row>31</xdr:row>
                <xdr:rowOff>38100</xdr:rowOff>
              </to>
            </anchor>
          </controlPr>
        </control>
      </mc:Choice>
      <mc:Fallback>
        <control shapeId="15929" r:id="rId18" name="ICTMR_HMI"/>
      </mc:Fallback>
    </mc:AlternateContent>
    <mc:AlternateContent xmlns:mc="http://schemas.openxmlformats.org/markup-compatibility/2006">
      <mc:Choice Requires="x14">
        <control shapeId="15928" r:id="rId20" name="ICTMR_Testing">
          <controlPr defaultSize="0" autoLine="0" r:id="rId21">
            <anchor moveWithCells="1">
              <from>
                <xdr:col>0</xdr:col>
                <xdr:colOff>581025</xdr:colOff>
                <xdr:row>33</xdr:row>
                <xdr:rowOff>104775</xdr:rowOff>
              </from>
              <to>
                <xdr:col>2</xdr:col>
                <xdr:colOff>219075</xdr:colOff>
                <xdr:row>35</xdr:row>
                <xdr:rowOff>9525</xdr:rowOff>
              </to>
            </anchor>
          </controlPr>
        </control>
      </mc:Choice>
      <mc:Fallback>
        <control shapeId="15928" r:id="rId20" name="ICTMR_Testing"/>
      </mc:Fallback>
    </mc:AlternateContent>
    <mc:AlternateContent xmlns:mc="http://schemas.openxmlformats.org/markup-compatibility/2006">
      <mc:Choice Requires="x14">
        <control shapeId="15927" r:id="rId22" name="ICTMR_Detection">
          <controlPr defaultSize="0" autoLine="0" r:id="rId23">
            <anchor moveWithCells="1">
              <from>
                <xdr:col>0</xdr:col>
                <xdr:colOff>581025</xdr:colOff>
                <xdr:row>31</xdr:row>
                <xdr:rowOff>123825</xdr:rowOff>
              </from>
              <to>
                <xdr:col>2</xdr:col>
                <xdr:colOff>219075</xdr:colOff>
                <xdr:row>33</xdr:row>
                <xdr:rowOff>19050</xdr:rowOff>
              </to>
            </anchor>
          </controlPr>
        </control>
      </mc:Choice>
      <mc:Fallback>
        <control shapeId="15927" r:id="rId22" name="ICTMR_Detection"/>
      </mc:Fallback>
    </mc:AlternateContent>
    <mc:AlternateContent xmlns:mc="http://schemas.openxmlformats.org/markup-compatibility/2006">
      <mc:Choice Requires="x14">
        <control shapeId="15926" r:id="rId24" name="ICTMR_Comm">
          <controlPr defaultSize="0" autoLine="0" r:id="rId25">
            <anchor moveWithCells="1">
              <from>
                <xdr:col>0</xdr:col>
                <xdr:colOff>581025</xdr:colOff>
                <xdr:row>29</xdr:row>
                <xdr:rowOff>142875</xdr:rowOff>
              </from>
              <to>
                <xdr:col>2</xdr:col>
                <xdr:colOff>219075</xdr:colOff>
                <xdr:row>31</xdr:row>
                <xdr:rowOff>38100</xdr:rowOff>
              </to>
            </anchor>
          </controlPr>
        </control>
      </mc:Choice>
      <mc:Fallback>
        <control shapeId="15926" r:id="rId24" name="ICTMR_Comm"/>
      </mc:Fallback>
    </mc:AlternateContent>
    <mc:AlternateContent xmlns:mc="http://schemas.openxmlformats.org/markup-compatibility/2006">
      <mc:Choice Requires="x14">
        <control shapeId="15804" r:id="rId26" name="EMR_Substations">
          <controlPr defaultSize="0" autoLine="0" r:id="rId27">
            <anchor moveWithCells="1">
              <from>
                <xdr:col>5</xdr:col>
                <xdr:colOff>409575</xdr:colOff>
                <xdr:row>24</xdr:row>
                <xdr:rowOff>161925</xdr:rowOff>
              </from>
              <to>
                <xdr:col>7</xdr:col>
                <xdr:colOff>47625</xdr:colOff>
                <xdr:row>26</xdr:row>
                <xdr:rowOff>57150</xdr:rowOff>
              </to>
            </anchor>
          </controlPr>
        </control>
      </mc:Choice>
      <mc:Fallback>
        <control shapeId="15925" r:id="rId26" name="EMR_Substations"/>
      </mc:Fallback>
    </mc:AlternateContent>
    <mc:AlternateContent xmlns:mc="http://schemas.openxmlformats.org/markup-compatibility/2006">
      <mc:Choice Requires="x14">
        <control shapeId="15924" r:id="rId28" name="EMR_Grounding">
          <controlPr defaultSize="0" autoLine="0" r:id="rId29">
            <anchor moveWithCells="1">
              <from>
                <xdr:col>5</xdr:col>
                <xdr:colOff>409575</xdr:colOff>
                <xdr:row>23</xdr:row>
                <xdr:rowOff>0</xdr:rowOff>
              </from>
              <to>
                <xdr:col>7</xdr:col>
                <xdr:colOff>57150</xdr:colOff>
                <xdr:row>24</xdr:row>
                <xdr:rowOff>85725</xdr:rowOff>
              </to>
            </anchor>
          </controlPr>
        </control>
      </mc:Choice>
      <mc:Fallback>
        <control shapeId="15924" r:id="rId28" name="EMR_Grounding"/>
      </mc:Fallback>
    </mc:AlternateContent>
    <mc:AlternateContent xmlns:mc="http://schemas.openxmlformats.org/markup-compatibility/2006">
      <mc:Choice Requires="x14">
        <control shapeId="15803" r:id="rId30" name="EMR_Lighting">
          <controlPr defaultSize="0" autoLine="0" r:id="rId31">
            <anchor moveWithCells="1">
              <from>
                <xdr:col>5</xdr:col>
                <xdr:colOff>409575</xdr:colOff>
                <xdr:row>21</xdr:row>
                <xdr:rowOff>9525</xdr:rowOff>
              </from>
              <to>
                <xdr:col>7</xdr:col>
                <xdr:colOff>47625</xdr:colOff>
                <xdr:row>22</xdr:row>
                <xdr:rowOff>85725</xdr:rowOff>
              </to>
            </anchor>
          </controlPr>
        </control>
      </mc:Choice>
      <mc:Fallback>
        <control shapeId="15923" r:id="rId30" name="EMR_Lighting"/>
      </mc:Fallback>
    </mc:AlternateContent>
    <mc:AlternateContent xmlns:mc="http://schemas.openxmlformats.org/markup-compatibility/2006">
      <mc:Choice Requires="x14">
        <control shapeId="15922" r:id="rId32" name="EMR_Wire">
          <controlPr defaultSize="0" autoLine="0" r:id="rId33">
            <anchor moveWithCells="1">
              <from>
                <xdr:col>4</xdr:col>
                <xdr:colOff>9525</xdr:colOff>
                <xdr:row>24</xdr:row>
                <xdr:rowOff>161925</xdr:rowOff>
              </from>
              <to>
                <xdr:col>5</xdr:col>
                <xdr:colOff>333375</xdr:colOff>
                <xdr:row>26</xdr:row>
                <xdr:rowOff>57150</xdr:rowOff>
              </to>
            </anchor>
          </controlPr>
        </control>
      </mc:Choice>
      <mc:Fallback>
        <control shapeId="15922" r:id="rId32" name="EMR_Wire"/>
      </mc:Fallback>
    </mc:AlternateContent>
    <mc:AlternateContent xmlns:mc="http://schemas.openxmlformats.org/markup-compatibility/2006">
      <mc:Choice Requires="x14">
        <control shapeId="15802" r:id="rId34" name="EMR_Switchboard">
          <controlPr defaultSize="0" autoLine="0" r:id="rId35">
            <anchor moveWithCells="1">
              <from>
                <xdr:col>4</xdr:col>
                <xdr:colOff>9525</xdr:colOff>
                <xdr:row>23</xdr:row>
                <xdr:rowOff>0</xdr:rowOff>
              </from>
              <to>
                <xdr:col>5</xdr:col>
                <xdr:colOff>342900</xdr:colOff>
                <xdr:row>24</xdr:row>
                <xdr:rowOff>76200</xdr:rowOff>
              </to>
            </anchor>
          </controlPr>
        </control>
      </mc:Choice>
      <mc:Fallback>
        <control shapeId="15921" r:id="rId34" name="EMR_Switchboard"/>
      </mc:Fallback>
    </mc:AlternateContent>
    <mc:AlternateContent xmlns:mc="http://schemas.openxmlformats.org/markup-compatibility/2006">
      <mc:Choice Requires="x14">
        <control shapeId="15920" r:id="rId36" name="EMR_MCC">
          <controlPr defaultSize="0" autoLine="0" r:id="rId37">
            <anchor moveWithCells="1">
              <from>
                <xdr:col>4</xdr:col>
                <xdr:colOff>9525</xdr:colOff>
                <xdr:row>21</xdr:row>
                <xdr:rowOff>9525</xdr:rowOff>
              </from>
              <to>
                <xdr:col>5</xdr:col>
                <xdr:colOff>333375</xdr:colOff>
                <xdr:row>22</xdr:row>
                <xdr:rowOff>95250</xdr:rowOff>
              </to>
            </anchor>
          </controlPr>
        </control>
      </mc:Choice>
      <mc:Fallback>
        <control shapeId="15920" r:id="rId36" name="EMR_MCC"/>
      </mc:Fallback>
    </mc:AlternateContent>
    <mc:AlternateContent xmlns:mc="http://schemas.openxmlformats.org/markup-compatibility/2006">
      <mc:Choice Requires="x14">
        <control shapeId="15919" r:id="rId38" name="EMR_UPS">
          <controlPr defaultSize="0" autoLine="0" r:id="rId39">
            <anchor moveWithCells="1">
              <from>
                <xdr:col>2</xdr:col>
                <xdr:colOff>295275</xdr:colOff>
                <xdr:row>24</xdr:row>
                <xdr:rowOff>161925</xdr:rowOff>
              </from>
              <to>
                <xdr:col>3</xdr:col>
                <xdr:colOff>619125</xdr:colOff>
                <xdr:row>26</xdr:row>
                <xdr:rowOff>57150</xdr:rowOff>
              </to>
            </anchor>
          </controlPr>
        </control>
      </mc:Choice>
      <mc:Fallback>
        <control shapeId="15919" r:id="rId38" name="EMR_UPS"/>
      </mc:Fallback>
    </mc:AlternateContent>
    <mc:AlternateContent xmlns:mc="http://schemas.openxmlformats.org/markup-compatibility/2006">
      <mc:Choice Requires="x14">
        <control shapeId="15918" r:id="rId40" name="EMR_ControlPanel">
          <controlPr defaultSize="0" autoLine="0" r:id="rId41">
            <anchor moveWithCells="1">
              <from>
                <xdr:col>2</xdr:col>
                <xdr:colOff>295275</xdr:colOff>
                <xdr:row>23</xdr:row>
                <xdr:rowOff>0</xdr:rowOff>
              </from>
              <to>
                <xdr:col>3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5918" r:id="rId40" name="EMR_ControlPanel"/>
      </mc:Fallback>
    </mc:AlternateContent>
    <mc:AlternateContent xmlns:mc="http://schemas.openxmlformats.org/markup-compatibility/2006">
      <mc:Choice Requires="x14">
        <control shapeId="15917" r:id="rId42" name="EMR_Device">
          <controlPr defaultSize="0" autoLine="0" r:id="rId43">
            <anchor moveWithCells="1">
              <from>
                <xdr:col>2</xdr:col>
                <xdr:colOff>295275</xdr:colOff>
                <xdr:row>21</xdr:row>
                <xdr:rowOff>9525</xdr:rowOff>
              </from>
              <to>
                <xdr:col>3</xdr:col>
                <xdr:colOff>619125</xdr:colOff>
                <xdr:row>22</xdr:row>
                <xdr:rowOff>95250</xdr:rowOff>
              </to>
            </anchor>
          </controlPr>
        </control>
      </mc:Choice>
      <mc:Fallback>
        <control shapeId="15917" r:id="rId42" name="EMR_Device"/>
      </mc:Fallback>
    </mc:AlternateContent>
    <mc:AlternateContent xmlns:mc="http://schemas.openxmlformats.org/markup-compatibility/2006">
      <mc:Choice Requires="x14">
        <control shapeId="15916" r:id="rId44" name="EMR_Panel">
          <controlPr defaultSize="0" autoLine="0" r:id="rId45">
            <anchor moveWithCells="1">
              <from>
                <xdr:col>0</xdr:col>
                <xdr:colOff>581025</xdr:colOff>
                <xdr:row>24</xdr:row>
                <xdr:rowOff>161925</xdr:rowOff>
              </from>
              <to>
                <xdr:col>2</xdr:col>
                <xdr:colOff>219075</xdr:colOff>
                <xdr:row>26</xdr:row>
                <xdr:rowOff>57150</xdr:rowOff>
              </to>
            </anchor>
          </controlPr>
        </control>
      </mc:Choice>
      <mc:Fallback>
        <control shapeId="15916" r:id="rId44" name="EMR_Panel"/>
      </mc:Fallback>
    </mc:AlternateContent>
    <mc:AlternateContent xmlns:mc="http://schemas.openxmlformats.org/markup-compatibility/2006">
      <mc:Choice Requires="x14">
        <control shapeId="15915" r:id="rId46" name="EMR_Transformer">
          <controlPr defaultSize="0" autoLine="0" r:id="rId47">
            <anchor moveWithCells="1">
              <from>
                <xdr:col>0</xdr:col>
                <xdr:colOff>581025</xdr:colOff>
                <xdr:row>23</xdr:row>
                <xdr:rowOff>0</xdr:rowOff>
              </from>
              <to>
                <xdr:col>2</xdr:col>
                <xdr:colOff>219075</xdr:colOff>
                <xdr:row>24</xdr:row>
                <xdr:rowOff>76200</xdr:rowOff>
              </to>
            </anchor>
          </controlPr>
        </control>
      </mc:Choice>
      <mc:Fallback>
        <control shapeId="15915" r:id="rId46" name="EMR_Transformer"/>
      </mc:Fallback>
    </mc:AlternateContent>
    <mc:AlternateContent xmlns:mc="http://schemas.openxmlformats.org/markup-compatibility/2006">
      <mc:Choice Requires="x14">
        <control shapeId="15914" r:id="rId48" name="EMR_Conduit">
          <controlPr defaultSize="0" autoLine="0" r:id="rId49">
            <anchor moveWithCells="1">
              <from>
                <xdr:col>0</xdr:col>
                <xdr:colOff>581025</xdr:colOff>
                <xdr:row>21</xdr:row>
                <xdr:rowOff>9525</xdr:rowOff>
              </from>
              <to>
                <xdr:col>2</xdr:col>
                <xdr:colOff>219075</xdr:colOff>
                <xdr:row>22</xdr:row>
                <xdr:rowOff>95250</xdr:rowOff>
              </to>
            </anchor>
          </controlPr>
        </control>
      </mc:Choice>
      <mc:Fallback>
        <control shapeId="15914" r:id="rId48" name="EMR_Conduit"/>
      </mc:Fallback>
    </mc:AlternateContent>
    <mc:AlternateContent xmlns:mc="http://schemas.openxmlformats.org/markup-compatibility/2006">
      <mc:Choice Requires="x14">
        <control shapeId="15912" r:id="rId50" name="MRR_Spec">
          <controlPr defaultSize="0" autoLine="0" r:id="rId51">
            <anchor moveWithCells="1">
              <from>
                <xdr:col>5</xdr:col>
                <xdr:colOff>409575</xdr:colOff>
                <xdr:row>14</xdr:row>
                <xdr:rowOff>66675</xdr:rowOff>
              </from>
              <to>
                <xdr:col>7</xdr:col>
                <xdr:colOff>57150</xdr:colOff>
                <xdr:row>15</xdr:row>
                <xdr:rowOff>152400</xdr:rowOff>
              </to>
            </anchor>
          </controlPr>
        </control>
      </mc:Choice>
      <mc:Fallback>
        <control shapeId="15912" r:id="rId50" name="MRR_Spec"/>
      </mc:Fallback>
    </mc:AlternateContent>
    <mc:AlternateContent xmlns:mc="http://schemas.openxmlformats.org/markup-compatibility/2006">
      <mc:Choice Requires="x14">
        <control shapeId="15911" r:id="rId52" name="MR_Pipe">
          <controlPr defaultSize="0" autoLine="0" r:id="rId53">
            <anchor moveWithCells="1">
              <from>
                <xdr:col>5</xdr:col>
                <xdr:colOff>409575</xdr:colOff>
                <xdr:row>12</xdr:row>
                <xdr:rowOff>85725</xdr:rowOff>
              </from>
              <to>
                <xdr:col>7</xdr:col>
                <xdr:colOff>47625</xdr:colOff>
                <xdr:row>13</xdr:row>
                <xdr:rowOff>161925</xdr:rowOff>
              </to>
            </anchor>
          </controlPr>
        </control>
      </mc:Choice>
      <mc:Fallback>
        <control shapeId="15911" r:id="rId52" name="MR_Pipe"/>
      </mc:Fallback>
    </mc:AlternateContent>
    <mc:AlternateContent xmlns:mc="http://schemas.openxmlformats.org/markup-compatibility/2006">
      <mc:Choice Requires="x14">
        <control shapeId="15910" r:id="rId54" name="MMR_Packaged">
          <controlPr defaultSize="0" autoLine="0" r:id="rId55">
            <anchor moveWithCells="1">
              <from>
                <xdr:col>4</xdr:col>
                <xdr:colOff>9525</xdr:colOff>
                <xdr:row>16</xdr:row>
                <xdr:rowOff>47625</xdr:rowOff>
              </from>
              <to>
                <xdr:col>5</xdr:col>
                <xdr:colOff>333375</xdr:colOff>
                <xdr:row>17</xdr:row>
                <xdr:rowOff>133350</xdr:rowOff>
              </to>
            </anchor>
          </controlPr>
        </control>
      </mc:Choice>
      <mc:Fallback>
        <control shapeId="15910" r:id="rId54" name="MMR_Packaged"/>
      </mc:Fallback>
    </mc:AlternateContent>
    <mc:AlternateContent xmlns:mc="http://schemas.openxmlformats.org/markup-compatibility/2006">
      <mc:Choice Requires="x14">
        <control shapeId="15909" r:id="rId56" name="MMR_Pump">
          <controlPr defaultSize="0" autoLine="0" r:id="rId57">
            <anchor moveWithCells="1">
              <from>
                <xdr:col>4</xdr:col>
                <xdr:colOff>9525</xdr:colOff>
                <xdr:row>14</xdr:row>
                <xdr:rowOff>66675</xdr:rowOff>
              </from>
              <to>
                <xdr:col>5</xdr:col>
                <xdr:colOff>342900</xdr:colOff>
                <xdr:row>15</xdr:row>
                <xdr:rowOff>152400</xdr:rowOff>
              </to>
            </anchor>
          </controlPr>
        </control>
      </mc:Choice>
      <mc:Fallback>
        <control shapeId="15909" r:id="rId56" name="MMR_Pump"/>
      </mc:Fallback>
    </mc:AlternateContent>
    <mc:AlternateContent xmlns:mc="http://schemas.openxmlformats.org/markup-compatibility/2006">
      <mc:Choice Requires="x14">
        <control shapeId="15908" r:id="rId58" name="MMR_HVAC">
          <controlPr defaultSize="0" autoLine="0" r:id="rId59">
            <anchor moveWithCells="1">
              <from>
                <xdr:col>4</xdr:col>
                <xdr:colOff>9525</xdr:colOff>
                <xdr:row>12</xdr:row>
                <xdr:rowOff>85725</xdr:rowOff>
              </from>
              <to>
                <xdr:col>5</xdr:col>
                <xdr:colOff>333375</xdr:colOff>
                <xdr:row>13</xdr:row>
                <xdr:rowOff>161925</xdr:rowOff>
              </to>
            </anchor>
          </controlPr>
        </control>
      </mc:Choice>
      <mc:Fallback>
        <control shapeId="15908" r:id="rId58" name="MMR_HVAC"/>
      </mc:Fallback>
    </mc:AlternateContent>
    <mc:AlternateContent xmlns:mc="http://schemas.openxmlformats.org/markup-compatibility/2006">
      <mc:Choice Requires="x14">
        <control shapeId="15907" r:id="rId60" name="MMR_Compressor">
          <controlPr defaultSize="0" autoLine="0" r:id="rId61">
            <anchor moveWithCells="1">
              <from>
                <xdr:col>2</xdr:col>
                <xdr:colOff>295275</xdr:colOff>
                <xdr:row>16</xdr:row>
                <xdr:rowOff>47625</xdr:rowOff>
              </from>
              <to>
                <xdr:col>3</xdr:col>
                <xdr:colOff>619125</xdr:colOff>
                <xdr:row>17</xdr:row>
                <xdr:rowOff>123825</xdr:rowOff>
              </to>
            </anchor>
          </controlPr>
        </control>
      </mc:Choice>
      <mc:Fallback>
        <control shapeId="15907" r:id="rId60" name="MMR_Compressor"/>
      </mc:Fallback>
    </mc:AlternateContent>
    <mc:AlternateContent xmlns:mc="http://schemas.openxmlformats.org/markup-compatibility/2006">
      <mc:Choice Requires="x14">
        <control shapeId="15906" r:id="rId62" name="MMR_Boiler">
          <controlPr defaultSize="0" autoLine="0" r:id="rId63">
            <anchor moveWithCells="1">
              <from>
                <xdr:col>2</xdr:col>
                <xdr:colOff>295275</xdr:colOff>
                <xdr:row>14</xdr:row>
                <xdr:rowOff>66675</xdr:rowOff>
              </from>
              <to>
                <xdr:col>3</xdr:col>
                <xdr:colOff>619125</xdr:colOff>
                <xdr:row>15</xdr:row>
                <xdr:rowOff>142875</xdr:rowOff>
              </to>
            </anchor>
          </controlPr>
        </control>
      </mc:Choice>
      <mc:Fallback>
        <control shapeId="15906" r:id="rId62" name="MMR_Boiler"/>
      </mc:Fallback>
    </mc:AlternateContent>
    <mc:AlternateContent xmlns:mc="http://schemas.openxmlformats.org/markup-compatibility/2006">
      <mc:Choice Requires="x14">
        <control shapeId="15905" r:id="rId64" name="MMR_Exchanger">
          <controlPr defaultSize="0" autoLine="0" r:id="rId65">
            <anchor moveWithCells="1">
              <from>
                <xdr:col>2</xdr:col>
                <xdr:colOff>295275</xdr:colOff>
                <xdr:row>12</xdr:row>
                <xdr:rowOff>85725</xdr:rowOff>
              </from>
              <to>
                <xdr:col>3</xdr:col>
                <xdr:colOff>619125</xdr:colOff>
                <xdr:row>13</xdr:row>
                <xdr:rowOff>161925</xdr:rowOff>
              </to>
            </anchor>
          </controlPr>
        </control>
      </mc:Choice>
      <mc:Fallback>
        <control shapeId="15905" r:id="rId64" name="MMR_Exchanger"/>
      </mc:Fallback>
    </mc:AlternateContent>
    <mc:AlternateContent xmlns:mc="http://schemas.openxmlformats.org/markup-compatibility/2006">
      <mc:Choice Requires="x14">
        <control shapeId="15904" r:id="rId66" name="MMR_Tank">
          <controlPr defaultSize="0" autoLine="0" r:id="rId67">
            <anchor moveWithCells="1">
              <from>
                <xdr:col>0</xdr:col>
                <xdr:colOff>581025</xdr:colOff>
                <xdr:row>16</xdr:row>
                <xdr:rowOff>47625</xdr:rowOff>
              </from>
              <to>
                <xdr:col>2</xdr:col>
                <xdr:colOff>219075</xdr:colOff>
                <xdr:row>17</xdr:row>
                <xdr:rowOff>133350</xdr:rowOff>
              </to>
            </anchor>
          </controlPr>
        </control>
      </mc:Choice>
      <mc:Fallback>
        <control shapeId="15904" r:id="rId66" name="MMR_Tank"/>
      </mc:Fallback>
    </mc:AlternateContent>
    <mc:AlternateContent xmlns:mc="http://schemas.openxmlformats.org/markup-compatibility/2006">
      <mc:Choice Requires="x14">
        <control shapeId="15903" r:id="rId68" name="MMR_Column">
          <controlPr defaultSize="0" autoLine="0" r:id="rId69">
            <anchor moveWithCells="1">
              <from>
                <xdr:col>0</xdr:col>
                <xdr:colOff>581025</xdr:colOff>
                <xdr:row>14</xdr:row>
                <xdr:rowOff>66675</xdr:rowOff>
              </from>
              <to>
                <xdr:col>2</xdr:col>
                <xdr:colOff>219075</xdr:colOff>
                <xdr:row>15</xdr:row>
                <xdr:rowOff>142875</xdr:rowOff>
              </to>
            </anchor>
          </controlPr>
        </control>
      </mc:Choice>
      <mc:Fallback>
        <control shapeId="15903" r:id="rId68" name="MMR_Column"/>
      </mc:Fallback>
    </mc:AlternateContent>
    <mc:AlternateContent xmlns:mc="http://schemas.openxmlformats.org/markup-compatibility/2006">
      <mc:Choice Requires="x14">
        <control shapeId="15902" r:id="rId70" name="MMR_Vessel">
          <controlPr defaultSize="0" autoLine="0" r:id="rId71">
            <anchor moveWithCells="1">
              <from>
                <xdr:col>0</xdr:col>
                <xdr:colOff>581025</xdr:colOff>
                <xdr:row>12</xdr:row>
                <xdr:rowOff>85725</xdr:rowOff>
              </from>
              <to>
                <xdr:col>2</xdr:col>
                <xdr:colOff>219075</xdr:colOff>
                <xdr:row>13</xdr:row>
                <xdr:rowOff>161925</xdr:rowOff>
              </to>
            </anchor>
          </controlPr>
        </control>
      </mc:Choice>
      <mc:Fallback>
        <control shapeId="15902" r:id="rId70" name="MMR_Vessel"/>
      </mc:Fallback>
    </mc:AlternateContent>
    <mc:AlternateContent xmlns:mc="http://schemas.openxmlformats.org/markup-compatibility/2006">
      <mc:Choice Requires="x14">
        <control shapeId="15881" r:id="rId72" name="Future2">
          <controlPr defaultSize="0" autoLine="0" r:id="rId73">
            <anchor moveWithCells="1">
              <from>
                <xdr:col>5</xdr:col>
                <xdr:colOff>371475</xdr:colOff>
                <xdr:row>7</xdr:row>
                <xdr:rowOff>85725</xdr:rowOff>
              </from>
              <to>
                <xdr:col>7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15881" r:id="rId72" name="Future2"/>
      </mc:Fallback>
    </mc:AlternateContent>
    <mc:AlternateContent xmlns:mc="http://schemas.openxmlformats.org/markup-compatibility/2006">
      <mc:Choice Requires="x14">
        <control shapeId="15880" r:id="rId74" name="ExpensesButton">
          <controlPr defaultSize="0" autoLine="0" r:id="rId75">
            <anchor moveWithCells="1">
              <from>
                <xdr:col>3</xdr:col>
                <xdr:colOff>647700</xdr:colOff>
                <xdr:row>7</xdr:row>
                <xdr:rowOff>85725</xdr:rowOff>
              </from>
              <to>
                <xdr:col>5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15880" r:id="rId74" name="ExpensesButton"/>
      </mc:Fallback>
    </mc:AlternateContent>
    <mc:AlternateContent xmlns:mc="http://schemas.openxmlformats.org/markup-compatibility/2006">
      <mc:Choice Requires="x14">
        <control shapeId="15879" r:id="rId76" name="MRPackage">
          <controlPr defaultSize="0" autoLine="0" r:id="rId77">
            <anchor moveWithCells="1">
              <from>
                <xdr:col>2</xdr:col>
                <xdr:colOff>247650</xdr:colOff>
                <xdr:row>7</xdr:row>
                <xdr:rowOff>85725</xdr:rowOff>
              </from>
              <to>
                <xdr:col>3</xdr:col>
                <xdr:colOff>657225</xdr:colOff>
                <xdr:row>10</xdr:row>
                <xdr:rowOff>9525</xdr:rowOff>
              </to>
            </anchor>
          </controlPr>
        </control>
      </mc:Choice>
      <mc:Fallback>
        <control shapeId="15879" r:id="rId76" name="MRPackage"/>
      </mc:Fallback>
    </mc:AlternateContent>
    <mc:AlternateContent xmlns:mc="http://schemas.openxmlformats.org/markup-compatibility/2006">
      <mc:Choice Requires="x14">
        <control shapeId="15801" r:id="rId78" name="ProjectInfo">
          <controlPr defaultSize="0" autoLine="0" r:id="rId79">
            <anchor moveWithCells="1">
              <from>
                <xdr:col>0</xdr:col>
                <xdr:colOff>533400</xdr:colOff>
                <xdr:row>7</xdr:row>
                <xdr:rowOff>85725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15873" r:id="rId78" name="ProjectInfo"/>
      </mc:Fallback>
    </mc:AlternateContent>
    <mc:AlternateContent xmlns:mc="http://schemas.openxmlformats.org/markup-compatibility/2006">
      <mc:Choice Requires="x14">
        <control shapeId="15870" r:id="rId80" name="ComboBox4">
          <controlPr defaultSize="0" autoLine="0" linkedCell="REFERENCE!B27" listFillRange="REFERENCE!B2:B5" r:id="rId81">
            <anchor moveWithCells="1">
              <from>
                <xdr:col>2</xdr:col>
                <xdr:colOff>619125</xdr:colOff>
                <xdr:row>21</xdr:row>
                <xdr:rowOff>104775</xdr:rowOff>
              </from>
              <to>
                <xdr:col>7</xdr:col>
                <xdr:colOff>38100</xdr:colOff>
                <xdr:row>23</xdr:row>
                <xdr:rowOff>76200</xdr:rowOff>
              </to>
            </anchor>
          </controlPr>
        </control>
      </mc:Choice>
      <mc:Fallback>
        <control shapeId="15870" r:id="rId80" name="ComboBox4"/>
      </mc:Fallback>
    </mc:AlternateContent>
    <mc:AlternateContent xmlns:mc="http://schemas.openxmlformats.org/markup-compatibility/2006">
      <mc:Choice Requires="x14">
        <control shapeId="15869" r:id="rId82" name="ComboBox3">
          <controlPr defaultSize="0" autoLine="0" linkedCell="REFERENCE!B36" listFillRange="REFERENCE!E2:E4" r:id="rId83">
            <anchor moveWithCells="1">
              <from>
                <xdr:col>2</xdr:col>
                <xdr:colOff>619125</xdr:colOff>
                <xdr:row>35</xdr:row>
                <xdr:rowOff>0</xdr:rowOff>
              </from>
              <to>
                <xdr:col>7</xdr:col>
                <xdr:colOff>38100</xdr:colOff>
                <xdr:row>36</xdr:row>
                <xdr:rowOff>152400</xdr:rowOff>
              </to>
            </anchor>
          </controlPr>
        </control>
      </mc:Choice>
      <mc:Fallback>
        <control shapeId="15869" r:id="rId82" name="ComboBox3"/>
      </mc:Fallback>
    </mc:AlternateContent>
    <mc:AlternateContent xmlns:mc="http://schemas.openxmlformats.org/markup-compatibility/2006">
      <mc:Choice Requires="x14">
        <control shapeId="15797" r:id="rId84" name="TextBox15">
          <controlPr defaultSize="0" autoLine="0" linkedCell="REFERENCE!B30" r:id="rId85">
            <anchor moveWithCells="1">
              <from>
                <xdr:col>6</xdr:col>
                <xdr:colOff>247650</xdr:colOff>
                <xdr:row>26</xdr:row>
                <xdr:rowOff>28575</xdr:rowOff>
              </from>
              <to>
                <xdr:col>7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5867" r:id="rId84" name="TextBox15"/>
      </mc:Fallback>
    </mc:AlternateContent>
    <mc:AlternateContent xmlns:mc="http://schemas.openxmlformats.org/markup-compatibility/2006">
      <mc:Choice Requires="x14">
        <control shapeId="15796" r:id="rId86" name="ComboBox2">
          <controlPr defaultSize="0" autoLine="0" linkedCell="REFERENCE!B35" listFillRange="REFERENCE!D2:D6" r:id="rId83">
            <anchor moveWithCells="1">
              <from>
                <xdr:col>2</xdr:col>
                <xdr:colOff>619125</xdr:colOff>
                <xdr:row>32</xdr:row>
                <xdr:rowOff>133350</xdr:rowOff>
              </from>
              <to>
                <xdr:col>7</xdr:col>
                <xdr:colOff>38100</xdr:colOff>
                <xdr:row>34</xdr:row>
                <xdr:rowOff>104775</xdr:rowOff>
              </to>
            </anchor>
          </controlPr>
        </control>
      </mc:Choice>
      <mc:Fallback>
        <control shapeId="15865" r:id="rId86" name="ComboBox2"/>
      </mc:Fallback>
    </mc:AlternateContent>
    <mc:AlternateContent xmlns:mc="http://schemas.openxmlformats.org/markup-compatibility/2006">
      <mc:Choice Requires="x14">
        <control shapeId="15864" r:id="rId87" name="TextBox14">
          <controlPr defaultSize="0" autoLine="0" linkedCell="REFERENCE!B34" r:id="rId88">
            <anchor moveWithCells="1">
              <from>
                <xdr:col>6</xdr:col>
                <xdr:colOff>247650</xdr:colOff>
                <xdr:row>30</xdr:row>
                <xdr:rowOff>104775</xdr:rowOff>
              </from>
              <to>
                <xdr:col>7</xdr:col>
                <xdr:colOff>47625</xdr:colOff>
                <xdr:row>32</xdr:row>
                <xdr:rowOff>57150</xdr:rowOff>
              </to>
            </anchor>
          </controlPr>
        </control>
      </mc:Choice>
      <mc:Fallback>
        <control shapeId="15864" r:id="rId87" name="TextBox14"/>
      </mc:Fallback>
    </mc:AlternateContent>
    <mc:AlternateContent xmlns:mc="http://schemas.openxmlformats.org/markup-compatibility/2006">
      <mc:Choice Requires="x14">
        <control shapeId="15793" r:id="rId89" name="TextBox13">
          <controlPr defaultSize="0" autoLine="0" linkedCell="REFERENCE!B33" r:id="rId88">
            <anchor moveWithCells="1">
              <from>
                <xdr:col>2</xdr:col>
                <xdr:colOff>619125</xdr:colOff>
                <xdr:row>30</xdr:row>
                <xdr:rowOff>104775</xdr:rowOff>
              </from>
              <to>
                <xdr:col>3</xdr:col>
                <xdr:colOff>419100</xdr:colOff>
                <xdr:row>32</xdr:row>
                <xdr:rowOff>57150</xdr:rowOff>
              </to>
            </anchor>
          </controlPr>
        </control>
      </mc:Choice>
      <mc:Fallback>
        <control shapeId="15863" r:id="rId89" name="TextBox13"/>
      </mc:Fallback>
    </mc:AlternateContent>
    <mc:AlternateContent xmlns:mc="http://schemas.openxmlformats.org/markup-compatibility/2006">
      <mc:Choice Requires="x14">
        <control shapeId="15792" r:id="rId90" name="TextBox11">
          <controlPr defaultSize="0" autoLine="0" linkedCell="REFERENCE!B32" r:id="rId91">
            <anchor moveWithCells="1">
              <from>
                <xdr:col>6</xdr:col>
                <xdr:colOff>247650</xdr:colOff>
                <xdr:row>28</xdr:row>
                <xdr:rowOff>57150</xdr:rowOff>
              </from>
              <to>
                <xdr:col>7</xdr:col>
                <xdr:colOff>47625</xdr:colOff>
                <xdr:row>30</xdr:row>
                <xdr:rowOff>19050</xdr:rowOff>
              </to>
            </anchor>
          </controlPr>
        </control>
      </mc:Choice>
      <mc:Fallback>
        <control shapeId="15862" r:id="rId90" name="TextBox11"/>
      </mc:Fallback>
    </mc:AlternateContent>
    <mc:AlternateContent xmlns:mc="http://schemas.openxmlformats.org/markup-compatibility/2006">
      <mc:Choice Requires="x14">
        <control shapeId="15861" r:id="rId92" name="TextBox9">
          <controlPr defaultSize="0" autoLine="0" linkedCell="REFERENCE!B31" r:id="rId88">
            <anchor moveWithCells="1">
              <from>
                <xdr:col>2</xdr:col>
                <xdr:colOff>619125</xdr:colOff>
                <xdr:row>28</xdr:row>
                <xdr:rowOff>66675</xdr:rowOff>
              </from>
              <to>
                <xdr:col>3</xdr:col>
                <xdr:colOff>419100</xdr:colOff>
                <xdr:row>30</xdr:row>
                <xdr:rowOff>19050</xdr:rowOff>
              </to>
            </anchor>
          </controlPr>
        </control>
      </mc:Choice>
      <mc:Fallback>
        <control shapeId="15861" r:id="rId92" name="TextBox9"/>
      </mc:Fallback>
    </mc:AlternateContent>
    <mc:AlternateContent xmlns:mc="http://schemas.openxmlformats.org/markup-compatibility/2006">
      <mc:Choice Requires="x14">
        <control shapeId="15859" r:id="rId93" name="TextBox1">
          <controlPr defaultSize="0" autoLine="0" linkedCell="REFERENCE!B25" r:id="rId94">
            <anchor moveWithCells="1">
              <from>
                <xdr:col>2</xdr:col>
                <xdr:colOff>619125</xdr:colOff>
                <xdr:row>17</xdr:row>
                <xdr:rowOff>28575</xdr:rowOff>
              </from>
              <to>
                <xdr:col>3</xdr:col>
                <xdr:colOff>581025</xdr:colOff>
                <xdr:row>18</xdr:row>
                <xdr:rowOff>152400</xdr:rowOff>
              </to>
            </anchor>
          </controlPr>
        </control>
      </mc:Choice>
      <mc:Fallback>
        <control shapeId="15859" r:id="rId93" name="TextBox1"/>
      </mc:Fallback>
    </mc:AlternateContent>
    <mc:AlternateContent xmlns:mc="http://schemas.openxmlformats.org/markup-compatibility/2006">
      <mc:Choice Requires="x14">
        <control shapeId="15858" r:id="rId95" name="ComboBox1">
          <controlPr defaultSize="0" autoLine="0" linkedCell="REFERENCE!B24" listFillRange="REFERENCE!C2:C7" r:id="rId96">
            <anchor moveWithCells="1">
              <from>
                <xdr:col>2</xdr:col>
                <xdr:colOff>619125</xdr:colOff>
                <xdr:row>14</xdr:row>
                <xdr:rowOff>133350</xdr:rowOff>
              </from>
              <to>
                <xdr:col>7</xdr:col>
                <xdr:colOff>38100</xdr:colOff>
                <xdr:row>16</xdr:row>
                <xdr:rowOff>104775</xdr:rowOff>
              </to>
            </anchor>
          </controlPr>
        </control>
      </mc:Choice>
      <mc:Fallback>
        <control shapeId="15858" r:id="rId95" name="ComboBox1"/>
      </mc:Fallback>
    </mc:AlternateContent>
    <mc:AlternateContent xmlns:mc="http://schemas.openxmlformats.org/markup-compatibility/2006">
      <mc:Choice Requires="x14">
        <control shapeId="15850" r:id="rId97" name="TextBox12">
          <controlPr defaultSize="0" autoLine="0" linkedCell="REFERENCE!B29" r:id="rId85">
            <anchor moveWithCells="1">
              <from>
                <xdr:col>2</xdr:col>
                <xdr:colOff>619125</xdr:colOff>
                <xdr:row>26</xdr:row>
                <xdr:rowOff>28575</xdr:rowOff>
              </from>
              <to>
                <xdr:col>3</xdr:col>
                <xdr:colOff>419100</xdr:colOff>
                <xdr:row>27</xdr:row>
                <xdr:rowOff>152400</xdr:rowOff>
              </to>
            </anchor>
          </controlPr>
        </control>
      </mc:Choice>
      <mc:Fallback>
        <control shapeId="15850" r:id="rId97" name="TextBox12"/>
      </mc:Fallback>
    </mc:AlternateContent>
    <mc:AlternateContent xmlns:mc="http://schemas.openxmlformats.org/markup-compatibility/2006">
      <mc:Choice Requires="x14">
        <control shapeId="15848" r:id="rId98" name="TextBox10">
          <controlPr defaultSize="0" autoLine="0" linkedCell="REFERENCE!B28" r:id="rId99">
            <anchor moveWithCells="1">
              <from>
                <xdr:col>2</xdr:col>
                <xdr:colOff>619125</xdr:colOff>
                <xdr:row>23</xdr:row>
                <xdr:rowOff>161925</xdr:rowOff>
              </from>
              <to>
                <xdr:col>7</xdr:col>
                <xdr:colOff>47625</xdr:colOff>
                <xdr:row>25</xdr:row>
                <xdr:rowOff>104775</xdr:rowOff>
              </to>
            </anchor>
          </controlPr>
        </control>
      </mc:Choice>
      <mc:Fallback>
        <control shapeId="15848" r:id="rId98" name="TextBox10"/>
      </mc:Fallback>
    </mc:AlternateContent>
    <mc:AlternateContent xmlns:mc="http://schemas.openxmlformats.org/markup-compatibility/2006">
      <mc:Choice Requires="x14">
        <control shapeId="15845" r:id="rId100" name="TextBox7">
          <controlPr defaultSize="0" autoLine="0" linkedCell="REFERENCE!Q2" r:id="rId101">
            <anchor moveWithCells="1">
              <from>
                <xdr:col>6</xdr:col>
                <xdr:colOff>257175</xdr:colOff>
                <xdr:row>16</xdr:row>
                <xdr:rowOff>171450</xdr:rowOff>
              </from>
              <to>
                <xdr:col>7</xdr:col>
                <xdr:colOff>47625</xdr:colOff>
                <xdr:row>18</xdr:row>
                <xdr:rowOff>123825</xdr:rowOff>
              </to>
            </anchor>
          </controlPr>
        </control>
      </mc:Choice>
      <mc:Fallback>
        <control shapeId="15845" r:id="rId100" name="TextBox7"/>
      </mc:Fallback>
    </mc:AlternateContent>
    <mc:AlternateContent xmlns:mc="http://schemas.openxmlformats.org/markup-compatibility/2006">
      <mc:Choice Requires="x14">
        <control shapeId="15843" r:id="rId102" name="ProjectNameTextBox">
          <controlPr defaultSize="0" autoLine="0" linkedCell="REFERENCE!B21" r:id="rId103">
            <anchor moveWithCells="1">
              <from>
                <xdr:col>2</xdr:col>
                <xdr:colOff>619125</xdr:colOff>
                <xdr:row>10</xdr:row>
                <xdr:rowOff>66675</xdr:rowOff>
              </from>
              <to>
                <xdr:col>7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15843" r:id="rId102" name="ProjectNameTextBox"/>
      </mc:Fallback>
    </mc:AlternateContent>
    <mc:AlternateContent xmlns:mc="http://schemas.openxmlformats.org/markup-compatibility/2006">
      <mc:Choice Requires="x14">
        <control shapeId="15841" r:id="rId104" name="TextBox3">
          <controlPr defaultSize="0" autoLine="0" linkedCell="REFERENCE!B22" r:id="rId105">
            <anchor moveWithCells="1">
              <from>
                <xdr:col>6</xdr:col>
                <xdr:colOff>85725</xdr:colOff>
                <xdr:row>12</xdr:row>
                <xdr:rowOff>114300</xdr:rowOff>
              </from>
              <to>
                <xdr:col>7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5841" r:id="rId104" name="TextBox3"/>
      </mc:Fallback>
    </mc:AlternateContent>
    <mc:AlternateContent xmlns:mc="http://schemas.openxmlformats.org/markup-compatibility/2006">
      <mc:Choice Requires="x14">
        <control shapeId="15840" r:id="rId106" name="TextBox2">
          <controlPr defaultSize="0" autoLine="0" linkedCell="REFERENCE!B23" r:id="rId107">
            <anchor moveWithCells="1">
              <from>
                <xdr:col>2</xdr:col>
                <xdr:colOff>619125</xdr:colOff>
                <xdr:row>12</xdr:row>
                <xdr:rowOff>114300</xdr:rowOff>
              </from>
              <to>
                <xdr:col>3</xdr:col>
                <xdr:colOff>581025</xdr:colOff>
                <xdr:row>14</xdr:row>
                <xdr:rowOff>57150</xdr:rowOff>
              </to>
            </anchor>
          </controlPr>
        </control>
      </mc:Choice>
      <mc:Fallback>
        <control shapeId="15840" r:id="rId106" name="TextBox2"/>
      </mc:Fallback>
    </mc:AlternateContent>
    <mc:AlternateContent xmlns:mc="http://schemas.openxmlformats.org/markup-compatibility/2006">
      <mc:Choice Requires="x14">
        <control shapeId="15800" r:id="rId108" name="SmartPlant">
          <controlPr defaultSize="0" autoLine="0" r:id="rId109">
            <anchor moveWithCells="1">
              <from>
                <xdr:col>9</xdr:col>
                <xdr:colOff>476250</xdr:colOff>
                <xdr:row>32</xdr:row>
                <xdr:rowOff>66675</xdr:rowOff>
              </from>
              <to>
                <xdr:col>10</xdr:col>
                <xdr:colOff>542925</xdr:colOff>
                <xdr:row>33</xdr:row>
                <xdr:rowOff>152400</xdr:rowOff>
              </to>
            </anchor>
          </controlPr>
        </control>
      </mc:Choice>
      <mc:Fallback>
        <control shapeId="15800" r:id="rId108" name="SmartPlant"/>
      </mc:Fallback>
    </mc:AlternateContent>
    <mc:AlternateContent xmlns:mc="http://schemas.openxmlformats.org/markup-compatibility/2006">
      <mc:Choice Requires="x14">
        <control shapeId="15799" r:id="rId110" name="UniSim">
          <controlPr defaultSize="0" autoLine="0" r:id="rId111">
            <anchor moveWithCells="1">
              <from>
                <xdr:col>13</xdr:col>
                <xdr:colOff>114300</xdr:colOff>
                <xdr:row>32</xdr:row>
                <xdr:rowOff>66675</xdr:rowOff>
              </from>
              <to>
                <xdr:col>14</xdr:col>
                <xdr:colOff>180975</xdr:colOff>
                <xdr:row>33</xdr:row>
                <xdr:rowOff>152400</xdr:rowOff>
              </to>
            </anchor>
          </controlPr>
        </control>
      </mc:Choice>
      <mc:Fallback>
        <control shapeId="15799" r:id="rId110" name="UniSim"/>
      </mc:Fallback>
    </mc:AlternateContent>
    <mc:AlternateContent xmlns:mc="http://schemas.openxmlformats.org/markup-compatibility/2006">
      <mc:Choice Requires="x14">
        <control shapeId="15798" r:id="rId112" name="PathLoss">
          <controlPr defaultSize="0" autoLine="0" r:id="rId113">
            <anchor moveWithCells="1">
              <from>
                <xdr:col>12</xdr:col>
                <xdr:colOff>9525</xdr:colOff>
                <xdr:row>32</xdr:row>
                <xdr:rowOff>66675</xdr:rowOff>
              </from>
              <to>
                <xdr:col>13</xdr:col>
                <xdr:colOff>66675</xdr:colOff>
                <xdr:row>33</xdr:row>
                <xdr:rowOff>152400</xdr:rowOff>
              </to>
            </anchor>
          </controlPr>
        </control>
      </mc:Choice>
      <mc:Fallback>
        <control shapeId="15798" r:id="rId112" name="PathLoss"/>
      </mc:Fallback>
    </mc:AlternateContent>
    <mc:AlternateContent xmlns:mc="http://schemas.openxmlformats.org/markup-compatibility/2006">
      <mc:Choice Requires="x14">
        <control shapeId="15795" r:id="rId114" name="TCA">
          <controlPr defaultSize="0" autoLine="0" r:id="rId115">
            <anchor moveWithCells="1">
              <from>
                <xdr:col>10</xdr:col>
                <xdr:colOff>581025</xdr:colOff>
                <xdr:row>32</xdr:row>
                <xdr:rowOff>66675</xdr:rowOff>
              </from>
              <to>
                <xdr:col>11</xdr:col>
                <xdr:colOff>647700</xdr:colOff>
                <xdr:row>33</xdr:row>
                <xdr:rowOff>152400</xdr:rowOff>
              </to>
            </anchor>
          </controlPr>
        </control>
      </mc:Choice>
      <mc:Fallback>
        <control shapeId="15795" r:id="rId114" name="TCA"/>
      </mc:Fallback>
    </mc:AlternateContent>
    <mc:AlternateContent xmlns:mc="http://schemas.openxmlformats.org/markup-compatibility/2006">
      <mc:Choice Requires="x14">
        <control shapeId="15794" r:id="rId116" name="ETAP">
          <controlPr defaultSize="0" autoLine="0" r:id="rId117">
            <anchor moveWithCells="1">
              <from>
                <xdr:col>8</xdr:col>
                <xdr:colOff>371475</xdr:colOff>
                <xdr:row>32</xdr:row>
                <xdr:rowOff>66675</xdr:rowOff>
              </from>
              <to>
                <xdr:col>9</xdr:col>
                <xdr:colOff>438150</xdr:colOff>
                <xdr:row>33</xdr:row>
                <xdr:rowOff>152400</xdr:rowOff>
              </to>
            </anchor>
          </controlPr>
        </control>
      </mc:Choice>
      <mc:Fallback>
        <control shapeId="15794" r:id="rId116" name="ETAP"/>
      </mc:Fallback>
    </mc:AlternateContent>
    <mc:AlternateContent xmlns:mc="http://schemas.openxmlformats.org/markup-compatibility/2006">
      <mc:Choice Requires="x14">
        <control shapeId="15765" r:id="rId118" name="CON_TRN">
          <controlPr defaultSize="0" autoLine="0" r:id="rId119">
            <anchor moveWithCells="1">
              <from>
                <xdr:col>15</xdr:col>
                <xdr:colOff>571500</xdr:colOff>
                <xdr:row>35</xdr:row>
                <xdr:rowOff>38100</xdr:rowOff>
              </from>
              <to>
                <xdr:col>16</xdr:col>
                <xdr:colOff>400050</xdr:colOff>
                <xdr:row>36</xdr:row>
                <xdr:rowOff>123825</xdr:rowOff>
              </to>
            </anchor>
          </controlPr>
        </control>
      </mc:Choice>
      <mc:Fallback>
        <control shapeId="15765" r:id="rId118" name="CON_TRN"/>
      </mc:Fallback>
    </mc:AlternateContent>
    <mc:AlternateContent xmlns:mc="http://schemas.openxmlformats.org/markup-compatibility/2006">
      <mc:Choice Requires="x14">
        <control shapeId="15762" r:id="rId120" name="CON_LD">
          <controlPr defaultSize="0" autoLine="0" r:id="rId121">
            <anchor moveWithCells="1">
              <from>
                <xdr:col>19</xdr:col>
                <xdr:colOff>95250</xdr:colOff>
                <xdr:row>35</xdr:row>
                <xdr:rowOff>38100</xdr:rowOff>
              </from>
              <to>
                <xdr:col>19</xdr:col>
                <xdr:colOff>609600</xdr:colOff>
                <xdr:row>36</xdr:row>
                <xdr:rowOff>123825</xdr:rowOff>
              </to>
            </anchor>
          </controlPr>
        </control>
      </mc:Choice>
      <mc:Fallback>
        <control shapeId="15762" r:id="rId120" name="CON_LD"/>
      </mc:Fallback>
    </mc:AlternateContent>
    <mc:AlternateContent xmlns:mc="http://schemas.openxmlformats.org/markup-compatibility/2006">
      <mc:Choice Requires="x14">
        <control shapeId="15761" r:id="rId122" name="CON_SR">
          <controlPr defaultSize="0" autoLine="0" r:id="rId123">
            <anchor moveWithCells="1">
              <from>
                <xdr:col>18</xdr:col>
                <xdr:colOff>209550</xdr:colOff>
                <xdr:row>35</xdr:row>
                <xdr:rowOff>38100</xdr:rowOff>
              </from>
              <to>
                <xdr:col>19</xdr:col>
                <xdr:colOff>47625</xdr:colOff>
                <xdr:row>36</xdr:row>
                <xdr:rowOff>123825</xdr:rowOff>
              </to>
            </anchor>
          </controlPr>
        </control>
      </mc:Choice>
      <mc:Fallback>
        <control shapeId="15761" r:id="rId122" name="CON_SR"/>
      </mc:Fallback>
    </mc:AlternateContent>
    <mc:AlternateContent xmlns:mc="http://schemas.openxmlformats.org/markup-compatibility/2006">
      <mc:Choice Requires="x14">
        <control shapeId="15791" r:id="rId124" name="CON_INT">
          <controlPr defaultSize="0" autoLine="0" r:id="rId125">
            <anchor moveWithCells="1">
              <from>
                <xdr:col>17</xdr:col>
                <xdr:colOff>333375</xdr:colOff>
                <xdr:row>35</xdr:row>
                <xdr:rowOff>38100</xdr:rowOff>
              </from>
              <to>
                <xdr:col>18</xdr:col>
                <xdr:colOff>161925</xdr:colOff>
                <xdr:row>36</xdr:row>
                <xdr:rowOff>123825</xdr:rowOff>
              </to>
            </anchor>
          </controlPr>
        </control>
      </mc:Choice>
      <mc:Fallback>
        <control shapeId="15760" r:id="rId124" name="CON_INT"/>
      </mc:Fallback>
    </mc:AlternateContent>
    <mc:AlternateContent xmlns:mc="http://schemas.openxmlformats.org/markup-compatibility/2006">
      <mc:Choice Requires="x14">
        <control shapeId="15777" r:id="rId126" name="CON_JR">
          <controlPr defaultSize="0" autoLine="0" r:id="rId127">
            <anchor moveWithCells="1">
              <from>
                <xdr:col>16</xdr:col>
                <xdr:colOff>447675</xdr:colOff>
                <xdr:row>35</xdr:row>
                <xdr:rowOff>38100</xdr:rowOff>
              </from>
              <to>
                <xdr:col>17</xdr:col>
                <xdr:colOff>285750</xdr:colOff>
                <xdr:row>36</xdr:row>
                <xdr:rowOff>123825</xdr:rowOff>
              </to>
            </anchor>
          </controlPr>
        </control>
      </mc:Choice>
      <mc:Fallback>
        <control shapeId="15759" r:id="rId126" name="CON_JR"/>
      </mc:Fallback>
    </mc:AlternateContent>
    <mc:AlternateContent xmlns:mc="http://schemas.openxmlformats.org/markup-compatibility/2006">
      <mc:Choice Requires="x14">
        <control shapeId="15778" r:id="rId128" name="PRO_TRN">
          <controlPr defaultSize="0" autoLine="0" r:id="rId129">
            <anchor moveWithCells="1">
              <from>
                <xdr:col>15</xdr:col>
                <xdr:colOff>571500</xdr:colOff>
                <xdr:row>33</xdr:row>
                <xdr:rowOff>19050</xdr:rowOff>
              </from>
              <to>
                <xdr:col>16</xdr:col>
                <xdr:colOff>400050</xdr:colOff>
                <xdr:row>34</xdr:row>
                <xdr:rowOff>104775</xdr:rowOff>
              </to>
            </anchor>
          </controlPr>
        </control>
      </mc:Choice>
      <mc:Fallback>
        <control shapeId="15758" r:id="rId128" name="PRO_TRN"/>
      </mc:Fallback>
    </mc:AlternateContent>
    <mc:AlternateContent xmlns:mc="http://schemas.openxmlformats.org/markup-compatibility/2006">
      <mc:Choice Requires="x14">
        <control shapeId="15755" r:id="rId130" name="PRO_LD">
          <controlPr defaultSize="0" autoLine="0" r:id="rId131">
            <anchor moveWithCells="1">
              <from>
                <xdr:col>19</xdr:col>
                <xdr:colOff>95250</xdr:colOff>
                <xdr:row>33</xdr:row>
                <xdr:rowOff>19050</xdr:rowOff>
              </from>
              <to>
                <xdr:col>19</xdr:col>
                <xdr:colOff>609600</xdr:colOff>
                <xdr:row>34</xdr:row>
                <xdr:rowOff>104775</xdr:rowOff>
              </to>
            </anchor>
          </controlPr>
        </control>
      </mc:Choice>
      <mc:Fallback>
        <control shapeId="15755" r:id="rId130" name="PRO_LD"/>
      </mc:Fallback>
    </mc:AlternateContent>
    <mc:AlternateContent xmlns:mc="http://schemas.openxmlformats.org/markup-compatibility/2006">
      <mc:Choice Requires="x14">
        <control shapeId="15779" r:id="rId132" name="PRO_SR">
          <controlPr defaultSize="0" autoLine="0" r:id="rId133">
            <anchor moveWithCells="1">
              <from>
                <xdr:col>18</xdr:col>
                <xdr:colOff>209550</xdr:colOff>
                <xdr:row>33</xdr:row>
                <xdr:rowOff>19050</xdr:rowOff>
              </from>
              <to>
                <xdr:col>19</xdr:col>
                <xdr:colOff>47625</xdr:colOff>
                <xdr:row>34</xdr:row>
                <xdr:rowOff>104775</xdr:rowOff>
              </to>
            </anchor>
          </controlPr>
        </control>
      </mc:Choice>
      <mc:Fallback>
        <control shapeId="15754" r:id="rId132" name="PRO_SR"/>
      </mc:Fallback>
    </mc:AlternateContent>
    <mc:AlternateContent xmlns:mc="http://schemas.openxmlformats.org/markup-compatibility/2006">
      <mc:Choice Requires="x14">
        <control shapeId="15780" r:id="rId134" name="PRO_INT">
          <controlPr defaultSize="0" autoLine="0" r:id="rId135">
            <anchor moveWithCells="1">
              <from>
                <xdr:col>17</xdr:col>
                <xdr:colOff>333375</xdr:colOff>
                <xdr:row>33</xdr:row>
                <xdr:rowOff>19050</xdr:rowOff>
              </from>
              <to>
                <xdr:col>18</xdr:col>
                <xdr:colOff>161925</xdr:colOff>
                <xdr:row>34</xdr:row>
                <xdr:rowOff>104775</xdr:rowOff>
              </to>
            </anchor>
          </controlPr>
        </control>
      </mc:Choice>
      <mc:Fallback>
        <control shapeId="15753" r:id="rId134" name="PRO_INT"/>
      </mc:Fallback>
    </mc:AlternateContent>
    <mc:AlternateContent xmlns:mc="http://schemas.openxmlformats.org/markup-compatibility/2006">
      <mc:Choice Requires="x14">
        <control shapeId="15781" r:id="rId136" name="PRO_JR">
          <controlPr defaultSize="0" autoLine="0" r:id="rId137">
            <anchor moveWithCells="1">
              <from>
                <xdr:col>16</xdr:col>
                <xdr:colOff>447675</xdr:colOff>
                <xdr:row>33</xdr:row>
                <xdr:rowOff>19050</xdr:rowOff>
              </from>
              <to>
                <xdr:col>17</xdr:col>
                <xdr:colOff>285750</xdr:colOff>
                <xdr:row>34</xdr:row>
                <xdr:rowOff>104775</xdr:rowOff>
              </to>
            </anchor>
          </controlPr>
        </control>
      </mc:Choice>
      <mc:Fallback>
        <control shapeId="15752" r:id="rId136" name="PRO_JR"/>
      </mc:Fallback>
    </mc:AlternateContent>
    <mc:AlternateContent xmlns:mc="http://schemas.openxmlformats.org/markup-compatibility/2006">
      <mc:Choice Requires="x14">
        <control shapeId="15730" r:id="rId138" name="CSADM_TRN">
          <controlPr defaultSize="0" autoLine="0" r:id="rId139">
            <anchor moveWithCells="1">
              <from>
                <xdr:col>15</xdr:col>
                <xdr:colOff>581025</xdr:colOff>
                <xdr:row>27</xdr:row>
                <xdr:rowOff>95250</xdr:rowOff>
              </from>
              <to>
                <xdr:col>16</xdr:col>
                <xdr:colOff>409575</xdr:colOff>
                <xdr:row>29</xdr:row>
                <xdr:rowOff>0</xdr:rowOff>
              </to>
            </anchor>
          </controlPr>
        </control>
      </mc:Choice>
      <mc:Fallback>
        <control shapeId="15730" r:id="rId138" name="CSADM_TRN"/>
      </mc:Fallback>
    </mc:AlternateContent>
    <mc:AlternateContent xmlns:mc="http://schemas.openxmlformats.org/markup-compatibility/2006">
      <mc:Choice Requires="x14">
        <control shapeId="15728" r:id="rId140" name="CSADM_SP">
          <controlPr defaultSize="0" autoLine="0" r:id="rId141">
            <anchor moveWithCells="1">
              <from>
                <xdr:col>19</xdr:col>
                <xdr:colOff>666750</xdr:colOff>
                <xdr:row>27</xdr:row>
                <xdr:rowOff>95250</xdr:rowOff>
              </from>
              <to>
                <xdr:col>20</xdr:col>
                <xdr:colOff>504825</xdr:colOff>
                <xdr:row>29</xdr:row>
                <xdr:rowOff>0</xdr:rowOff>
              </to>
            </anchor>
          </controlPr>
        </control>
      </mc:Choice>
      <mc:Fallback>
        <control shapeId="15728" r:id="rId140" name="CSADM_SP"/>
      </mc:Fallback>
    </mc:AlternateContent>
    <mc:AlternateContent xmlns:mc="http://schemas.openxmlformats.org/markup-compatibility/2006">
      <mc:Choice Requires="x14">
        <control shapeId="15727" r:id="rId142" name="CSADM_LD">
          <controlPr defaultSize="0" autoLine="0" r:id="rId143">
            <anchor moveWithCells="1">
              <from>
                <xdr:col>19</xdr:col>
                <xdr:colOff>104775</xdr:colOff>
                <xdr:row>27</xdr:row>
                <xdr:rowOff>95250</xdr:rowOff>
              </from>
              <to>
                <xdr:col>19</xdr:col>
                <xdr:colOff>619125</xdr:colOff>
                <xdr:row>29</xdr:row>
                <xdr:rowOff>0</xdr:rowOff>
              </to>
            </anchor>
          </controlPr>
        </control>
      </mc:Choice>
      <mc:Fallback>
        <control shapeId="15727" r:id="rId142" name="CSADM_LD"/>
      </mc:Fallback>
    </mc:AlternateContent>
    <mc:AlternateContent xmlns:mc="http://schemas.openxmlformats.org/markup-compatibility/2006">
      <mc:Choice Requires="x14">
        <control shapeId="15726" r:id="rId144" name="CSADM_SR">
          <controlPr defaultSize="0" autoLine="0" r:id="rId145">
            <anchor moveWithCells="1">
              <from>
                <xdr:col>18</xdr:col>
                <xdr:colOff>219075</xdr:colOff>
                <xdr:row>27</xdr:row>
                <xdr:rowOff>95250</xdr:rowOff>
              </from>
              <to>
                <xdr:col>19</xdr:col>
                <xdr:colOff>57150</xdr:colOff>
                <xdr:row>29</xdr:row>
                <xdr:rowOff>0</xdr:rowOff>
              </to>
            </anchor>
          </controlPr>
        </control>
      </mc:Choice>
      <mc:Fallback>
        <control shapeId="15726" r:id="rId144" name="CSADM_SR"/>
      </mc:Fallback>
    </mc:AlternateContent>
    <mc:AlternateContent xmlns:mc="http://schemas.openxmlformats.org/markup-compatibility/2006">
      <mc:Choice Requires="x14">
        <control shapeId="15725" r:id="rId146" name="CSADM_INT">
          <controlPr defaultSize="0" autoLine="0" r:id="rId147">
            <anchor moveWithCells="1">
              <from>
                <xdr:col>17</xdr:col>
                <xdr:colOff>342900</xdr:colOff>
                <xdr:row>27</xdr:row>
                <xdr:rowOff>95250</xdr:rowOff>
              </from>
              <to>
                <xdr:col>18</xdr:col>
                <xdr:colOff>171450</xdr:colOff>
                <xdr:row>29</xdr:row>
                <xdr:rowOff>0</xdr:rowOff>
              </to>
            </anchor>
          </controlPr>
        </control>
      </mc:Choice>
      <mc:Fallback>
        <control shapeId="15725" r:id="rId146" name="CSADM_INT"/>
      </mc:Fallback>
    </mc:AlternateContent>
    <mc:AlternateContent xmlns:mc="http://schemas.openxmlformats.org/markup-compatibility/2006">
      <mc:Choice Requires="x14">
        <control shapeId="15724" r:id="rId148" name="CSADM_JR">
          <controlPr defaultSize="0" autoLine="0" r:id="rId149">
            <anchor moveWithCells="1">
              <from>
                <xdr:col>16</xdr:col>
                <xdr:colOff>457200</xdr:colOff>
                <xdr:row>27</xdr:row>
                <xdr:rowOff>95250</xdr:rowOff>
              </from>
              <to>
                <xdr:col>17</xdr:col>
                <xdr:colOff>295275</xdr:colOff>
                <xdr:row>29</xdr:row>
                <xdr:rowOff>0</xdr:rowOff>
              </to>
            </anchor>
          </controlPr>
        </control>
      </mc:Choice>
      <mc:Fallback>
        <control shapeId="15724" r:id="rId148" name="CSADM_JR"/>
      </mc:Fallback>
    </mc:AlternateContent>
    <mc:AlternateContent xmlns:mc="http://schemas.openxmlformats.org/markup-compatibility/2006">
      <mc:Choice Requires="x14">
        <control shapeId="15723" r:id="rId150" name="EICT_TRN">
          <controlPr defaultSize="0" autoLine="0" r:id="rId151">
            <anchor moveWithCells="1">
              <from>
                <xdr:col>15</xdr:col>
                <xdr:colOff>581025</xdr:colOff>
                <xdr:row>25</xdr:row>
                <xdr:rowOff>85725</xdr:rowOff>
              </from>
              <to>
                <xdr:col>16</xdr:col>
                <xdr:colOff>409575</xdr:colOff>
                <xdr:row>26</xdr:row>
                <xdr:rowOff>171450</xdr:rowOff>
              </to>
            </anchor>
          </controlPr>
        </control>
      </mc:Choice>
      <mc:Fallback>
        <control shapeId="15723" r:id="rId150" name="EICT_TRN"/>
      </mc:Fallback>
    </mc:AlternateContent>
    <mc:AlternateContent xmlns:mc="http://schemas.openxmlformats.org/markup-compatibility/2006">
      <mc:Choice Requires="x14">
        <control shapeId="15721" r:id="rId152" name="EICT_SP">
          <controlPr defaultSize="0" autoLine="0" r:id="rId153">
            <anchor moveWithCells="1">
              <from>
                <xdr:col>19</xdr:col>
                <xdr:colOff>666750</xdr:colOff>
                <xdr:row>25</xdr:row>
                <xdr:rowOff>85725</xdr:rowOff>
              </from>
              <to>
                <xdr:col>20</xdr:col>
                <xdr:colOff>504825</xdr:colOff>
                <xdr:row>26</xdr:row>
                <xdr:rowOff>171450</xdr:rowOff>
              </to>
            </anchor>
          </controlPr>
        </control>
      </mc:Choice>
      <mc:Fallback>
        <control shapeId="15721" r:id="rId152" name="EICT_SP"/>
      </mc:Fallback>
    </mc:AlternateContent>
    <mc:AlternateContent xmlns:mc="http://schemas.openxmlformats.org/markup-compatibility/2006">
      <mc:Choice Requires="x14">
        <control shapeId="15720" r:id="rId154" name="EICT_LD">
          <controlPr defaultSize="0" autoLine="0" r:id="rId155">
            <anchor moveWithCells="1">
              <from>
                <xdr:col>19</xdr:col>
                <xdr:colOff>104775</xdr:colOff>
                <xdr:row>25</xdr:row>
                <xdr:rowOff>85725</xdr:rowOff>
              </from>
              <to>
                <xdr:col>19</xdr:col>
                <xdr:colOff>619125</xdr:colOff>
                <xdr:row>26</xdr:row>
                <xdr:rowOff>171450</xdr:rowOff>
              </to>
            </anchor>
          </controlPr>
        </control>
      </mc:Choice>
      <mc:Fallback>
        <control shapeId="15720" r:id="rId154" name="EICT_LD"/>
      </mc:Fallback>
    </mc:AlternateContent>
    <mc:AlternateContent xmlns:mc="http://schemas.openxmlformats.org/markup-compatibility/2006">
      <mc:Choice Requires="x14">
        <control shapeId="15719" r:id="rId156" name="EICT_SR">
          <controlPr defaultSize="0" autoLine="0" r:id="rId157">
            <anchor moveWithCells="1">
              <from>
                <xdr:col>18</xdr:col>
                <xdr:colOff>219075</xdr:colOff>
                <xdr:row>25</xdr:row>
                <xdr:rowOff>85725</xdr:rowOff>
              </from>
              <to>
                <xdr:col>19</xdr:col>
                <xdr:colOff>57150</xdr:colOff>
                <xdr:row>26</xdr:row>
                <xdr:rowOff>171450</xdr:rowOff>
              </to>
            </anchor>
          </controlPr>
        </control>
      </mc:Choice>
      <mc:Fallback>
        <control shapeId="15719" r:id="rId156" name="EICT_SR"/>
      </mc:Fallback>
    </mc:AlternateContent>
    <mc:AlternateContent xmlns:mc="http://schemas.openxmlformats.org/markup-compatibility/2006">
      <mc:Choice Requires="x14">
        <control shapeId="15718" r:id="rId158" name="EICT_INT">
          <controlPr defaultSize="0" autoLine="0" r:id="rId159">
            <anchor moveWithCells="1">
              <from>
                <xdr:col>17</xdr:col>
                <xdr:colOff>342900</xdr:colOff>
                <xdr:row>25</xdr:row>
                <xdr:rowOff>85725</xdr:rowOff>
              </from>
              <to>
                <xdr:col>18</xdr:col>
                <xdr:colOff>171450</xdr:colOff>
                <xdr:row>26</xdr:row>
                <xdr:rowOff>171450</xdr:rowOff>
              </to>
            </anchor>
          </controlPr>
        </control>
      </mc:Choice>
      <mc:Fallback>
        <control shapeId="15718" r:id="rId158" name="EICT_INT"/>
      </mc:Fallback>
    </mc:AlternateContent>
    <mc:AlternateContent xmlns:mc="http://schemas.openxmlformats.org/markup-compatibility/2006">
      <mc:Choice Requires="x14">
        <control shapeId="15717" r:id="rId160" name="EICT_JR">
          <controlPr defaultSize="0" autoLine="0" r:id="rId161">
            <anchor moveWithCells="1">
              <from>
                <xdr:col>16</xdr:col>
                <xdr:colOff>457200</xdr:colOff>
                <xdr:row>25</xdr:row>
                <xdr:rowOff>85725</xdr:rowOff>
              </from>
              <to>
                <xdr:col>17</xdr:col>
                <xdr:colOff>295275</xdr:colOff>
                <xdr:row>26</xdr:row>
                <xdr:rowOff>171450</xdr:rowOff>
              </to>
            </anchor>
          </controlPr>
        </control>
      </mc:Choice>
      <mc:Fallback>
        <control shapeId="15717" r:id="rId160" name="EICT_JR"/>
      </mc:Fallback>
    </mc:AlternateContent>
    <mc:AlternateContent xmlns:mc="http://schemas.openxmlformats.org/markup-compatibility/2006">
      <mc:Choice Requires="x14">
        <control shapeId="15716" r:id="rId162" name="PPD_TRN">
          <controlPr defaultSize="0" autoLine="0" r:id="rId163">
            <anchor moveWithCells="1">
              <from>
                <xdr:col>15</xdr:col>
                <xdr:colOff>581025</xdr:colOff>
                <xdr:row>23</xdr:row>
                <xdr:rowOff>76200</xdr:rowOff>
              </from>
              <to>
                <xdr:col>16</xdr:col>
                <xdr:colOff>409575</xdr:colOff>
                <xdr:row>24</xdr:row>
                <xdr:rowOff>161925</xdr:rowOff>
              </to>
            </anchor>
          </controlPr>
        </control>
      </mc:Choice>
      <mc:Fallback>
        <control shapeId="15716" r:id="rId162" name="PPD_TRN"/>
      </mc:Fallback>
    </mc:AlternateContent>
    <mc:AlternateContent xmlns:mc="http://schemas.openxmlformats.org/markup-compatibility/2006">
      <mc:Choice Requires="x14">
        <control shapeId="15714" r:id="rId164" name="PPD_SP">
          <controlPr defaultSize="0" autoLine="0" r:id="rId165">
            <anchor moveWithCells="1">
              <from>
                <xdr:col>19</xdr:col>
                <xdr:colOff>666750</xdr:colOff>
                <xdr:row>23</xdr:row>
                <xdr:rowOff>76200</xdr:rowOff>
              </from>
              <to>
                <xdr:col>20</xdr:col>
                <xdr:colOff>504825</xdr:colOff>
                <xdr:row>24</xdr:row>
                <xdr:rowOff>161925</xdr:rowOff>
              </to>
            </anchor>
          </controlPr>
        </control>
      </mc:Choice>
      <mc:Fallback>
        <control shapeId="15714" r:id="rId164" name="PPD_SP"/>
      </mc:Fallback>
    </mc:AlternateContent>
    <mc:AlternateContent xmlns:mc="http://schemas.openxmlformats.org/markup-compatibility/2006">
      <mc:Choice Requires="x14">
        <control shapeId="15713" r:id="rId166" name="PPD_LD">
          <controlPr defaultSize="0" autoLine="0" r:id="rId167">
            <anchor moveWithCells="1">
              <from>
                <xdr:col>19</xdr:col>
                <xdr:colOff>104775</xdr:colOff>
                <xdr:row>23</xdr:row>
                <xdr:rowOff>76200</xdr:rowOff>
              </from>
              <to>
                <xdr:col>19</xdr:col>
                <xdr:colOff>619125</xdr:colOff>
                <xdr:row>24</xdr:row>
                <xdr:rowOff>161925</xdr:rowOff>
              </to>
            </anchor>
          </controlPr>
        </control>
      </mc:Choice>
      <mc:Fallback>
        <control shapeId="15713" r:id="rId166" name="PPD_LD"/>
      </mc:Fallback>
    </mc:AlternateContent>
    <mc:AlternateContent xmlns:mc="http://schemas.openxmlformats.org/markup-compatibility/2006">
      <mc:Choice Requires="x14">
        <control shapeId="15712" r:id="rId168" name="PPD_SR">
          <controlPr defaultSize="0" autoLine="0" r:id="rId169">
            <anchor moveWithCells="1">
              <from>
                <xdr:col>18</xdr:col>
                <xdr:colOff>219075</xdr:colOff>
                <xdr:row>23</xdr:row>
                <xdr:rowOff>76200</xdr:rowOff>
              </from>
              <to>
                <xdr:col>19</xdr:col>
                <xdr:colOff>57150</xdr:colOff>
                <xdr:row>24</xdr:row>
                <xdr:rowOff>161925</xdr:rowOff>
              </to>
            </anchor>
          </controlPr>
        </control>
      </mc:Choice>
      <mc:Fallback>
        <control shapeId="15712" r:id="rId168" name="PPD_SR"/>
      </mc:Fallback>
    </mc:AlternateContent>
    <mc:AlternateContent xmlns:mc="http://schemas.openxmlformats.org/markup-compatibility/2006">
      <mc:Choice Requires="x14">
        <control shapeId="15711" r:id="rId170" name="PPD_INT">
          <controlPr defaultSize="0" autoLine="0" r:id="rId171">
            <anchor moveWithCells="1">
              <from>
                <xdr:col>17</xdr:col>
                <xdr:colOff>342900</xdr:colOff>
                <xdr:row>23</xdr:row>
                <xdr:rowOff>76200</xdr:rowOff>
              </from>
              <to>
                <xdr:col>18</xdr:col>
                <xdr:colOff>171450</xdr:colOff>
                <xdr:row>24</xdr:row>
                <xdr:rowOff>161925</xdr:rowOff>
              </to>
            </anchor>
          </controlPr>
        </control>
      </mc:Choice>
      <mc:Fallback>
        <control shapeId="15711" r:id="rId170" name="PPD_INT"/>
      </mc:Fallback>
    </mc:AlternateContent>
    <mc:AlternateContent xmlns:mc="http://schemas.openxmlformats.org/markup-compatibility/2006">
      <mc:Choice Requires="x14">
        <control shapeId="15710" r:id="rId172" name="PPD_JR">
          <controlPr defaultSize="0" autoLine="0" r:id="rId173">
            <anchor moveWithCells="1">
              <from>
                <xdr:col>16</xdr:col>
                <xdr:colOff>457200</xdr:colOff>
                <xdr:row>23</xdr:row>
                <xdr:rowOff>76200</xdr:rowOff>
              </from>
              <to>
                <xdr:col>17</xdr:col>
                <xdr:colOff>295275</xdr:colOff>
                <xdr:row>24</xdr:row>
                <xdr:rowOff>161925</xdr:rowOff>
              </to>
            </anchor>
          </controlPr>
        </control>
      </mc:Choice>
      <mc:Fallback>
        <control shapeId="15710" r:id="rId172" name="PPD_JR"/>
      </mc:Fallback>
    </mc:AlternateContent>
    <mc:AlternateContent xmlns:mc="http://schemas.openxmlformats.org/markup-compatibility/2006">
      <mc:Choice Requires="x14">
        <control shapeId="15782" r:id="rId174" name="CSAT_TRN">
          <controlPr defaultSize="0" autoLine="0" r:id="rId175">
            <anchor moveWithCells="1">
              <from>
                <xdr:col>8</xdr:col>
                <xdr:colOff>371475</xdr:colOff>
                <xdr:row>29</xdr:row>
                <xdr:rowOff>66675</xdr:rowOff>
              </from>
              <to>
                <xdr:col>9</xdr:col>
                <xdr:colOff>200025</xdr:colOff>
                <xdr:row>30</xdr:row>
                <xdr:rowOff>161925</xdr:rowOff>
              </to>
            </anchor>
          </controlPr>
        </control>
      </mc:Choice>
      <mc:Fallback>
        <control shapeId="15695" r:id="rId174" name="CSAT_TRN"/>
      </mc:Fallback>
    </mc:AlternateContent>
    <mc:AlternateContent xmlns:mc="http://schemas.openxmlformats.org/markup-compatibility/2006">
      <mc:Choice Requires="x14">
        <control shapeId="15783" r:id="rId176" name="CSAT_SME">
          <controlPr defaultSize="0" autoLine="0" r:id="rId177">
            <anchor moveWithCells="1">
              <from>
                <xdr:col>13</xdr:col>
                <xdr:colOff>342900</xdr:colOff>
                <xdr:row>29</xdr:row>
                <xdr:rowOff>66675</xdr:rowOff>
              </from>
              <to>
                <xdr:col>14</xdr:col>
                <xdr:colOff>180975</xdr:colOff>
                <xdr:row>30</xdr:row>
                <xdr:rowOff>161925</xdr:rowOff>
              </to>
            </anchor>
          </controlPr>
        </control>
      </mc:Choice>
      <mc:Fallback>
        <control shapeId="15694" r:id="rId176" name="CSAT_SME"/>
      </mc:Fallback>
    </mc:AlternateContent>
    <mc:AlternateContent xmlns:mc="http://schemas.openxmlformats.org/markup-compatibility/2006">
      <mc:Choice Requires="x14">
        <control shapeId="15784" r:id="rId178" name="CSAT_SP">
          <controlPr defaultSize="0" autoLine="0" r:id="rId179">
            <anchor moveWithCells="1">
              <from>
                <xdr:col>12</xdr:col>
                <xdr:colOff>466725</xdr:colOff>
                <xdr:row>29</xdr:row>
                <xdr:rowOff>66675</xdr:rowOff>
              </from>
              <to>
                <xdr:col>13</xdr:col>
                <xdr:colOff>295275</xdr:colOff>
                <xdr:row>30</xdr:row>
                <xdr:rowOff>161925</xdr:rowOff>
              </to>
            </anchor>
          </controlPr>
        </control>
      </mc:Choice>
      <mc:Fallback>
        <control shapeId="15693" r:id="rId178" name="CSAT_SP"/>
      </mc:Fallback>
    </mc:AlternateContent>
    <mc:AlternateContent xmlns:mc="http://schemas.openxmlformats.org/markup-compatibility/2006">
      <mc:Choice Requires="x14">
        <control shapeId="15785" r:id="rId180" name="CSAT_LD">
          <controlPr defaultSize="0" autoLine="0" r:id="rId181">
            <anchor moveWithCells="1">
              <from>
                <xdr:col>11</xdr:col>
                <xdr:colOff>581025</xdr:colOff>
                <xdr:row>29</xdr:row>
                <xdr:rowOff>66675</xdr:rowOff>
              </from>
              <to>
                <xdr:col>12</xdr:col>
                <xdr:colOff>419100</xdr:colOff>
                <xdr:row>30</xdr:row>
                <xdr:rowOff>161925</xdr:rowOff>
              </to>
            </anchor>
          </controlPr>
        </control>
      </mc:Choice>
      <mc:Fallback>
        <control shapeId="15692" r:id="rId180" name="CSAT_LD"/>
      </mc:Fallback>
    </mc:AlternateContent>
    <mc:AlternateContent xmlns:mc="http://schemas.openxmlformats.org/markup-compatibility/2006">
      <mc:Choice Requires="x14">
        <control shapeId="15786" r:id="rId182" name="CSAT_SR">
          <controlPr defaultSize="0" autoLine="0" r:id="rId183">
            <anchor moveWithCells="1">
              <from>
                <xdr:col>11</xdr:col>
                <xdr:colOff>19050</xdr:colOff>
                <xdr:row>29</xdr:row>
                <xdr:rowOff>66675</xdr:rowOff>
              </from>
              <to>
                <xdr:col>11</xdr:col>
                <xdr:colOff>533400</xdr:colOff>
                <xdr:row>30</xdr:row>
                <xdr:rowOff>161925</xdr:rowOff>
              </to>
            </anchor>
          </controlPr>
        </control>
      </mc:Choice>
      <mc:Fallback>
        <control shapeId="15691" r:id="rId182" name="CSAT_SR"/>
      </mc:Fallback>
    </mc:AlternateContent>
    <mc:AlternateContent xmlns:mc="http://schemas.openxmlformats.org/markup-compatibility/2006">
      <mc:Choice Requires="x14">
        <control shapeId="15787" r:id="rId184" name="CSAT_INT">
          <controlPr defaultSize="0" autoLine="0" r:id="rId185">
            <anchor moveWithCells="1">
              <from>
                <xdr:col>10</xdr:col>
                <xdr:colOff>133350</xdr:colOff>
                <xdr:row>29</xdr:row>
                <xdr:rowOff>66675</xdr:rowOff>
              </from>
              <to>
                <xdr:col>10</xdr:col>
                <xdr:colOff>657225</xdr:colOff>
                <xdr:row>30</xdr:row>
                <xdr:rowOff>161925</xdr:rowOff>
              </to>
            </anchor>
          </controlPr>
        </control>
      </mc:Choice>
      <mc:Fallback>
        <control shapeId="15690" r:id="rId184" name="CSAT_INT"/>
      </mc:Fallback>
    </mc:AlternateContent>
    <mc:AlternateContent xmlns:mc="http://schemas.openxmlformats.org/markup-compatibility/2006">
      <mc:Choice Requires="x14">
        <control shapeId="15689" r:id="rId186" name="CSAT_JR">
          <controlPr defaultSize="0" autoLine="0" r:id="rId187">
            <anchor moveWithCells="1">
              <from>
                <xdr:col>9</xdr:col>
                <xdr:colOff>257175</xdr:colOff>
                <xdr:row>29</xdr:row>
                <xdr:rowOff>66675</xdr:rowOff>
              </from>
              <to>
                <xdr:col>10</xdr:col>
                <xdr:colOff>85725</xdr:colOff>
                <xdr:row>30</xdr:row>
                <xdr:rowOff>161925</xdr:rowOff>
              </to>
            </anchor>
          </controlPr>
        </control>
      </mc:Choice>
      <mc:Fallback>
        <control shapeId="15689" r:id="rId186" name="CSAT_JR"/>
      </mc:Fallback>
    </mc:AlternateContent>
    <mc:AlternateContent xmlns:mc="http://schemas.openxmlformats.org/markup-compatibility/2006">
      <mc:Choice Requires="x14">
        <control shapeId="15688" r:id="rId188" name="TCAT_TRN">
          <controlPr defaultSize="0" autoLine="0" r:id="rId189">
            <anchor moveWithCells="1">
              <from>
                <xdr:col>8</xdr:col>
                <xdr:colOff>371475</xdr:colOff>
                <xdr:row>27</xdr:row>
                <xdr:rowOff>47625</xdr:rowOff>
              </from>
              <to>
                <xdr:col>9</xdr:col>
                <xdr:colOff>200025</xdr:colOff>
                <xdr:row>28</xdr:row>
                <xdr:rowOff>133350</xdr:rowOff>
              </to>
            </anchor>
          </controlPr>
        </control>
      </mc:Choice>
      <mc:Fallback>
        <control shapeId="15688" r:id="rId188" name="TCAT_TRN"/>
      </mc:Fallback>
    </mc:AlternateContent>
    <mc:AlternateContent xmlns:mc="http://schemas.openxmlformats.org/markup-compatibility/2006">
      <mc:Choice Requires="x14">
        <control shapeId="15687" r:id="rId190" name="TCAT_SME">
          <controlPr defaultSize="0" autoLine="0" r:id="rId191">
            <anchor moveWithCells="1">
              <from>
                <xdr:col>13</xdr:col>
                <xdr:colOff>342900</xdr:colOff>
                <xdr:row>27</xdr:row>
                <xdr:rowOff>47625</xdr:rowOff>
              </from>
              <to>
                <xdr:col>14</xdr:col>
                <xdr:colOff>180975</xdr:colOff>
                <xdr:row>28</xdr:row>
                <xdr:rowOff>133350</xdr:rowOff>
              </to>
            </anchor>
          </controlPr>
        </control>
      </mc:Choice>
      <mc:Fallback>
        <control shapeId="15687" r:id="rId190" name="TCAT_SME"/>
      </mc:Fallback>
    </mc:AlternateContent>
    <mc:AlternateContent xmlns:mc="http://schemas.openxmlformats.org/markup-compatibility/2006">
      <mc:Choice Requires="x14">
        <control shapeId="15686" r:id="rId192" name="TCAT_SP">
          <controlPr defaultSize="0" autoLine="0" r:id="rId193">
            <anchor moveWithCells="1">
              <from>
                <xdr:col>12</xdr:col>
                <xdr:colOff>466725</xdr:colOff>
                <xdr:row>27</xdr:row>
                <xdr:rowOff>47625</xdr:rowOff>
              </from>
              <to>
                <xdr:col>13</xdr:col>
                <xdr:colOff>295275</xdr:colOff>
                <xdr:row>28</xdr:row>
                <xdr:rowOff>133350</xdr:rowOff>
              </to>
            </anchor>
          </controlPr>
        </control>
      </mc:Choice>
      <mc:Fallback>
        <control shapeId="15686" r:id="rId192" name="TCAT_SP"/>
      </mc:Fallback>
    </mc:AlternateContent>
    <mc:AlternateContent xmlns:mc="http://schemas.openxmlformats.org/markup-compatibility/2006">
      <mc:Choice Requires="x14">
        <control shapeId="15685" r:id="rId194" name="TCAT_LD">
          <controlPr defaultSize="0" autoLine="0" r:id="rId195">
            <anchor moveWithCells="1">
              <from>
                <xdr:col>11</xdr:col>
                <xdr:colOff>581025</xdr:colOff>
                <xdr:row>27</xdr:row>
                <xdr:rowOff>47625</xdr:rowOff>
              </from>
              <to>
                <xdr:col>12</xdr:col>
                <xdr:colOff>419100</xdr:colOff>
                <xdr:row>28</xdr:row>
                <xdr:rowOff>133350</xdr:rowOff>
              </to>
            </anchor>
          </controlPr>
        </control>
      </mc:Choice>
      <mc:Fallback>
        <control shapeId="15685" r:id="rId194" name="TCAT_LD"/>
      </mc:Fallback>
    </mc:AlternateContent>
    <mc:AlternateContent xmlns:mc="http://schemas.openxmlformats.org/markup-compatibility/2006">
      <mc:Choice Requires="x14">
        <control shapeId="15684" r:id="rId196" name="TCAT_SR">
          <controlPr defaultSize="0" autoLine="0" r:id="rId197">
            <anchor moveWithCells="1">
              <from>
                <xdr:col>11</xdr:col>
                <xdr:colOff>19050</xdr:colOff>
                <xdr:row>27</xdr:row>
                <xdr:rowOff>47625</xdr:rowOff>
              </from>
              <to>
                <xdr:col>11</xdr:col>
                <xdr:colOff>533400</xdr:colOff>
                <xdr:row>28</xdr:row>
                <xdr:rowOff>133350</xdr:rowOff>
              </to>
            </anchor>
          </controlPr>
        </control>
      </mc:Choice>
      <mc:Fallback>
        <control shapeId="15684" r:id="rId196" name="TCAT_SR"/>
      </mc:Fallback>
    </mc:AlternateContent>
    <mc:AlternateContent xmlns:mc="http://schemas.openxmlformats.org/markup-compatibility/2006">
      <mc:Choice Requires="x14">
        <control shapeId="15683" r:id="rId198" name="TCAT_INT">
          <controlPr defaultSize="0" autoLine="0" r:id="rId199">
            <anchor moveWithCells="1">
              <from>
                <xdr:col>10</xdr:col>
                <xdr:colOff>133350</xdr:colOff>
                <xdr:row>27</xdr:row>
                <xdr:rowOff>47625</xdr:rowOff>
              </from>
              <to>
                <xdr:col>10</xdr:col>
                <xdr:colOff>657225</xdr:colOff>
                <xdr:row>28</xdr:row>
                <xdr:rowOff>133350</xdr:rowOff>
              </to>
            </anchor>
          </controlPr>
        </control>
      </mc:Choice>
      <mc:Fallback>
        <control shapeId="15683" r:id="rId198" name="TCAT_INT"/>
      </mc:Fallback>
    </mc:AlternateContent>
    <mc:AlternateContent xmlns:mc="http://schemas.openxmlformats.org/markup-compatibility/2006">
      <mc:Choice Requires="x14">
        <control shapeId="15682" r:id="rId200" name="TCAT_JR">
          <controlPr defaultSize="0" autoLine="0" r:id="rId201">
            <anchor moveWithCells="1">
              <from>
                <xdr:col>9</xdr:col>
                <xdr:colOff>257175</xdr:colOff>
                <xdr:row>27</xdr:row>
                <xdr:rowOff>47625</xdr:rowOff>
              </from>
              <to>
                <xdr:col>10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5682" r:id="rId200" name="TCAT_JR"/>
      </mc:Fallback>
    </mc:AlternateContent>
    <mc:AlternateContent xmlns:mc="http://schemas.openxmlformats.org/markup-compatibility/2006">
      <mc:Choice Requires="x14">
        <control shapeId="15681" r:id="rId202" name="ICT_TRN">
          <controlPr defaultSize="0" autoLine="0" r:id="rId203">
            <anchor moveWithCells="1">
              <from>
                <xdr:col>8</xdr:col>
                <xdr:colOff>371475</xdr:colOff>
                <xdr:row>25</xdr:row>
                <xdr:rowOff>28575</xdr:rowOff>
              </from>
              <to>
                <xdr:col>9</xdr:col>
                <xdr:colOff>200025</xdr:colOff>
                <xdr:row>26</xdr:row>
                <xdr:rowOff>123825</xdr:rowOff>
              </to>
            </anchor>
          </controlPr>
        </control>
      </mc:Choice>
      <mc:Fallback>
        <control shapeId="15681" r:id="rId202" name="ICT_TRN"/>
      </mc:Fallback>
    </mc:AlternateContent>
    <mc:AlternateContent xmlns:mc="http://schemas.openxmlformats.org/markup-compatibility/2006">
      <mc:Choice Requires="x14">
        <control shapeId="15680" r:id="rId204" name="ICT_SME">
          <controlPr defaultSize="0" autoLine="0" r:id="rId205">
            <anchor moveWithCells="1">
              <from>
                <xdr:col>13</xdr:col>
                <xdr:colOff>342900</xdr:colOff>
                <xdr:row>25</xdr:row>
                <xdr:rowOff>28575</xdr:rowOff>
              </from>
              <to>
                <xdr:col>14</xdr:col>
                <xdr:colOff>180975</xdr:colOff>
                <xdr:row>26</xdr:row>
                <xdr:rowOff>123825</xdr:rowOff>
              </to>
            </anchor>
          </controlPr>
        </control>
      </mc:Choice>
      <mc:Fallback>
        <control shapeId="15680" r:id="rId204" name="ICT_SME"/>
      </mc:Fallback>
    </mc:AlternateContent>
    <mc:AlternateContent xmlns:mc="http://schemas.openxmlformats.org/markup-compatibility/2006">
      <mc:Choice Requires="x14">
        <control shapeId="15679" r:id="rId206" name="ICT_SP">
          <controlPr defaultSize="0" autoLine="0" r:id="rId207">
            <anchor moveWithCells="1">
              <from>
                <xdr:col>12</xdr:col>
                <xdr:colOff>466725</xdr:colOff>
                <xdr:row>25</xdr:row>
                <xdr:rowOff>28575</xdr:rowOff>
              </from>
              <to>
                <xdr:col>13</xdr:col>
                <xdr:colOff>295275</xdr:colOff>
                <xdr:row>26</xdr:row>
                <xdr:rowOff>123825</xdr:rowOff>
              </to>
            </anchor>
          </controlPr>
        </control>
      </mc:Choice>
      <mc:Fallback>
        <control shapeId="15679" r:id="rId206" name="ICT_SP"/>
      </mc:Fallback>
    </mc:AlternateContent>
    <mc:AlternateContent xmlns:mc="http://schemas.openxmlformats.org/markup-compatibility/2006">
      <mc:Choice Requires="x14">
        <control shapeId="15678" r:id="rId208" name="ICT_LD">
          <controlPr defaultSize="0" autoLine="0" r:id="rId209">
            <anchor moveWithCells="1">
              <from>
                <xdr:col>11</xdr:col>
                <xdr:colOff>581025</xdr:colOff>
                <xdr:row>25</xdr:row>
                <xdr:rowOff>28575</xdr:rowOff>
              </from>
              <to>
                <xdr:col>12</xdr:col>
                <xdr:colOff>419100</xdr:colOff>
                <xdr:row>26</xdr:row>
                <xdr:rowOff>123825</xdr:rowOff>
              </to>
            </anchor>
          </controlPr>
        </control>
      </mc:Choice>
      <mc:Fallback>
        <control shapeId="15678" r:id="rId208" name="ICT_LD"/>
      </mc:Fallback>
    </mc:AlternateContent>
    <mc:AlternateContent xmlns:mc="http://schemas.openxmlformats.org/markup-compatibility/2006">
      <mc:Choice Requires="x14">
        <control shapeId="15677" r:id="rId210" name="ICT_SR">
          <controlPr defaultSize="0" autoLine="0" r:id="rId211">
            <anchor moveWithCells="1">
              <from>
                <xdr:col>11</xdr:col>
                <xdr:colOff>19050</xdr:colOff>
                <xdr:row>25</xdr:row>
                <xdr:rowOff>28575</xdr:rowOff>
              </from>
              <to>
                <xdr:col>11</xdr:col>
                <xdr:colOff>533400</xdr:colOff>
                <xdr:row>26</xdr:row>
                <xdr:rowOff>123825</xdr:rowOff>
              </to>
            </anchor>
          </controlPr>
        </control>
      </mc:Choice>
      <mc:Fallback>
        <control shapeId="15677" r:id="rId210" name="ICT_SR"/>
      </mc:Fallback>
    </mc:AlternateContent>
    <mc:AlternateContent xmlns:mc="http://schemas.openxmlformats.org/markup-compatibility/2006">
      <mc:Choice Requires="x14">
        <control shapeId="15676" r:id="rId212" name="ICT_INT">
          <controlPr defaultSize="0" autoLine="0" r:id="rId213">
            <anchor moveWithCells="1">
              <from>
                <xdr:col>10</xdr:col>
                <xdr:colOff>133350</xdr:colOff>
                <xdr:row>25</xdr:row>
                <xdr:rowOff>28575</xdr:rowOff>
              </from>
              <to>
                <xdr:col>10</xdr:col>
                <xdr:colOff>657225</xdr:colOff>
                <xdr:row>26</xdr:row>
                <xdr:rowOff>123825</xdr:rowOff>
              </to>
            </anchor>
          </controlPr>
        </control>
      </mc:Choice>
      <mc:Fallback>
        <control shapeId="15676" r:id="rId212" name="ICT_INT"/>
      </mc:Fallback>
    </mc:AlternateContent>
    <mc:AlternateContent xmlns:mc="http://schemas.openxmlformats.org/markup-compatibility/2006">
      <mc:Choice Requires="x14">
        <control shapeId="15675" r:id="rId214" name="ICT_JR">
          <controlPr defaultSize="0" autoLine="0" r:id="rId215">
            <anchor moveWithCells="1">
              <from>
                <xdr:col>9</xdr:col>
                <xdr:colOff>257175</xdr:colOff>
                <xdr:row>25</xdr:row>
                <xdr:rowOff>28575</xdr:rowOff>
              </from>
              <to>
                <xdr:col>10</xdr:col>
                <xdr:colOff>85725</xdr:colOff>
                <xdr:row>26</xdr:row>
                <xdr:rowOff>123825</xdr:rowOff>
              </to>
            </anchor>
          </controlPr>
        </control>
      </mc:Choice>
      <mc:Fallback>
        <control shapeId="15675" r:id="rId214" name="ICT_JR"/>
      </mc:Fallback>
    </mc:AlternateContent>
    <mc:AlternateContent xmlns:mc="http://schemas.openxmlformats.org/markup-compatibility/2006">
      <mc:Choice Requires="x14">
        <control shapeId="15674" r:id="rId216" name="ET_TRN">
          <controlPr defaultSize="0" autoLine="0" r:id="rId217">
            <anchor moveWithCells="1">
              <from>
                <xdr:col>8</xdr:col>
                <xdr:colOff>371475</xdr:colOff>
                <xdr:row>23</xdr:row>
                <xdr:rowOff>19050</xdr:rowOff>
              </from>
              <to>
                <xdr:col>9</xdr:col>
                <xdr:colOff>200025</xdr:colOff>
                <xdr:row>24</xdr:row>
                <xdr:rowOff>104775</xdr:rowOff>
              </to>
            </anchor>
          </controlPr>
        </control>
      </mc:Choice>
      <mc:Fallback>
        <control shapeId="15674" r:id="rId216" name="ET_TRN"/>
      </mc:Fallback>
    </mc:AlternateContent>
    <mc:AlternateContent xmlns:mc="http://schemas.openxmlformats.org/markup-compatibility/2006">
      <mc:Choice Requires="x14">
        <control shapeId="15673" r:id="rId218" name="ET_SME">
          <controlPr defaultSize="0" autoLine="0" r:id="rId219">
            <anchor moveWithCells="1">
              <from>
                <xdr:col>13</xdr:col>
                <xdr:colOff>342900</xdr:colOff>
                <xdr:row>23</xdr:row>
                <xdr:rowOff>19050</xdr:rowOff>
              </from>
              <to>
                <xdr:col>14</xdr:col>
                <xdr:colOff>180975</xdr:colOff>
                <xdr:row>24</xdr:row>
                <xdr:rowOff>104775</xdr:rowOff>
              </to>
            </anchor>
          </controlPr>
        </control>
      </mc:Choice>
      <mc:Fallback>
        <control shapeId="15673" r:id="rId218" name="ET_SME"/>
      </mc:Fallback>
    </mc:AlternateContent>
    <mc:AlternateContent xmlns:mc="http://schemas.openxmlformats.org/markup-compatibility/2006">
      <mc:Choice Requires="x14">
        <control shapeId="15672" r:id="rId220" name="ET_SP">
          <controlPr defaultSize="0" autoLine="0" r:id="rId221">
            <anchor moveWithCells="1">
              <from>
                <xdr:col>12</xdr:col>
                <xdr:colOff>466725</xdr:colOff>
                <xdr:row>23</xdr:row>
                <xdr:rowOff>19050</xdr:rowOff>
              </from>
              <to>
                <xdr:col>13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5672" r:id="rId220" name="ET_SP"/>
      </mc:Fallback>
    </mc:AlternateContent>
    <mc:AlternateContent xmlns:mc="http://schemas.openxmlformats.org/markup-compatibility/2006">
      <mc:Choice Requires="x14">
        <control shapeId="15671" r:id="rId222" name="ET_LD">
          <controlPr defaultSize="0" autoLine="0" r:id="rId223">
            <anchor moveWithCells="1">
              <from>
                <xdr:col>11</xdr:col>
                <xdr:colOff>581025</xdr:colOff>
                <xdr:row>23</xdr:row>
                <xdr:rowOff>19050</xdr:rowOff>
              </from>
              <to>
                <xdr:col>12</xdr:col>
                <xdr:colOff>419100</xdr:colOff>
                <xdr:row>24</xdr:row>
                <xdr:rowOff>104775</xdr:rowOff>
              </to>
            </anchor>
          </controlPr>
        </control>
      </mc:Choice>
      <mc:Fallback>
        <control shapeId="15671" r:id="rId222" name="ET_LD"/>
      </mc:Fallback>
    </mc:AlternateContent>
    <mc:AlternateContent xmlns:mc="http://schemas.openxmlformats.org/markup-compatibility/2006">
      <mc:Choice Requires="x14">
        <control shapeId="15670" r:id="rId224" name="ET_SR">
          <controlPr defaultSize="0" autoLine="0" r:id="rId225">
            <anchor moveWithCells="1">
              <from>
                <xdr:col>11</xdr:col>
                <xdr:colOff>19050</xdr:colOff>
                <xdr:row>23</xdr:row>
                <xdr:rowOff>19050</xdr:rowOff>
              </from>
              <to>
                <xdr:col>11</xdr:col>
                <xdr:colOff>533400</xdr:colOff>
                <xdr:row>24</xdr:row>
                <xdr:rowOff>104775</xdr:rowOff>
              </to>
            </anchor>
          </controlPr>
        </control>
      </mc:Choice>
      <mc:Fallback>
        <control shapeId="15670" r:id="rId224" name="ET_SR"/>
      </mc:Fallback>
    </mc:AlternateContent>
    <mc:AlternateContent xmlns:mc="http://schemas.openxmlformats.org/markup-compatibility/2006">
      <mc:Choice Requires="x14">
        <control shapeId="15669" r:id="rId226" name="ET_INT">
          <controlPr defaultSize="0" autoLine="0" r:id="rId227">
            <anchor moveWithCells="1">
              <from>
                <xdr:col>10</xdr:col>
                <xdr:colOff>133350</xdr:colOff>
                <xdr:row>23</xdr:row>
                <xdr:rowOff>19050</xdr:rowOff>
              </from>
              <to>
                <xdr:col>10</xdr:col>
                <xdr:colOff>657225</xdr:colOff>
                <xdr:row>24</xdr:row>
                <xdr:rowOff>104775</xdr:rowOff>
              </to>
            </anchor>
          </controlPr>
        </control>
      </mc:Choice>
      <mc:Fallback>
        <control shapeId="15669" r:id="rId226" name="ET_INT"/>
      </mc:Fallback>
    </mc:AlternateContent>
    <mc:AlternateContent xmlns:mc="http://schemas.openxmlformats.org/markup-compatibility/2006">
      <mc:Choice Requires="x14">
        <control shapeId="15668" r:id="rId228" name="ET_JR">
          <controlPr defaultSize="0" autoLine="0" r:id="rId229">
            <anchor moveWithCells="1">
              <from>
                <xdr:col>9</xdr:col>
                <xdr:colOff>257175</xdr:colOff>
                <xdr:row>23</xdr:row>
                <xdr:rowOff>19050</xdr:rowOff>
              </from>
              <to>
                <xdr:col>10</xdr:col>
                <xdr:colOff>85725</xdr:colOff>
                <xdr:row>24</xdr:row>
                <xdr:rowOff>104775</xdr:rowOff>
              </to>
            </anchor>
          </controlPr>
        </control>
      </mc:Choice>
      <mc:Fallback>
        <control shapeId="15668" r:id="rId228" name="ET_JR"/>
      </mc:Fallback>
    </mc:AlternateContent>
    <mc:AlternateContent xmlns:mc="http://schemas.openxmlformats.org/markup-compatibility/2006">
      <mc:Choice Requires="x14">
        <control shapeId="15667" r:id="rId230" name="CSAE_EIT">
          <controlPr defaultSize="0" autoLine="0" r:id="rId231">
            <anchor moveWithCells="1">
              <from>
                <xdr:col>15</xdr:col>
                <xdr:colOff>581025</xdr:colOff>
                <xdr:row>18</xdr:row>
                <xdr:rowOff>9525</xdr:rowOff>
              </from>
              <to>
                <xdr:col>16</xdr:col>
                <xdr:colOff>409575</xdr:colOff>
                <xdr:row>19</xdr:row>
                <xdr:rowOff>95250</xdr:rowOff>
              </to>
            </anchor>
          </controlPr>
        </control>
      </mc:Choice>
      <mc:Fallback>
        <control shapeId="15667" r:id="rId230" name="CSAE_EIT"/>
      </mc:Fallback>
    </mc:AlternateContent>
    <mc:AlternateContent xmlns:mc="http://schemas.openxmlformats.org/markup-compatibility/2006">
      <mc:Choice Requires="x14">
        <control shapeId="15666" r:id="rId232" name="CSAE_SME">
          <controlPr defaultSize="0" autoLine="0" r:id="rId233">
            <anchor moveWithCells="1">
              <from>
                <xdr:col>20</xdr:col>
                <xdr:colOff>552450</xdr:colOff>
                <xdr:row>18</xdr:row>
                <xdr:rowOff>9525</xdr:rowOff>
              </from>
              <to>
                <xdr:col>21</xdr:col>
                <xdr:colOff>381000</xdr:colOff>
                <xdr:row>19</xdr:row>
                <xdr:rowOff>95250</xdr:rowOff>
              </to>
            </anchor>
          </controlPr>
        </control>
      </mc:Choice>
      <mc:Fallback>
        <control shapeId="15666" r:id="rId232" name="CSAE_SME"/>
      </mc:Fallback>
    </mc:AlternateContent>
    <mc:AlternateContent xmlns:mc="http://schemas.openxmlformats.org/markup-compatibility/2006">
      <mc:Choice Requires="x14">
        <control shapeId="15665" r:id="rId234" name="CSAE_SP">
          <controlPr defaultSize="0" autoLine="0" r:id="rId235">
            <anchor moveWithCells="1">
              <from>
                <xdr:col>19</xdr:col>
                <xdr:colOff>666750</xdr:colOff>
                <xdr:row>18</xdr:row>
                <xdr:rowOff>9525</xdr:rowOff>
              </from>
              <to>
                <xdr:col>20</xdr:col>
                <xdr:colOff>504825</xdr:colOff>
                <xdr:row>19</xdr:row>
                <xdr:rowOff>95250</xdr:rowOff>
              </to>
            </anchor>
          </controlPr>
        </control>
      </mc:Choice>
      <mc:Fallback>
        <control shapeId="15665" r:id="rId234" name="CSAE_SP"/>
      </mc:Fallback>
    </mc:AlternateContent>
    <mc:AlternateContent xmlns:mc="http://schemas.openxmlformats.org/markup-compatibility/2006">
      <mc:Choice Requires="x14">
        <control shapeId="15664" r:id="rId236" name="CSAE_LD">
          <controlPr defaultSize="0" autoLine="0" r:id="rId237">
            <anchor moveWithCells="1">
              <from>
                <xdr:col>19</xdr:col>
                <xdr:colOff>104775</xdr:colOff>
                <xdr:row>18</xdr:row>
                <xdr:rowOff>9525</xdr:rowOff>
              </from>
              <to>
                <xdr:col>19</xdr:col>
                <xdr:colOff>619125</xdr:colOff>
                <xdr:row>19</xdr:row>
                <xdr:rowOff>95250</xdr:rowOff>
              </to>
            </anchor>
          </controlPr>
        </control>
      </mc:Choice>
      <mc:Fallback>
        <control shapeId="15664" r:id="rId236" name="CSAE_LD"/>
      </mc:Fallback>
    </mc:AlternateContent>
    <mc:AlternateContent xmlns:mc="http://schemas.openxmlformats.org/markup-compatibility/2006">
      <mc:Choice Requires="x14">
        <control shapeId="15663" r:id="rId238" name="CSAE_SR">
          <controlPr defaultSize="0" autoLine="0" r:id="rId239">
            <anchor moveWithCells="1">
              <from>
                <xdr:col>18</xdr:col>
                <xdr:colOff>219075</xdr:colOff>
                <xdr:row>18</xdr:row>
                <xdr:rowOff>9525</xdr:rowOff>
              </from>
              <to>
                <xdr:col>19</xdr:col>
                <xdr:colOff>57150</xdr:colOff>
                <xdr:row>19</xdr:row>
                <xdr:rowOff>95250</xdr:rowOff>
              </to>
            </anchor>
          </controlPr>
        </control>
      </mc:Choice>
      <mc:Fallback>
        <control shapeId="15663" r:id="rId238" name="CSAE_SR"/>
      </mc:Fallback>
    </mc:AlternateContent>
    <mc:AlternateContent xmlns:mc="http://schemas.openxmlformats.org/markup-compatibility/2006">
      <mc:Choice Requires="x14">
        <control shapeId="15662" r:id="rId240" name="CSAE_INT">
          <controlPr defaultSize="0" autoLine="0" r:id="rId241">
            <anchor moveWithCells="1">
              <from>
                <xdr:col>17</xdr:col>
                <xdr:colOff>342900</xdr:colOff>
                <xdr:row>18</xdr:row>
                <xdr:rowOff>9525</xdr:rowOff>
              </from>
              <to>
                <xdr:col>18</xdr:col>
                <xdr:colOff>171450</xdr:colOff>
                <xdr:row>19</xdr:row>
                <xdr:rowOff>95250</xdr:rowOff>
              </to>
            </anchor>
          </controlPr>
        </control>
      </mc:Choice>
      <mc:Fallback>
        <control shapeId="15662" r:id="rId240" name="CSAE_INT"/>
      </mc:Fallback>
    </mc:AlternateContent>
    <mc:AlternateContent xmlns:mc="http://schemas.openxmlformats.org/markup-compatibility/2006">
      <mc:Choice Requires="x14">
        <control shapeId="15661" r:id="rId242" name="CSAE_JR">
          <controlPr defaultSize="0" autoLine="0" r:id="rId243">
            <anchor moveWithCells="1">
              <from>
                <xdr:col>16</xdr:col>
                <xdr:colOff>457200</xdr:colOff>
                <xdr:row>18</xdr:row>
                <xdr:rowOff>9525</xdr:rowOff>
              </from>
              <to>
                <xdr:col>17</xdr:col>
                <xdr:colOff>295275</xdr:colOff>
                <xdr:row>19</xdr:row>
                <xdr:rowOff>95250</xdr:rowOff>
              </to>
            </anchor>
          </controlPr>
        </control>
      </mc:Choice>
      <mc:Fallback>
        <control shapeId="15661" r:id="rId242" name="CSAE_JR"/>
      </mc:Fallback>
    </mc:AlternateContent>
    <mc:AlternateContent xmlns:mc="http://schemas.openxmlformats.org/markup-compatibility/2006">
      <mc:Choice Requires="x14">
        <control shapeId="15660" r:id="rId244" name="TCAE_EIT">
          <controlPr defaultSize="0" autoLine="0" r:id="rId245">
            <anchor moveWithCells="1">
              <from>
                <xdr:col>15</xdr:col>
                <xdr:colOff>581025</xdr:colOff>
                <xdr:row>15</xdr:row>
                <xdr:rowOff>171450</xdr:rowOff>
              </from>
              <to>
                <xdr:col>16</xdr:col>
                <xdr:colOff>409575</xdr:colOff>
                <xdr:row>17</xdr:row>
                <xdr:rowOff>85725</xdr:rowOff>
              </to>
            </anchor>
          </controlPr>
        </control>
      </mc:Choice>
      <mc:Fallback>
        <control shapeId="15660" r:id="rId244" name="TCAE_EIT"/>
      </mc:Fallback>
    </mc:AlternateContent>
    <mc:AlternateContent xmlns:mc="http://schemas.openxmlformats.org/markup-compatibility/2006">
      <mc:Choice Requires="x14">
        <control shapeId="15659" r:id="rId246" name="TCAE_SME">
          <controlPr defaultSize="0" autoLine="0" r:id="rId247">
            <anchor moveWithCells="1">
              <from>
                <xdr:col>20</xdr:col>
                <xdr:colOff>552450</xdr:colOff>
                <xdr:row>15</xdr:row>
                <xdr:rowOff>171450</xdr:rowOff>
              </from>
              <to>
                <xdr:col>21</xdr:col>
                <xdr:colOff>381000</xdr:colOff>
                <xdr:row>17</xdr:row>
                <xdr:rowOff>85725</xdr:rowOff>
              </to>
            </anchor>
          </controlPr>
        </control>
      </mc:Choice>
      <mc:Fallback>
        <control shapeId="15659" r:id="rId246" name="TCAE_SME"/>
      </mc:Fallback>
    </mc:AlternateContent>
    <mc:AlternateContent xmlns:mc="http://schemas.openxmlformats.org/markup-compatibility/2006">
      <mc:Choice Requires="x14">
        <control shapeId="15658" r:id="rId248" name="TCAE_SP">
          <controlPr defaultSize="0" autoLine="0" r:id="rId249">
            <anchor moveWithCells="1">
              <from>
                <xdr:col>19</xdr:col>
                <xdr:colOff>666750</xdr:colOff>
                <xdr:row>15</xdr:row>
                <xdr:rowOff>171450</xdr:rowOff>
              </from>
              <to>
                <xdr:col>20</xdr:col>
                <xdr:colOff>504825</xdr:colOff>
                <xdr:row>17</xdr:row>
                <xdr:rowOff>85725</xdr:rowOff>
              </to>
            </anchor>
          </controlPr>
        </control>
      </mc:Choice>
      <mc:Fallback>
        <control shapeId="15658" r:id="rId248" name="TCAE_SP"/>
      </mc:Fallback>
    </mc:AlternateContent>
    <mc:AlternateContent xmlns:mc="http://schemas.openxmlformats.org/markup-compatibility/2006">
      <mc:Choice Requires="x14">
        <control shapeId="15657" r:id="rId250" name="TCAE_LD">
          <controlPr defaultSize="0" autoLine="0" r:id="rId251">
            <anchor moveWithCells="1">
              <from>
                <xdr:col>19</xdr:col>
                <xdr:colOff>104775</xdr:colOff>
                <xdr:row>15</xdr:row>
                <xdr:rowOff>171450</xdr:rowOff>
              </from>
              <to>
                <xdr:col>19</xdr:col>
                <xdr:colOff>619125</xdr:colOff>
                <xdr:row>17</xdr:row>
                <xdr:rowOff>85725</xdr:rowOff>
              </to>
            </anchor>
          </controlPr>
        </control>
      </mc:Choice>
      <mc:Fallback>
        <control shapeId="15657" r:id="rId250" name="TCAE_LD"/>
      </mc:Fallback>
    </mc:AlternateContent>
    <mc:AlternateContent xmlns:mc="http://schemas.openxmlformats.org/markup-compatibility/2006">
      <mc:Choice Requires="x14">
        <control shapeId="15656" r:id="rId252" name="TCAE_SR">
          <controlPr defaultSize="0" autoLine="0" r:id="rId253">
            <anchor moveWithCells="1">
              <from>
                <xdr:col>18</xdr:col>
                <xdr:colOff>219075</xdr:colOff>
                <xdr:row>15</xdr:row>
                <xdr:rowOff>171450</xdr:rowOff>
              </from>
              <to>
                <xdr:col>19</xdr:col>
                <xdr:colOff>57150</xdr:colOff>
                <xdr:row>17</xdr:row>
                <xdr:rowOff>85725</xdr:rowOff>
              </to>
            </anchor>
          </controlPr>
        </control>
      </mc:Choice>
      <mc:Fallback>
        <control shapeId="15656" r:id="rId252" name="TCAE_SR"/>
      </mc:Fallback>
    </mc:AlternateContent>
    <mc:AlternateContent xmlns:mc="http://schemas.openxmlformats.org/markup-compatibility/2006">
      <mc:Choice Requires="x14">
        <control shapeId="15655" r:id="rId254" name="TCAE_INT">
          <controlPr defaultSize="0" autoLine="0" r:id="rId255">
            <anchor moveWithCells="1">
              <from>
                <xdr:col>17</xdr:col>
                <xdr:colOff>342900</xdr:colOff>
                <xdr:row>15</xdr:row>
                <xdr:rowOff>171450</xdr:rowOff>
              </from>
              <to>
                <xdr:col>18</xdr:col>
                <xdr:colOff>171450</xdr:colOff>
                <xdr:row>17</xdr:row>
                <xdr:rowOff>85725</xdr:rowOff>
              </to>
            </anchor>
          </controlPr>
        </control>
      </mc:Choice>
      <mc:Fallback>
        <control shapeId="15655" r:id="rId254" name="TCAE_INT"/>
      </mc:Fallback>
    </mc:AlternateContent>
    <mc:AlternateContent xmlns:mc="http://schemas.openxmlformats.org/markup-compatibility/2006">
      <mc:Choice Requires="x14">
        <control shapeId="15654" r:id="rId256" name="TCAE_JR">
          <controlPr defaultSize="0" autoLine="0" r:id="rId257">
            <anchor moveWithCells="1">
              <from>
                <xdr:col>16</xdr:col>
                <xdr:colOff>457200</xdr:colOff>
                <xdr:row>15</xdr:row>
                <xdr:rowOff>171450</xdr:rowOff>
              </from>
              <to>
                <xdr:col>17</xdr:col>
                <xdr:colOff>295275</xdr:colOff>
                <xdr:row>17</xdr:row>
                <xdr:rowOff>85725</xdr:rowOff>
              </to>
            </anchor>
          </controlPr>
        </control>
      </mc:Choice>
      <mc:Fallback>
        <control shapeId="15654" r:id="rId256" name="TCAE_JR"/>
      </mc:Fallback>
    </mc:AlternateContent>
    <mc:AlternateContent xmlns:mc="http://schemas.openxmlformats.org/markup-compatibility/2006">
      <mc:Choice Requires="x14">
        <control shapeId="15653" r:id="rId258" name="ICE_EIT">
          <controlPr defaultSize="0" autoLine="0" r:id="rId259">
            <anchor moveWithCells="1">
              <from>
                <xdr:col>15</xdr:col>
                <xdr:colOff>581025</xdr:colOff>
                <xdr:row>13</xdr:row>
                <xdr:rowOff>171450</xdr:rowOff>
              </from>
              <to>
                <xdr:col>16</xdr:col>
                <xdr:colOff>409575</xdr:colOff>
                <xdr:row>15</xdr:row>
                <xdr:rowOff>76200</xdr:rowOff>
              </to>
            </anchor>
          </controlPr>
        </control>
      </mc:Choice>
      <mc:Fallback>
        <control shapeId="15653" r:id="rId258" name="ICE_EIT"/>
      </mc:Fallback>
    </mc:AlternateContent>
    <mc:AlternateContent xmlns:mc="http://schemas.openxmlformats.org/markup-compatibility/2006">
      <mc:Choice Requires="x14">
        <control shapeId="15652" r:id="rId260" name="ICE_SME">
          <controlPr defaultSize="0" autoLine="0" r:id="rId261">
            <anchor moveWithCells="1">
              <from>
                <xdr:col>20</xdr:col>
                <xdr:colOff>552450</xdr:colOff>
                <xdr:row>13</xdr:row>
                <xdr:rowOff>171450</xdr:rowOff>
              </from>
              <to>
                <xdr:col>21</xdr:col>
                <xdr:colOff>381000</xdr:colOff>
                <xdr:row>15</xdr:row>
                <xdr:rowOff>76200</xdr:rowOff>
              </to>
            </anchor>
          </controlPr>
        </control>
      </mc:Choice>
      <mc:Fallback>
        <control shapeId="15652" r:id="rId260" name="ICE_SME"/>
      </mc:Fallback>
    </mc:AlternateContent>
    <mc:AlternateContent xmlns:mc="http://schemas.openxmlformats.org/markup-compatibility/2006">
      <mc:Choice Requires="x14">
        <control shapeId="15651" r:id="rId262" name="ICE_SP">
          <controlPr defaultSize="0" autoLine="0" r:id="rId263">
            <anchor moveWithCells="1">
              <from>
                <xdr:col>19</xdr:col>
                <xdr:colOff>666750</xdr:colOff>
                <xdr:row>13</xdr:row>
                <xdr:rowOff>171450</xdr:rowOff>
              </from>
              <to>
                <xdr:col>20</xdr:col>
                <xdr:colOff>504825</xdr:colOff>
                <xdr:row>15</xdr:row>
                <xdr:rowOff>76200</xdr:rowOff>
              </to>
            </anchor>
          </controlPr>
        </control>
      </mc:Choice>
      <mc:Fallback>
        <control shapeId="15651" r:id="rId262" name="ICE_SP"/>
      </mc:Fallback>
    </mc:AlternateContent>
    <mc:AlternateContent xmlns:mc="http://schemas.openxmlformats.org/markup-compatibility/2006">
      <mc:Choice Requires="x14">
        <control shapeId="15650" r:id="rId264" name="ICE_LD">
          <controlPr defaultSize="0" autoLine="0" r:id="rId265">
            <anchor moveWithCells="1">
              <from>
                <xdr:col>19</xdr:col>
                <xdr:colOff>104775</xdr:colOff>
                <xdr:row>13</xdr:row>
                <xdr:rowOff>171450</xdr:rowOff>
              </from>
              <to>
                <xdr:col>19</xdr:col>
                <xdr:colOff>619125</xdr:colOff>
                <xdr:row>15</xdr:row>
                <xdr:rowOff>76200</xdr:rowOff>
              </to>
            </anchor>
          </controlPr>
        </control>
      </mc:Choice>
      <mc:Fallback>
        <control shapeId="15650" r:id="rId264" name="ICE_LD"/>
      </mc:Fallback>
    </mc:AlternateContent>
    <mc:AlternateContent xmlns:mc="http://schemas.openxmlformats.org/markup-compatibility/2006">
      <mc:Choice Requires="x14">
        <control shapeId="15649" r:id="rId266" name="ICE_SR">
          <controlPr defaultSize="0" autoLine="0" r:id="rId267">
            <anchor moveWithCells="1">
              <from>
                <xdr:col>18</xdr:col>
                <xdr:colOff>219075</xdr:colOff>
                <xdr:row>13</xdr:row>
                <xdr:rowOff>171450</xdr:rowOff>
              </from>
              <to>
                <xdr:col>19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15649" r:id="rId266" name="ICE_SR"/>
      </mc:Fallback>
    </mc:AlternateContent>
    <mc:AlternateContent xmlns:mc="http://schemas.openxmlformats.org/markup-compatibility/2006">
      <mc:Choice Requires="x14">
        <control shapeId="15648" r:id="rId268" name="ICE_INT">
          <controlPr defaultSize="0" autoLine="0" r:id="rId269">
            <anchor moveWithCells="1">
              <from>
                <xdr:col>17</xdr:col>
                <xdr:colOff>342900</xdr:colOff>
                <xdr:row>13</xdr:row>
                <xdr:rowOff>171450</xdr:rowOff>
              </from>
              <to>
                <xdr:col>18</xdr:col>
                <xdr:colOff>171450</xdr:colOff>
                <xdr:row>15</xdr:row>
                <xdr:rowOff>76200</xdr:rowOff>
              </to>
            </anchor>
          </controlPr>
        </control>
      </mc:Choice>
      <mc:Fallback>
        <control shapeId="15648" r:id="rId268" name="ICE_INT"/>
      </mc:Fallback>
    </mc:AlternateContent>
    <mc:AlternateContent xmlns:mc="http://schemas.openxmlformats.org/markup-compatibility/2006">
      <mc:Choice Requires="x14">
        <control shapeId="15647" r:id="rId270" name="ICE_JR">
          <controlPr defaultSize="0" autoLine="0" r:id="rId271">
            <anchor moveWithCells="1">
              <from>
                <xdr:col>16</xdr:col>
                <xdr:colOff>457200</xdr:colOff>
                <xdr:row>13</xdr:row>
                <xdr:rowOff>171450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15647" r:id="rId270" name="ICE_JR"/>
      </mc:Fallback>
    </mc:AlternateContent>
    <mc:AlternateContent xmlns:mc="http://schemas.openxmlformats.org/markup-compatibility/2006">
      <mc:Choice Requires="x14">
        <control shapeId="15646" r:id="rId272" name="EE_EIT">
          <controlPr defaultSize="0" autoLine="0" r:id="rId273">
            <anchor moveWithCells="1">
              <from>
                <xdr:col>15</xdr:col>
                <xdr:colOff>581025</xdr:colOff>
                <xdr:row>11</xdr:row>
                <xdr:rowOff>142875</xdr:rowOff>
              </from>
              <to>
                <xdr:col>16</xdr:col>
                <xdr:colOff>409575</xdr:colOff>
                <xdr:row>13</xdr:row>
                <xdr:rowOff>47625</xdr:rowOff>
              </to>
            </anchor>
          </controlPr>
        </control>
      </mc:Choice>
      <mc:Fallback>
        <control shapeId="15646" r:id="rId272" name="EE_EIT"/>
      </mc:Fallback>
    </mc:AlternateContent>
    <mc:AlternateContent xmlns:mc="http://schemas.openxmlformats.org/markup-compatibility/2006">
      <mc:Choice Requires="x14">
        <control shapeId="15645" r:id="rId274" name="EE_SME">
          <controlPr defaultSize="0" autoLine="0" r:id="rId275">
            <anchor moveWithCells="1">
              <from>
                <xdr:col>20</xdr:col>
                <xdr:colOff>552450</xdr:colOff>
                <xdr:row>11</xdr:row>
                <xdr:rowOff>142875</xdr:rowOff>
              </from>
              <to>
                <xdr:col>21</xdr:col>
                <xdr:colOff>381000</xdr:colOff>
                <xdr:row>13</xdr:row>
                <xdr:rowOff>47625</xdr:rowOff>
              </to>
            </anchor>
          </controlPr>
        </control>
      </mc:Choice>
      <mc:Fallback>
        <control shapeId="15645" r:id="rId274" name="EE_SME"/>
      </mc:Fallback>
    </mc:AlternateContent>
    <mc:AlternateContent xmlns:mc="http://schemas.openxmlformats.org/markup-compatibility/2006">
      <mc:Choice Requires="x14">
        <control shapeId="15644" r:id="rId276" name="EE_SP">
          <controlPr defaultSize="0" autoLine="0" r:id="rId277">
            <anchor moveWithCells="1">
              <from>
                <xdr:col>19</xdr:col>
                <xdr:colOff>666750</xdr:colOff>
                <xdr:row>11</xdr:row>
                <xdr:rowOff>142875</xdr:rowOff>
              </from>
              <to>
                <xdr:col>20</xdr:col>
                <xdr:colOff>504825</xdr:colOff>
                <xdr:row>13</xdr:row>
                <xdr:rowOff>47625</xdr:rowOff>
              </to>
            </anchor>
          </controlPr>
        </control>
      </mc:Choice>
      <mc:Fallback>
        <control shapeId="15644" r:id="rId276" name="EE_SP"/>
      </mc:Fallback>
    </mc:AlternateContent>
    <mc:AlternateContent xmlns:mc="http://schemas.openxmlformats.org/markup-compatibility/2006">
      <mc:Choice Requires="x14">
        <control shapeId="15643" r:id="rId278" name="EE_LD">
          <controlPr defaultSize="0" autoLine="0" r:id="rId279">
            <anchor moveWithCells="1">
              <from>
                <xdr:col>19</xdr:col>
                <xdr:colOff>104775</xdr:colOff>
                <xdr:row>11</xdr:row>
                <xdr:rowOff>142875</xdr:rowOff>
              </from>
              <to>
                <xdr:col>19</xdr:col>
                <xdr:colOff>619125</xdr:colOff>
                <xdr:row>13</xdr:row>
                <xdr:rowOff>47625</xdr:rowOff>
              </to>
            </anchor>
          </controlPr>
        </control>
      </mc:Choice>
      <mc:Fallback>
        <control shapeId="15643" r:id="rId278" name="EE_LD"/>
      </mc:Fallback>
    </mc:AlternateContent>
    <mc:AlternateContent xmlns:mc="http://schemas.openxmlformats.org/markup-compatibility/2006">
      <mc:Choice Requires="x14">
        <control shapeId="15642" r:id="rId280" name="EE_SR">
          <controlPr defaultSize="0" autoLine="0" r:id="rId281">
            <anchor moveWithCells="1">
              <from>
                <xdr:col>18</xdr:col>
                <xdr:colOff>219075</xdr:colOff>
                <xdr:row>11</xdr:row>
                <xdr:rowOff>142875</xdr:rowOff>
              </from>
              <to>
                <xdr:col>19</xdr:col>
                <xdr:colOff>57150</xdr:colOff>
                <xdr:row>13</xdr:row>
                <xdr:rowOff>47625</xdr:rowOff>
              </to>
            </anchor>
          </controlPr>
        </control>
      </mc:Choice>
      <mc:Fallback>
        <control shapeId="15642" r:id="rId280" name="EE_SR"/>
      </mc:Fallback>
    </mc:AlternateContent>
    <mc:AlternateContent xmlns:mc="http://schemas.openxmlformats.org/markup-compatibility/2006">
      <mc:Choice Requires="x14">
        <control shapeId="15641" r:id="rId282" name="EE_INT">
          <controlPr defaultSize="0" autoLine="0" r:id="rId283">
            <anchor moveWithCells="1">
              <from>
                <xdr:col>17</xdr:col>
                <xdr:colOff>342900</xdr:colOff>
                <xdr:row>11</xdr:row>
                <xdr:rowOff>142875</xdr:rowOff>
              </from>
              <to>
                <xdr:col>18</xdr:col>
                <xdr:colOff>171450</xdr:colOff>
                <xdr:row>13</xdr:row>
                <xdr:rowOff>47625</xdr:rowOff>
              </to>
            </anchor>
          </controlPr>
        </control>
      </mc:Choice>
      <mc:Fallback>
        <control shapeId="15641" r:id="rId282" name="EE_INT"/>
      </mc:Fallback>
    </mc:AlternateContent>
    <mc:AlternateContent xmlns:mc="http://schemas.openxmlformats.org/markup-compatibility/2006">
      <mc:Choice Requires="x14">
        <control shapeId="15640" r:id="rId284" name="EE_JR">
          <controlPr defaultSize="0" autoLine="0" r:id="rId285">
            <anchor moveWithCells="1">
              <from>
                <xdr:col>16</xdr:col>
                <xdr:colOff>457200</xdr:colOff>
                <xdr:row>11</xdr:row>
                <xdr:rowOff>142875</xdr:rowOff>
              </from>
              <to>
                <xdr:col>17</xdr:col>
                <xdr:colOff>295275</xdr:colOff>
                <xdr:row>13</xdr:row>
                <xdr:rowOff>47625</xdr:rowOff>
              </to>
            </anchor>
          </controlPr>
        </control>
      </mc:Choice>
      <mc:Fallback>
        <control shapeId="15640" r:id="rId284" name="EE_JR"/>
      </mc:Fallback>
    </mc:AlternateContent>
    <mc:AlternateContent xmlns:mc="http://schemas.openxmlformats.org/markup-compatibility/2006">
      <mc:Choice Requires="x14">
        <control shapeId="15639" r:id="rId286" name="ME_EIT">
          <controlPr defaultSize="0" autoLine="0" r:id="rId287">
            <anchor moveWithCells="1">
              <from>
                <xdr:col>15</xdr:col>
                <xdr:colOff>581025</xdr:colOff>
                <xdr:row>9</xdr:row>
                <xdr:rowOff>133350</xdr:rowOff>
              </from>
              <to>
                <xdr:col>16</xdr:col>
                <xdr:colOff>409575</xdr:colOff>
                <xdr:row>11</xdr:row>
                <xdr:rowOff>38100</xdr:rowOff>
              </to>
            </anchor>
          </controlPr>
        </control>
      </mc:Choice>
      <mc:Fallback>
        <control shapeId="15639" r:id="rId286" name="ME_EIT"/>
      </mc:Fallback>
    </mc:AlternateContent>
    <mc:AlternateContent xmlns:mc="http://schemas.openxmlformats.org/markup-compatibility/2006">
      <mc:Choice Requires="x14">
        <control shapeId="15638" r:id="rId288" name="ME_SME">
          <controlPr defaultSize="0" autoLine="0" r:id="rId289">
            <anchor moveWithCells="1">
              <from>
                <xdr:col>20</xdr:col>
                <xdr:colOff>552450</xdr:colOff>
                <xdr:row>9</xdr:row>
                <xdr:rowOff>133350</xdr:rowOff>
              </from>
              <to>
                <xdr:col>21</xdr:col>
                <xdr:colOff>381000</xdr:colOff>
                <xdr:row>11</xdr:row>
                <xdr:rowOff>38100</xdr:rowOff>
              </to>
            </anchor>
          </controlPr>
        </control>
      </mc:Choice>
      <mc:Fallback>
        <control shapeId="15638" r:id="rId288" name="ME_SME"/>
      </mc:Fallback>
    </mc:AlternateContent>
    <mc:AlternateContent xmlns:mc="http://schemas.openxmlformats.org/markup-compatibility/2006">
      <mc:Choice Requires="x14">
        <control shapeId="15637" r:id="rId290" name="ME_SP">
          <controlPr defaultSize="0" autoLine="0" r:id="rId291">
            <anchor moveWithCells="1">
              <from>
                <xdr:col>19</xdr:col>
                <xdr:colOff>666750</xdr:colOff>
                <xdr:row>9</xdr:row>
                <xdr:rowOff>133350</xdr:rowOff>
              </from>
              <to>
                <xdr:col>20</xdr:col>
                <xdr:colOff>504825</xdr:colOff>
                <xdr:row>11</xdr:row>
                <xdr:rowOff>38100</xdr:rowOff>
              </to>
            </anchor>
          </controlPr>
        </control>
      </mc:Choice>
      <mc:Fallback>
        <control shapeId="15637" r:id="rId290" name="ME_SP"/>
      </mc:Fallback>
    </mc:AlternateContent>
    <mc:AlternateContent xmlns:mc="http://schemas.openxmlformats.org/markup-compatibility/2006">
      <mc:Choice Requires="x14">
        <control shapeId="15636" r:id="rId292" name="ME_LD">
          <controlPr defaultSize="0" autoLine="0" r:id="rId293">
            <anchor moveWithCells="1">
              <from>
                <xdr:col>19</xdr:col>
                <xdr:colOff>104775</xdr:colOff>
                <xdr:row>9</xdr:row>
                <xdr:rowOff>133350</xdr:rowOff>
              </from>
              <to>
                <xdr:col>19</xdr:col>
                <xdr:colOff>619125</xdr:colOff>
                <xdr:row>11</xdr:row>
                <xdr:rowOff>38100</xdr:rowOff>
              </to>
            </anchor>
          </controlPr>
        </control>
      </mc:Choice>
      <mc:Fallback>
        <control shapeId="15636" r:id="rId292" name="ME_LD"/>
      </mc:Fallback>
    </mc:AlternateContent>
    <mc:AlternateContent xmlns:mc="http://schemas.openxmlformats.org/markup-compatibility/2006">
      <mc:Choice Requires="x14">
        <control shapeId="15635" r:id="rId294" name="ME_SR">
          <controlPr defaultSize="0" autoLine="0" r:id="rId295">
            <anchor moveWithCells="1">
              <from>
                <xdr:col>18</xdr:col>
                <xdr:colOff>219075</xdr:colOff>
                <xdr:row>9</xdr:row>
                <xdr:rowOff>133350</xdr:rowOff>
              </from>
              <to>
                <xdr:col>19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5635" r:id="rId294" name="ME_SR"/>
      </mc:Fallback>
    </mc:AlternateContent>
    <mc:AlternateContent xmlns:mc="http://schemas.openxmlformats.org/markup-compatibility/2006">
      <mc:Choice Requires="x14">
        <control shapeId="15634" r:id="rId296" name="ME_INT">
          <controlPr defaultSize="0" autoLine="0" r:id="rId297">
            <anchor moveWithCells="1">
              <from>
                <xdr:col>17</xdr:col>
                <xdr:colOff>342900</xdr:colOff>
                <xdr:row>9</xdr:row>
                <xdr:rowOff>133350</xdr:rowOff>
              </from>
              <to>
                <xdr:col>18</xdr:col>
                <xdr:colOff>171450</xdr:colOff>
                <xdr:row>11</xdr:row>
                <xdr:rowOff>38100</xdr:rowOff>
              </to>
            </anchor>
          </controlPr>
        </control>
      </mc:Choice>
      <mc:Fallback>
        <control shapeId="15634" r:id="rId296" name="ME_INT"/>
      </mc:Fallback>
    </mc:AlternateContent>
    <mc:AlternateContent xmlns:mc="http://schemas.openxmlformats.org/markup-compatibility/2006">
      <mc:Choice Requires="x14">
        <control shapeId="15633" r:id="rId298" name="ME_JR">
          <controlPr defaultSize="0" autoLine="0" r:id="rId299">
            <anchor moveWithCells="1">
              <from>
                <xdr:col>16</xdr:col>
                <xdr:colOff>457200</xdr:colOff>
                <xdr:row>9</xdr:row>
                <xdr:rowOff>133350</xdr:rowOff>
              </from>
              <to>
                <xdr:col>17</xdr:col>
                <xdr:colOff>295275</xdr:colOff>
                <xdr:row>11</xdr:row>
                <xdr:rowOff>38100</xdr:rowOff>
              </to>
            </anchor>
          </controlPr>
        </control>
      </mc:Choice>
      <mc:Fallback>
        <control shapeId="15633" r:id="rId298" name="ME_JR"/>
      </mc:Fallback>
    </mc:AlternateContent>
    <mc:AlternateContent xmlns:mc="http://schemas.openxmlformats.org/markup-compatibility/2006">
      <mc:Choice Requires="x14">
        <control shapeId="15632" r:id="rId300" name="PrE_EIT">
          <controlPr defaultSize="0" autoLine="0" r:id="rId301">
            <anchor moveWithCells="1">
              <from>
                <xdr:col>15</xdr:col>
                <xdr:colOff>581025</xdr:colOff>
                <xdr:row>7</xdr:row>
                <xdr:rowOff>114300</xdr:rowOff>
              </from>
              <to>
                <xdr:col>16</xdr:col>
                <xdr:colOff>409575</xdr:colOff>
                <xdr:row>9</xdr:row>
                <xdr:rowOff>19050</xdr:rowOff>
              </to>
            </anchor>
          </controlPr>
        </control>
      </mc:Choice>
      <mc:Fallback>
        <control shapeId="15632" r:id="rId300" name="PrE_EIT"/>
      </mc:Fallback>
    </mc:AlternateContent>
    <mc:AlternateContent xmlns:mc="http://schemas.openxmlformats.org/markup-compatibility/2006">
      <mc:Choice Requires="x14">
        <control shapeId="15631" r:id="rId302" name="PrE_SME">
          <controlPr defaultSize="0" autoLine="0" r:id="rId303">
            <anchor moveWithCells="1">
              <from>
                <xdr:col>20</xdr:col>
                <xdr:colOff>552450</xdr:colOff>
                <xdr:row>7</xdr:row>
                <xdr:rowOff>114300</xdr:rowOff>
              </from>
              <to>
                <xdr:col>21</xdr:col>
                <xdr:colOff>381000</xdr:colOff>
                <xdr:row>9</xdr:row>
                <xdr:rowOff>19050</xdr:rowOff>
              </to>
            </anchor>
          </controlPr>
        </control>
      </mc:Choice>
      <mc:Fallback>
        <control shapeId="15631" r:id="rId302" name="PrE_SME"/>
      </mc:Fallback>
    </mc:AlternateContent>
    <mc:AlternateContent xmlns:mc="http://schemas.openxmlformats.org/markup-compatibility/2006">
      <mc:Choice Requires="x14">
        <control shapeId="15630" r:id="rId304" name="PrE_SP">
          <controlPr defaultSize="0" autoLine="0" r:id="rId305">
            <anchor moveWithCells="1">
              <from>
                <xdr:col>19</xdr:col>
                <xdr:colOff>666750</xdr:colOff>
                <xdr:row>7</xdr:row>
                <xdr:rowOff>114300</xdr:rowOff>
              </from>
              <to>
                <xdr:col>20</xdr:col>
                <xdr:colOff>504825</xdr:colOff>
                <xdr:row>9</xdr:row>
                <xdr:rowOff>19050</xdr:rowOff>
              </to>
            </anchor>
          </controlPr>
        </control>
      </mc:Choice>
      <mc:Fallback>
        <control shapeId="15630" r:id="rId304" name="PrE_SP"/>
      </mc:Fallback>
    </mc:AlternateContent>
    <mc:AlternateContent xmlns:mc="http://schemas.openxmlformats.org/markup-compatibility/2006">
      <mc:Choice Requires="x14">
        <control shapeId="15629" r:id="rId306" name="PrE_LD">
          <controlPr defaultSize="0" autoLine="0" r:id="rId307">
            <anchor moveWithCells="1">
              <from>
                <xdr:col>19</xdr:col>
                <xdr:colOff>104775</xdr:colOff>
                <xdr:row>7</xdr:row>
                <xdr:rowOff>114300</xdr:rowOff>
              </from>
              <to>
                <xdr:col>19</xdr:col>
                <xdr:colOff>619125</xdr:colOff>
                <xdr:row>9</xdr:row>
                <xdr:rowOff>19050</xdr:rowOff>
              </to>
            </anchor>
          </controlPr>
        </control>
      </mc:Choice>
      <mc:Fallback>
        <control shapeId="15629" r:id="rId306" name="PrE_LD"/>
      </mc:Fallback>
    </mc:AlternateContent>
    <mc:AlternateContent xmlns:mc="http://schemas.openxmlformats.org/markup-compatibility/2006">
      <mc:Choice Requires="x14">
        <control shapeId="15628" r:id="rId308" name="PrE_SR">
          <controlPr defaultSize="0" autoLine="0" r:id="rId309">
            <anchor moveWithCells="1">
              <from>
                <xdr:col>18</xdr:col>
                <xdr:colOff>219075</xdr:colOff>
                <xdr:row>7</xdr:row>
                <xdr:rowOff>114300</xdr:rowOff>
              </from>
              <to>
                <xdr:col>19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15628" r:id="rId308" name="PrE_SR"/>
      </mc:Fallback>
    </mc:AlternateContent>
    <mc:AlternateContent xmlns:mc="http://schemas.openxmlformats.org/markup-compatibility/2006">
      <mc:Choice Requires="x14">
        <control shapeId="15627" r:id="rId310" name="PrE_INT">
          <controlPr defaultSize="0" autoLine="0" r:id="rId311">
            <anchor moveWithCells="1">
              <from>
                <xdr:col>17</xdr:col>
                <xdr:colOff>342900</xdr:colOff>
                <xdr:row>7</xdr:row>
                <xdr:rowOff>114300</xdr:rowOff>
              </from>
              <to>
                <xdr:col>18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5627" r:id="rId310" name="PrE_INT"/>
      </mc:Fallback>
    </mc:AlternateContent>
    <mc:AlternateContent xmlns:mc="http://schemas.openxmlformats.org/markup-compatibility/2006">
      <mc:Choice Requires="x14">
        <control shapeId="15626" r:id="rId312" name="PrE_JR">
          <controlPr defaultSize="0" autoLine="0" r:id="rId313">
            <anchor moveWithCells="1">
              <from>
                <xdr:col>16</xdr:col>
                <xdr:colOff>457200</xdr:colOff>
                <xdr:row>7</xdr:row>
                <xdr:rowOff>114300</xdr:rowOff>
              </from>
              <to>
                <xdr:col>17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15626" r:id="rId312" name="PrE_JR"/>
      </mc:Fallback>
    </mc:AlternateContent>
    <mc:AlternateContent xmlns:mc="http://schemas.openxmlformats.org/markup-compatibility/2006">
      <mc:Choice Requires="x14">
        <control shapeId="15415" r:id="rId314" name="PC_TRN">
          <controlPr defaultSize="0" autoLine="0" r:id="rId315">
            <anchor moveWithCells="1">
              <from>
                <xdr:col>8</xdr:col>
                <xdr:colOff>371475</xdr:colOff>
                <xdr:row>18</xdr:row>
                <xdr:rowOff>9525</xdr:rowOff>
              </from>
              <to>
                <xdr:col>9</xdr:col>
                <xdr:colOff>209550</xdr:colOff>
                <xdr:row>19</xdr:row>
                <xdr:rowOff>95250</xdr:rowOff>
              </to>
            </anchor>
          </controlPr>
        </control>
      </mc:Choice>
      <mc:Fallback>
        <control shapeId="15415" r:id="rId314" name="PC_TRN"/>
      </mc:Fallback>
    </mc:AlternateContent>
    <mc:AlternateContent xmlns:mc="http://schemas.openxmlformats.org/markup-compatibility/2006">
      <mc:Choice Requires="x14">
        <control shapeId="15413" r:id="rId316" name="PC_SP">
          <controlPr defaultSize="0" autoLine="0" r:id="rId317">
            <anchor moveWithCells="1">
              <from>
                <xdr:col>12</xdr:col>
                <xdr:colOff>466725</xdr:colOff>
                <xdr:row>18</xdr:row>
                <xdr:rowOff>9525</xdr:rowOff>
              </from>
              <to>
                <xdr:col>13</xdr:col>
                <xdr:colOff>295275</xdr:colOff>
                <xdr:row>19</xdr:row>
                <xdr:rowOff>95250</xdr:rowOff>
              </to>
            </anchor>
          </controlPr>
        </control>
      </mc:Choice>
      <mc:Fallback>
        <control shapeId="15413" r:id="rId316" name="PC_SP"/>
      </mc:Fallback>
    </mc:AlternateContent>
    <mc:AlternateContent xmlns:mc="http://schemas.openxmlformats.org/markup-compatibility/2006">
      <mc:Choice Requires="x14">
        <control shapeId="15412" r:id="rId318" name="PC_LD">
          <controlPr defaultSize="0" autoLine="0" r:id="rId319">
            <anchor moveWithCells="1">
              <from>
                <xdr:col>11</xdr:col>
                <xdr:colOff>581025</xdr:colOff>
                <xdr:row>18</xdr:row>
                <xdr:rowOff>9525</xdr:rowOff>
              </from>
              <to>
                <xdr:col>12</xdr:col>
                <xdr:colOff>419100</xdr:colOff>
                <xdr:row>19</xdr:row>
                <xdr:rowOff>95250</xdr:rowOff>
              </to>
            </anchor>
          </controlPr>
        </control>
      </mc:Choice>
      <mc:Fallback>
        <control shapeId="15412" r:id="rId318" name="PC_LD"/>
      </mc:Fallback>
    </mc:AlternateContent>
    <mc:AlternateContent xmlns:mc="http://schemas.openxmlformats.org/markup-compatibility/2006">
      <mc:Choice Requires="x14">
        <control shapeId="15411" r:id="rId320" name="PC_SR">
          <controlPr defaultSize="0" autoLine="0" r:id="rId321">
            <anchor moveWithCells="1">
              <from>
                <xdr:col>11</xdr:col>
                <xdr:colOff>19050</xdr:colOff>
                <xdr:row>18</xdr:row>
                <xdr:rowOff>9525</xdr:rowOff>
              </from>
              <to>
                <xdr:col>11</xdr:col>
                <xdr:colOff>533400</xdr:colOff>
                <xdr:row>19</xdr:row>
                <xdr:rowOff>95250</xdr:rowOff>
              </to>
            </anchor>
          </controlPr>
        </control>
      </mc:Choice>
      <mc:Fallback>
        <control shapeId="15411" r:id="rId320" name="PC_SR"/>
      </mc:Fallback>
    </mc:AlternateContent>
    <mc:AlternateContent xmlns:mc="http://schemas.openxmlformats.org/markup-compatibility/2006">
      <mc:Choice Requires="x14">
        <control shapeId="15410" r:id="rId322" name="PC_INT">
          <controlPr defaultSize="0" autoLine="0" r:id="rId323">
            <anchor moveWithCells="1">
              <from>
                <xdr:col>10</xdr:col>
                <xdr:colOff>133350</xdr:colOff>
                <xdr:row>18</xdr:row>
                <xdr:rowOff>9525</xdr:rowOff>
              </from>
              <to>
                <xdr:col>10</xdr:col>
                <xdr:colOff>657225</xdr:colOff>
                <xdr:row>19</xdr:row>
                <xdr:rowOff>95250</xdr:rowOff>
              </to>
            </anchor>
          </controlPr>
        </control>
      </mc:Choice>
      <mc:Fallback>
        <control shapeId="15410" r:id="rId322" name="PC_INT"/>
      </mc:Fallback>
    </mc:AlternateContent>
    <mc:AlternateContent xmlns:mc="http://schemas.openxmlformats.org/markup-compatibility/2006">
      <mc:Choice Requires="x14">
        <control shapeId="15409" r:id="rId324" name="PC_JR">
          <controlPr defaultSize="0" autoLine="0" r:id="rId325">
            <anchor moveWithCells="1">
              <from>
                <xdr:col>9</xdr:col>
                <xdr:colOff>257175</xdr:colOff>
                <xdr:row>18</xdr:row>
                <xdr:rowOff>9525</xdr:rowOff>
              </from>
              <to>
                <xdr:col>10</xdr:col>
                <xdr:colOff>85725</xdr:colOff>
                <xdr:row>19</xdr:row>
                <xdr:rowOff>95250</xdr:rowOff>
              </to>
            </anchor>
          </controlPr>
        </control>
      </mc:Choice>
      <mc:Fallback>
        <control shapeId="15409" r:id="rId324" name="PC_JR"/>
      </mc:Fallback>
    </mc:AlternateContent>
    <mc:AlternateContent xmlns:mc="http://schemas.openxmlformats.org/markup-compatibility/2006">
      <mc:Choice Requires="x14">
        <control shapeId="15408" r:id="rId326" name="PCO_TRN">
          <controlPr defaultSize="0" autoLine="0" r:id="rId327">
            <anchor moveWithCells="1">
              <from>
                <xdr:col>8</xdr:col>
                <xdr:colOff>371475</xdr:colOff>
                <xdr:row>15</xdr:row>
                <xdr:rowOff>171450</xdr:rowOff>
              </from>
              <to>
                <xdr:col>9</xdr:col>
                <xdr:colOff>209550</xdr:colOff>
                <xdr:row>17</xdr:row>
                <xdr:rowOff>85725</xdr:rowOff>
              </to>
            </anchor>
          </controlPr>
        </control>
      </mc:Choice>
      <mc:Fallback>
        <control shapeId="15408" r:id="rId326" name="PCO_TRN"/>
      </mc:Fallback>
    </mc:AlternateContent>
    <mc:AlternateContent xmlns:mc="http://schemas.openxmlformats.org/markup-compatibility/2006">
      <mc:Choice Requires="x14">
        <control shapeId="15405" r:id="rId328" name="PCO_LD">
          <controlPr defaultSize="0" autoLine="0" r:id="rId329">
            <anchor moveWithCells="1">
              <from>
                <xdr:col>11</xdr:col>
                <xdr:colOff>581025</xdr:colOff>
                <xdr:row>15</xdr:row>
                <xdr:rowOff>171450</xdr:rowOff>
              </from>
              <to>
                <xdr:col>12</xdr:col>
                <xdr:colOff>419100</xdr:colOff>
                <xdr:row>17</xdr:row>
                <xdr:rowOff>85725</xdr:rowOff>
              </to>
            </anchor>
          </controlPr>
        </control>
      </mc:Choice>
      <mc:Fallback>
        <control shapeId="15405" r:id="rId328" name="PCO_LD"/>
      </mc:Fallback>
    </mc:AlternateContent>
    <mc:AlternateContent xmlns:mc="http://schemas.openxmlformats.org/markup-compatibility/2006">
      <mc:Choice Requires="x14">
        <control shapeId="15404" r:id="rId330" name="PCO_SR">
          <controlPr defaultSize="0" autoLine="0" r:id="rId331">
            <anchor moveWithCells="1">
              <from>
                <xdr:col>11</xdr:col>
                <xdr:colOff>19050</xdr:colOff>
                <xdr:row>15</xdr:row>
                <xdr:rowOff>171450</xdr:rowOff>
              </from>
              <to>
                <xdr:col>11</xdr:col>
                <xdr:colOff>533400</xdr:colOff>
                <xdr:row>17</xdr:row>
                <xdr:rowOff>85725</xdr:rowOff>
              </to>
            </anchor>
          </controlPr>
        </control>
      </mc:Choice>
      <mc:Fallback>
        <control shapeId="15404" r:id="rId330" name="PCO_SR"/>
      </mc:Fallback>
    </mc:AlternateContent>
    <mc:AlternateContent xmlns:mc="http://schemas.openxmlformats.org/markup-compatibility/2006">
      <mc:Choice Requires="x14">
        <control shapeId="15403" r:id="rId332" name="PCO_INT">
          <controlPr defaultSize="0" autoLine="0" r:id="rId333">
            <anchor moveWithCells="1">
              <from>
                <xdr:col>10</xdr:col>
                <xdr:colOff>133350</xdr:colOff>
                <xdr:row>15</xdr:row>
                <xdr:rowOff>171450</xdr:rowOff>
              </from>
              <to>
                <xdr:col>10</xdr:col>
                <xdr:colOff>657225</xdr:colOff>
                <xdr:row>17</xdr:row>
                <xdr:rowOff>85725</xdr:rowOff>
              </to>
            </anchor>
          </controlPr>
        </control>
      </mc:Choice>
      <mc:Fallback>
        <control shapeId="15403" r:id="rId332" name="PCO_INT"/>
      </mc:Fallback>
    </mc:AlternateContent>
    <mc:AlternateContent xmlns:mc="http://schemas.openxmlformats.org/markup-compatibility/2006">
      <mc:Choice Requires="x14">
        <control shapeId="15402" r:id="rId334" name="PCO_JR">
          <controlPr defaultSize="0" autoLine="0" r:id="rId335">
            <anchor moveWithCells="1">
              <from>
                <xdr:col>9</xdr:col>
                <xdr:colOff>257175</xdr:colOff>
                <xdr:row>15</xdr:row>
                <xdr:rowOff>171450</xdr:rowOff>
              </from>
              <to>
                <xdr:col>10</xdr:col>
                <xdr:colOff>85725</xdr:colOff>
                <xdr:row>17</xdr:row>
                <xdr:rowOff>85725</xdr:rowOff>
              </to>
            </anchor>
          </controlPr>
        </control>
      </mc:Choice>
      <mc:Fallback>
        <control shapeId="15402" r:id="rId334" name="PCO_JR"/>
      </mc:Fallback>
    </mc:AlternateContent>
    <mc:AlternateContent xmlns:mc="http://schemas.openxmlformats.org/markup-compatibility/2006">
      <mc:Choice Requires="x14">
        <control shapeId="15401" r:id="rId336" name="PE_EIT">
          <controlPr defaultSize="0" autoLine="0" r:id="rId337">
            <anchor moveWithCells="1">
              <from>
                <xdr:col>8</xdr:col>
                <xdr:colOff>371475</xdr:colOff>
                <xdr:row>13</xdr:row>
                <xdr:rowOff>171450</xdr:rowOff>
              </from>
              <to>
                <xdr:col>9</xdr:col>
                <xdr:colOff>209550</xdr:colOff>
                <xdr:row>15</xdr:row>
                <xdr:rowOff>76200</xdr:rowOff>
              </to>
            </anchor>
          </controlPr>
        </control>
      </mc:Choice>
      <mc:Fallback>
        <control shapeId="15401" r:id="rId336" name="PE_EIT"/>
      </mc:Fallback>
    </mc:AlternateContent>
    <mc:AlternateContent xmlns:mc="http://schemas.openxmlformats.org/markup-compatibility/2006">
      <mc:Choice Requires="x14">
        <control shapeId="15398" r:id="rId338" name="PE_LD">
          <controlPr defaultSize="0" autoLine="0" r:id="rId339">
            <anchor moveWithCells="1">
              <from>
                <xdr:col>11</xdr:col>
                <xdr:colOff>581025</xdr:colOff>
                <xdr:row>13</xdr:row>
                <xdr:rowOff>171450</xdr:rowOff>
              </from>
              <to>
                <xdr:col>12</xdr:col>
                <xdr:colOff>419100</xdr:colOff>
                <xdr:row>15</xdr:row>
                <xdr:rowOff>76200</xdr:rowOff>
              </to>
            </anchor>
          </controlPr>
        </control>
      </mc:Choice>
      <mc:Fallback>
        <control shapeId="15398" r:id="rId338" name="PE_LD"/>
      </mc:Fallback>
    </mc:AlternateContent>
    <mc:AlternateContent xmlns:mc="http://schemas.openxmlformats.org/markup-compatibility/2006">
      <mc:Choice Requires="x14">
        <control shapeId="15397" r:id="rId340" name="PE_SR">
          <controlPr defaultSize="0" autoLine="0" r:id="rId341">
            <anchor moveWithCells="1">
              <from>
                <xdr:col>11</xdr:col>
                <xdr:colOff>19050</xdr:colOff>
                <xdr:row>13</xdr:row>
                <xdr:rowOff>171450</xdr:rowOff>
              </from>
              <to>
                <xdr:col>11</xdr:col>
                <xdr:colOff>533400</xdr:colOff>
                <xdr:row>15</xdr:row>
                <xdr:rowOff>76200</xdr:rowOff>
              </to>
            </anchor>
          </controlPr>
        </control>
      </mc:Choice>
      <mc:Fallback>
        <control shapeId="15397" r:id="rId340" name="PE_SR"/>
      </mc:Fallback>
    </mc:AlternateContent>
    <mc:AlternateContent xmlns:mc="http://schemas.openxmlformats.org/markup-compatibility/2006">
      <mc:Choice Requires="x14">
        <control shapeId="15396" r:id="rId342" name="PE_INT">
          <controlPr defaultSize="0" autoLine="0" r:id="rId343">
            <anchor moveWithCells="1">
              <from>
                <xdr:col>10</xdr:col>
                <xdr:colOff>133350</xdr:colOff>
                <xdr:row>13</xdr:row>
                <xdr:rowOff>171450</xdr:rowOff>
              </from>
              <to>
                <xdr:col>10</xdr:col>
                <xdr:colOff>657225</xdr:colOff>
                <xdr:row>15</xdr:row>
                <xdr:rowOff>76200</xdr:rowOff>
              </to>
            </anchor>
          </controlPr>
        </control>
      </mc:Choice>
      <mc:Fallback>
        <control shapeId="15396" r:id="rId342" name="PE_INT"/>
      </mc:Fallback>
    </mc:AlternateContent>
    <mc:AlternateContent xmlns:mc="http://schemas.openxmlformats.org/markup-compatibility/2006">
      <mc:Choice Requires="x14">
        <control shapeId="15395" r:id="rId344" name="PE_JR">
          <controlPr defaultSize="0" autoLine="0" r:id="rId345">
            <anchor moveWithCells="1">
              <from>
                <xdr:col>9</xdr:col>
                <xdr:colOff>257175</xdr:colOff>
                <xdr:row>13</xdr:row>
                <xdr:rowOff>171450</xdr:rowOff>
              </from>
              <to>
                <xdr:col>10</xdr:col>
                <xdr:colOff>85725</xdr:colOff>
                <xdr:row>15</xdr:row>
                <xdr:rowOff>76200</xdr:rowOff>
              </to>
            </anchor>
          </controlPr>
        </control>
      </mc:Choice>
      <mc:Fallback>
        <control shapeId="15395" r:id="rId344" name="PE_JR"/>
      </mc:Fallback>
    </mc:AlternateContent>
    <mc:AlternateContent xmlns:mc="http://schemas.openxmlformats.org/markup-compatibility/2006">
      <mc:Choice Requires="x14">
        <control shapeId="15394" r:id="rId346" name="DC_TRN">
          <controlPr defaultSize="0" autoLine="0" r:id="rId347">
            <anchor moveWithCells="1">
              <from>
                <xdr:col>8</xdr:col>
                <xdr:colOff>371475</xdr:colOff>
                <xdr:row>11</xdr:row>
                <xdr:rowOff>142875</xdr:rowOff>
              </from>
              <to>
                <xdr:col>9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15394" r:id="rId346" name="DC_TRN"/>
      </mc:Fallback>
    </mc:AlternateContent>
    <mc:AlternateContent xmlns:mc="http://schemas.openxmlformats.org/markup-compatibility/2006">
      <mc:Choice Requires="x14">
        <control shapeId="15391" r:id="rId348" name="DC_LD">
          <controlPr defaultSize="0" autoLine="0" r:id="rId349">
            <anchor moveWithCells="1">
              <from>
                <xdr:col>11</xdr:col>
                <xdr:colOff>581025</xdr:colOff>
                <xdr:row>11</xdr:row>
                <xdr:rowOff>142875</xdr:rowOff>
              </from>
              <to>
                <xdr:col>12</xdr:col>
                <xdr:colOff>419100</xdr:colOff>
                <xdr:row>13</xdr:row>
                <xdr:rowOff>47625</xdr:rowOff>
              </to>
            </anchor>
          </controlPr>
        </control>
      </mc:Choice>
      <mc:Fallback>
        <control shapeId="15391" r:id="rId348" name="DC_LD"/>
      </mc:Fallback>
    </mc:AlternateContent>
    <mc:AlternateContent xmlns:mc="http://schemas.openxmlformats.org/markup-compatibility/2006">
      <mc:Choice Requires="x14">
        <control shapeId="15390" r:id="rId350" name="DC_SR">
          <controlPr defaultSize="0" autoLine="0" r:id="rId351">
            <anchor moveWithCells="1">
              <from>
                <xdr:col>11</xdr:col>
                <xdr:colOff>19050</xdr:colOff>
                <xdr:row>11</xdr:row>
                <xdr:rowOff>142875</xdr:rowOff>
              </from>
              <to>
                <xdr:col>11</xdr:col>
                <xdr:colOff>533400</xdr:colOff>
                <xdr:row>13</xdr:row>
                <xdr:rowOff>47625</xdr:rowOff>
              </to>
            </anchor>
          </controlPr>
        </control>
      </mc:Choice>
      <mc:Fallback>
        <control shapeId="15390" r:id="rId350" name="DC_SR"/>
      </mc:Fallback>
    </mc:AlternateContent>
    <mc:AlternateContent xmlns:mc="http://schemas.openxmlformats.org/markup-compatibility/2006">
      <mc:Choice Requires="x14">
        <control shapeId="15389" r:id="rId352" name="DC_INT">
          <controlPr defaultSize="0" autoLine="0" r:id="rId353">
            <anchor moveWithCells="1">
              <from>
                <xdr:col>10</xdr:col>
                <xdr:colOff>133350</xdr:colOff>
                <xdr:row>11</xdr:row>
                <xdr:rowOff>142875</xdr:rowOff>
              </from>
              <to>
                <xdr:col>10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5389" r:id="rId352" name="DC_INT"/>
      </mc:Fallback>
    </mc:AlternateContent>
    <mc:AlternateContent xmlns:mc="http://schemas.openxmlformats.org/markup-compatibility/2006">
      <mc:Choice Requires="x14">
        <control shapeId="15388" r:id="rId354" name="DC_JR">
          <controlPr defaultSize="0" autoLine="0" r:id="rId355">
            <anchor moveWithCells="1">
              <from>
                <xdr:col>9</xdr:col>
                <xdr:colOff>257175</xdr:colOff>
                <xdr:row>11</xdr:row>
                <xdr:rowOff>142875</xdr:rowOff>
              </from>
              <to>
                <xdr:col>10</xdr:col>
                <xdr:colOff>85725</xdr:colOff>
                <xdr:row>13</xdr:row>
                <xdr:rowOff>47625</xdr:rowOff>
              </to>
            </anchor>
          </controlPr>
        </control>
      </mc:Choice>
      <mc:Fallback>
        <control shapeId="15388" r:id="rId354" name="DC_JR"/>
      </mc:Fallback>
    </mc:AlternateContent>
    <mc:AlternateContent xmlns:mc="http://schemas.openxmlformats.org/markup-compatibility/2006">
      <mc:Choice Requires="x14">
        <control shapeId="15387" r:id="rId356" name="AD_TRN">
          <controlPr defaultSize="0" autoLine="0" r:id="rId357">
            <anchor moveWithCells="1">
              <from>
                <xdr:col>8</xdr:col>
                <xdr:colOff>371475</xdr:colOff>
                <xdr:row>9</xdr:row>
                <xdr:rowOff>133350</xdr:rowOff>
              </from>
              <to>
                <xdr:col>9</xdr:col>
                <xdr:colOff>209550</xdr:colOff>
                <xdr:row>11</xdr:row>
                <xdr:rowOff>38100</xdr:rowOff>
              </to>
            </anchor>
          </controlPr>
        </control>
      </mc:Choice>
      <mc:Fallback>
        <control shapeId="15387" r:id="rId356" name="AD_TRN"/>
      </mc:Fallback>
    </mc:AlternateContent>
    <mc:AlternateContent xmlns:mc="http://schemas.openxmlformats.org/markup-compatibility/2006">
      <mc:Choice Requires="x14">
        <control shapeId="15383" r:id="rId358" name="AD_SR">
          <controlPr defaultSize="0" autoLine="0" r:id="rId359">
            <anchor moveWithCells="1">
              <from>
                <xdr:col>11</xdr:col>
                <xdr:colOff>19050</xdr:colOff>
                <xdr:row>9</xdr:row>
                <xdr:rowOff>133350</xdr:rowOff>
              </from>
              <to>
                <xdr:col>11</xdr:col>
                <xdr:colOff>533400</xdr:colOff>
                <xdr:row>11</xdr:row>
                <xdr:rowOff>38100</xdr:rowOff>
              </to>
            </anchor>
          </controlPr>
        </control>
      </mc:Choice>
      <mc:Fallback>
        <control shapeId="15383" r:id="rId358" name="AD_SR"/>
      </mc:Fallback>
    </mc:AlternateContent>
    <mc:AlternateContent xmlns:mc="http://schemas.openxmlformats.org/markup-compatibility/2006">
      <mc:Choice Requires="x14">
        <control shapeId="15382" r:id="rId360" name="AD_INT">
          <controlPr defaultSize="0" autoLine="0" r:id="rId361">
            <anchor moveWithCells="1">
              <from>
                <xdr:col>10</xdr:col>
                <xdr:colOff>133350</xdr:colOff>
                <xdr:row>9</xdr:row>
                <xdr:rowOff>133350</xdr:rowOff>
              </from>
              <to>
                <xdr:col>10</xdr:col>
                <xdr:colOff>657225</xdr:colOff>
                <xdr:row>11</xdr:row>
                <xdr:rowOff>38100</xdr:rowOff>
              </to>
            </anchor>
          </controlPr>
        </control>
      </mc:Choice>
      <mc:Fallback>
        <control shapeId="15382" r:id="rId360" name="AD_INT"/>
      </mc:Fallback>
    </mc:AlternateContent>
    <mc:AlternateContent xmlns:mc="http://schemas.openxmlformats.org/markup-compatibility/2006">
      <mc:Choice Requires="x14">
        <control shapeId="15381" r:id="rId362" name="AD_JR">
          <controlPr defaultSize="0" autoLine="0" r:id="rId363">
            <anchor moveWithCells="1">
              <from>
                <xdr:col>9</xdr:col>
                <xdr:colOff>257175</xdr:colOff>
                <xdr:row>9</xdr:row>
                <xdr:rowOff>133350</xdr:rowOff>
              </from>
              <to>
                <xdr:col>10</xdr:col>
                <xdr:colOff>85725</xdr:colOff>
                <xdr:row>11</xdr:row>
                <xdr:rowOff>38100</xdr:rowOff>
              </to>
            </anchor>
          </controlPr>
        </control>
      </mc:Choice>
      <mc:Fallback>
        <control shapeId="15381" r:id="rId362" name="AD_JR"/>
      </mc:Fallback>
    </mc:AlternateContent>
    <mc:AlternateContent xmlns:mc="http://schemas.openxmlformats.org/markup-compatibility/2006">
      <mc:Choice Requires="x14">
        <control shapeId="15372" r:id="rId364" name="PM_SME">
          <controlPr defaultSize="0" autoLine="0" r:id="rId365">
            <anchor moveWithCells="1">
              <from>
                <xdr:col>13</xdr:col>
                <xdr:colOff>342900</xdr:colOff>
                <xdr:row>7</xdr:row>
                <xdr:rowOff>114300</xdr:rowOff>
              </from>
              <to>
                <xdr:col>14</xdr:col>
                <xdr:colOff>180975</xdr:colOff>
                <xdr:row>9</xdr:row>
                <xdr:rowOff>19050</xdr:rowOff>
              </to>
            </anchor>
          </controlPr>
        </control>
      </mc:Choice>
      <mc:Fallback>
        <control shapeId="15372" r:id="rId364" name="PM_SME"/>
      </mc:Fallback>
    </mc:AlternateContent>
    <mc:AlternateContent xmlns:mc="http://schemas.openxmlformats.org/markup-compatibility/2006">
      <mc:Choice Requires="x14">
        <control shapeId="15371" r:id="rId366" name="PM_SP">
          <controlPr defaultSize="0" autoLine="0" r:id="rId367">
            <anchor moveWithCells="1">
              <from>
                <xdr:col>12</xdr:col>
                <xdr:colOff>466725</xdr:colOff>
                <xdr:row>7</xdr:row>
                <xdr:rowOff>114300</xdr:rowOff>
              </from>
              <to>
                <xdr:col>13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15371" r:id="rId366" name="PM_SP"/>
      </mc:Fallback>
    </mc:AlternateContent>
    <mc:AlternateContent xmlns:mc="http://schemas.openxmlformats.org/markup-compatibility/2006">
      <mc:Choice Requires="x14">
        <control shapeId="15370" r:id="rId368" name="PM_LD">
          <controlPr defaultSize="0" autoLine="0" r:id="rId369">
            <anchor moveWithCells="1">
              <from>
                <xdr:col>11</xdr:col>
                <xdr:colOff>581025</xdr:colOff>
                <xdr:row>7</xdr:row>
                <xdr:rowOff>114300</xdr:rowOff>
              </from>
              <to>
                <xdr:col>12</xdr:col>
                <xdr:colOff>419100</xdr:colOff>
                <xdr:row>9</xdr:row>
                <xdr:rowOff>19050</xdr:rowOff>
              </to>
            </anchor>
          </controlPr>
        </control>
      </mc:Choice>
      <mc:Fallback>
        <control shapeId="15370" r:id="rId368" name="PM_LD"/>
      </mc:Fallback>
    </mc:AlternateContent>
    <mc:AlternateContent xmlns:mc="http://schemas.openxmlformats.org/markup-compatibility/2006">
      <mc:Choice Requires="x14">
        <control shapeId="15369" r:id="rId370" name="PM_SR">
          <controlPr defaultSize="0" autoLine="0" r:id="rId371">
            <anchor moveWithCells="1">
              <from>
                <xdr:col>11</xdr:col>
                <xdr:colOff>19050</xdr:colOff>
                <xdr:row>7</xdr:row>
                <xdr:rowOff>114300</xdr:rowOff>
              </from>
              <to>
                <xdr:col>11</xdr:col>
                <xdr:colOff>533400</xdr:colOff>
                <xdr:row>9</xdr:row>
                <xdr:rowOff>19050</xdr:rowOff>
              </to>
            </anchor>
          </controlPr>
        </control>
      </mc:Choice>
      <mc:Fallback>
        <control shapeId="15369" r:id="rId370" name="PM_SR"/>
      </mc:Fallback>
    </mc:AlternateContent>
    <mc:AlternateContent xmlns:mc="http://schemas.openxmlformats.org/markup-compatibility/2006">
      <mc:Choice Requires="x14">
        <control shapeId="15368" r:id="rId372" name="PM_INT">
          <controlPr defaultSize="0" autoLine="0" r:id="rId373">
            <anchor moveWithCells="1">
              <from>
                <xdr:col>10</xdr:col>
                <xdr:colOff>133350</xdr:colOff>
                <xdr:row>7</xdr:row>
                <xdr:rowOff>114300</xdr:rowOff>
              </from>
              <to>
                <xdr:col>10</xdr:col>
                <xdr:colOff>657225</xdr:colOff>
                <xdr:row>9</xdr:row>
                <xdr:rowOff>19050</xdr:rowOff>
              </to>
            </anchor>
          </controlPr>
        </control>
      </mc:Choice>
      <mc:Fallback>
        <control shapeId="15368" r:id="rId372" name="PM_INT"/>
      </mc:Fallback>
    </mc:AlternateContent>
    <mc:AlternateContent xmlns:mc="http://schemas.openxmlformats.org/markup-compatibility/2006">
      <mc:Choice Requires="x14">
        <control shapeId="15366" r:id="rId374" name="PM_JR">
          <controlPr defaultSize="0" autoLine="0" r:id="rId375">
            <anchor moveWithCells="1">
              <from>
                <xdr:col>9</xdr:col>
                <xdr:colOff>257175</xdr:colOff>
                <xdr:row>7</xdr:row>
                <xdr:rowOff>114300</xdr:rowOff>
              </from>
              <to>
                <xdr:col>10</xdr:col>
                <xdr:colOff>85725</xdr:colOff>
                <xdr:row>9</xdr:row>
                <xdr:rowOff>19050</xdr:rowOff>
              </to>
            </anchor>
          </controlPr>
        </control>
      </mc:Choice>
      <mc:Fallback>
        <control shapeId="15366" r:id="rId374" name="PM_JR"/>
      </mc:Fallback>
    </mc:AlternateContent>
    <mc:AlternateContent xmlns:mc="http://schemas.openxmlformats.org/markup-compatibility/2006">
      <mc:Choice Requires="x14">
        <control shapeId="15956" r:id="rId376" name="SiteVisit">
          <controlPr defaultSize="0" autoLine="0" r:id="rId377">
            <anchor moveWithCells="1">
              <from>
                <xdr:col>0</xdr:col>
                <xdr:colOff>581025</xdr:colOff>
                <xdr:row>12</xdr:row>
                <xdr:rowOff>66675</xdr:rowOff>
              </from>
              <to>
                <xdr:col>2</xdr:col>
                <xdr:colOff>219075</xdr:colOff>
                <xdr:row>13</xdr:row>
                <xdr:rowOff>142875</xdr:rowOff>
              </to>
            </anchor>
          </controlPr>
        </control>
      </mc:Choice>
      <mc:Fallback>
        <control shapeId="15956" r:id="rId376" name="SiteVisit"/>
      </mc:Fallback>
    </mc:AlternateContent>
    <mc:AlternateContent xmlns:mc="http://schemas.openxmlformats.org/markup-compatibility/2006">
      <mc:Choice Requires="x14">
        <control shapeId="15957" r:id="rId378" name="CourierCheckbox">
          <controlPr defaultSize="0" autoLine="0" r:id="rId379">
            <anchor moveWithCells="1">
              <from>
                <xdr:col>0</xdr:col>
                <xdr:colOff>581025</xdr:colOff>
                <xdr:row>14</xdr:row>
                <xdr:rowOff>47625</xdr:rowOff>
              </from>
              <to>
                <xdr:col>2</xdr:col>
                <xdr:colOff>219075</xdr:colOff>
                <xdr:row>15</xdr:row>
                <xdr:rowOff>123825</xdr:rowOff>
              </to>
            </anchor>
          </controlPr>
        </control>
      </mc:Choice>
      <mc:Fallback>
        <control shapeId="15957" r:id="rId378" name="CourierCheckbox"/>
      </mc:Fallback>
    </mc:AlternateContent>
    <mc:AlternateContent xmlns:mc="http://schemas.openxmlformats.org/markup-compatibility/2006">
      <mc:Choice Requires="x14">
        <control shapeId="15958" r:id="rId380" name="ArcFlashCheckbox">
          <controlPr defaultSize="0" autoLine="0" r:id="rId381">
            <anchor moveWithCells="1">
              <from>
                <xdr:col>0</xdr:col>
                <xdr:colOff>581025</xdr:colOff>
                <xdr:row>16</xdr:row>
                <xdr:rowOff>28575</xdr:rowOff>
              </from>
              <to>
                <xdr:col>2</xdr:col>
                <xdr:colOff>219075</xdr:colOff>
                <xdr:row>17</xdr:row>
                <xdr:rowOff>114300</xdr:rowOff>
              </to>
            </anchor>
          </controlPr>
        </control>
      </mc:Choice>
      <mc:Fallback>
        <control shapeId="15958" r:id="rId380" name="ArcFlashCheckbox"/>
      </mc:Fallback>
    </mc:AlternateContent>
    <mc:AlternateContent xmlns:mc="http://schemas.openxmlformats.org/markup-compatibility/2006">
      <mc:Choice Requires="x14">
        <control shapeId="15992" r:id="rId382" name="APPLY">
          <controlPr defaultSize="0" autoLine="0" r:id="rId383">
            <anchor moveWithCells="1">
              <from>
                <xdr:col>19</xdr:col>
                <xdr:colOff>676275</xdr:colOff>
                <xdr:row>1</xdr:row>
                <xdr:rowOff>66675</xdr:rowOff>
              </from>
              <to>
                <xdr:col>21</xdr:col>
                <xdr:colOff>409575</xdr:colOff>
                <xdr:row>3</xdr:row>
                <xdr:rowOff>171450</xdr:rowOff>
              </to>
            </anchor>
          </controlPr>
        </control>
      </mc:Choice>
      <mc:Fallback>
        <control shapeId="15992" r:id="rId382" name="APPLY"/>
      </mc:Fallback>
    </mc:AlternateContent>
    <mc:AlternateContent xmlns:mc="http://schemas.openxmlformats.org/markup-compatibility/2006">
      <mc:Choice Requires="x14">
        <control shapeId="15788" r:id="rId384" name="MechStressCheckbox">
          <controlPr defaultSize="0" autoLine="0" r:id="rId385">
            <anchor moveWithCells="1">
              <from>
                <xdr:col>2</xdr:col>
                <xdr:colOff>314325</xdr:colOff>
                <xdr:row>12</xdr:row>
                <xdr:rowOff>66675</xdr:rowOff>
              </from>
              <to>
                <xdr:col>3</xdr:col>
                <xdr:colOff>638175</xdr:colOff>
                <xdr:row>13</xdr:row>
                <xdr:rowOff>142875</xdr:rowOff>
              </to>
            </anchor>
          </controlPr>
        </control>
      </mc:Choice>
      <mc:Fallback>
        <control shapeId="16013" r:id="rId384" name="MechStressCheckbox"/>
      </mc:Fallback>
    </mc:AlternateContent>
    <mc:AlternateContent xmlns:mc="http://schemas.openxmlformats.org/markup-compatibility/2006">
      <mc:Choice Requires="x14">
        <control shapeId="16014" r:id="rId386" name="TPSCPPCheckbox">
          <controlPr defaultSize="0" autoLine="0" r:id="rId387">
            <anchor moveWithCells="1">
              <from>
                <xdr:col>2</xdr:col>
                <xdr:colOff>314325</xdr:colOff>
                <xdr:row>14</xdr:row>
                <xdr:rowOff>47625</xdr:rowOff>
              </from>
              <to>
                <xdr:col>3</xdr:col>
                <xdr:colOff>638175</xdr:colOff>
                <xdr:row>15</xdr:row>
                <xdr:rowOff>123825</xdr:rowOff>
              </to>
            </anchor>
          </controlPr>
        </control>
      </mc:Choice>
      <mc:Fallback>
        <control shapeId="16014" r:id="rId386" name="TPSCPPCheckbox"/>
      </mc:Fallback>
    </mc:AlternateContent>
    <mc:AlternateContent xmlns:mc="http://schemas.openxmlformats.org/markup-compatibility/2006">
      <mc:Choice Requires="x14">
        <control shapeId="15776" r:id="rId388" name="TCAProgrammingCheckbox">
          <controlPr defaultSize="0" autoLine="0" r:id="rId389">
            <anchor moveWithCells="1">
              <from>
                <xdr:col>2</xdr:col>
                <xdr:colOff>314325</xdr:colOff>
                <xdr:row>16</xdr:row>
                <xdr:rowOff>28575</xdr:rowOff>
              </from>
              <to>
                <xdr:col>3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6015" r:id="rId388" name="TCAProgrammingCheckbox"/>
      </mc:Fallback>
    </mc:AlternateContent>
    <mc:AlternateContent xmlns:mc="http://schemas.openxmlformats.org/markup-compatibility/2006">
      <mc:Choice Requires="x14">
        <control shapeId="16016" r:id="rId390" name="TPSCCSACheckbox">
          <controlPr defaultSize="0" autoLine="0" r:id="rId391">
            <anchor moveWithCells="1">
              <from>
                <xdr:col>4</xdr:col>
                <xdr:colOff>47625</xdr:colOff>
                <xdr:row>12</xdr:row>
                <xdr:rowOff>57150</xdr:rowOff>
              </from>
              <to>
                <xdr:col>5</xdr:col>
                <xdr:colOff>371475</xdr:colOff>
                <xdr:row>13</xdr:row>
                <xdr:rowOff>133350</xdr:rowOff>
              </to>
            </anchor>
          </controlPr>
        </control>
      </mc:Choice>
      <mc:Fallback>
        <control shapeId="16016" r:id="rId390" name="TPSCCSACheckbox"/>
      </mc:Fallback>
    </mc:AlternateContent>
    <mc:AlternateContent xmlns:mc="http://schemas.openxmlformats.org/markup-compatibility/2006">
      <mc:Choice Requires="x14">
        <control shapeId="15789" r:id="rId392" name="exportButton">
          <controlPr defaultSize="0" autoLine="0" r:id="rId393">
            <anchor moveWithCells="1">
              <from>
                <xdr:col>18</xdr:col>
                <xdr:colOff>180975</xdr:colOff>
                <xdr:row>1</xdr:row>
                <xdr:rowOff>66675</xdr:rowOff>
              </from>
              <to>
                <xdr:col>19</xdr:col>
                <xdr:colOff>600075</xdr:colOff>
                <xdr:row>3</xdr:row>
                <xdr:rowOff>171450</xdr:rowOff>
              </to>
            </anchor>
          </controlPr>
        </control>
      </mc:Choice>
      <mc:Fallback>
        <control shapeId="16017" r:id="rId392" name="exportButton"/>
      </mc:Fallback>
    </mc:AlternateContent>
    <mc:AlternateContent xmlns:mc="http://schemas.openxmlformats.org/markup-compatibility/2006">
      <mc:Choice Requires="x14">
        <control shapeId="16018" r:id="rId394" name="PopulateResources">
          <controlPr defaultSize="0" autoLine="0" r:id="rId395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4</xdr:col>
                <xdr:colOff>419100</xdr:colOff>
                <xdr:row>3</xdr:row>
                <xdr:rowOff>171450</xdr:rowOff>
              </to>
            </anchor>
          </controlPr>
        </control>
      </mc:Choice>
      <mc:Fallback>
        <control shapeId="16018" r:id="rId394" name="PopulateResources"/>
      </mc:Fallback>
    </mc:AlternateContent>
    <mc:AlternateContent xmlns:mc="http://schemas.openxmlformats.org/markup-compatibility/2006">
      <mc:Choice Requires="x14">
        <control shapeId="16020" r:id="rId396" name="DTPicker1">
          <controlPr defaultSize="0" autoLine="0" autoPict="0" linkedCell="REFERENCE!B26" r:id="rId397">
            <anchor moveWithCells="1">
              <from>
                <xdr:col>2</xdr:col>
                <xdr:colOff>619125</xdr:colOff>
                <xdr:row>19</xdr:row>
                <xdr:rowOff>66675</xdr:rowOff>
              </from>
              <to>
                <xdr:col>4</xdr:col>
                <xdr:colOff>171450</xdr:colOff>
                <xdr:row>21</xdr:row>
                <xdr:rowOff>9525</xdr:rowOff>
              </to>
            </anchor>
          </controlPr>
        </control>
      </mc:Choice>
      <mc:Fallback>
        <control shapeId="16020" r:id="rId396" name="DTPicker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A69D-CB50-44D6-8935-B3C6E8CB402A}">
  <sheetPr codeName="Sheet1">
    <pageSetUpPr fitToPage="1"/>
  </sheetPr>
  <dimension ref="A1:J37"/>
  <sheetViews>
    <sheetView workbookViewId="0">
      <selection activeCell="E14" sqref="E14"/>
    </sheetView>
    <sheetView workbookViewId="1"/>
  </sheetViews>
  <sheetFormatPr defaultRowHeight="14.25" x14ac:dyDescent="0.2"/>
  <cols>
    <col min="1" max="1" width="8.125" customWidth="1"/>
    <col min="2" max="2" width="21.5" bestFit="1" customWidth="1"/>
    <col min="3" max="3" width="11.875" customWidth="1"/>
    <col min="4" max="7" width="8.625" customWidth="1"/>
    <col min="8" max="8" width="9.25" customWidth="1"/>
    <col min="9" max="9" width="9.75" customWidth="1"/>
    <col min="10" max="10" width="9.125" customWidth="1"/>
    <col min="11" max="11" width="14.375" customWidth="1"/>
    <col min="12" max="221" width="8.875" customWidth="1"/>
  </cols>
  <sheetData>
    <row r="1" spans="1:10" x14ac:dyDescent="0.2">
      <c r="A1" s="17" t="s">
        <v>233</v>
      </c>
    </row>
    <row r="2" spans="1:10" x14ac:dyDescent="0.2">
      <c r="A2" s="6" t="s">
        <v>232</v>
      </c>
      <c r="B2" s="6" t="s">
        <v>154</v>
      </c>
      <c r="C2" s="6" t="s">
        <v>155</v>
      </c>
      <c r="D2" s="6" t="s">
        <v>156</v>
      </c>
      <c r="E2" s="6" t="s">
        <v>157</v>
      </c>
      <c r="F2" s="6" t="s">
        <v>158</v>
      </c>
      <c r="G2" s="6" t="s">
        <v>159</v>
      </c>
      <c r="H2" s="6" t="s">
        <v>160</v>
      </c>
      <c r="I2" s="6" t="s">
        <v>161</v>
      </c>
      <c r="J2" s="6" t="s">
        <v>162</v>
      </c>
    </row>
    <row r="3" spans="1:10" s="21" customFormat="1" ht="57" x14ac:dyDescent="0.2">
      <c r="A3" s="19" t="s">
        <v>147</v>
      </c>
      <c r="B3" s="18" t="s">
        <v>148</v>
      </c>
      <c r="C3" s="18" t="s">
        <v>163</v>
      </c>
      <c r="D3" s="18" t="s">
        <v>164</v>
      </c>
      <c r="E3" s="18" t="s">
        <v>165</v>
      </c>
      <c r="F3" s="18" t="s">
        <v>166</v>
      </c>
      <c r="G3" s="18" t="s">
        <v>167</v>
      </c>
      <c r="H3" s="18" t="s">
        <v>168</v>
      </c>
      <c r="I3" s="20" t="s">
        <v>169</v>
      </c>
      <c r="J3" s="18" t="s">
        <v>170</v>
      </c>
    </row>
    <row r="4" spans="1:10" s="16" customFormat="1" x14ac:dyDescent="0.2">
      <c r="A4" s="58">
        <v>1</v>
      </c>
      <c r="B4" s="59" t="s">
        <v>171</v>
      </c>
      <c r="C4" s="59">
        <v>60</v>
      </c>
      <c r="D4" s="59">
        <v>65</v>
      </c>
      <c r="E4" s="59">
        <v>80</v>
      </c>
      <c r="F4" s="60">
        <v>95</v>
      </c>
      <c r="G4" s="59" t="s">
        <v>149</v>
      </c>
      <c r="H4" s="59" t="s">
        <v>149</v>
      </c>
      <c r="I4" s="59" t="s">
        <v>149</v>
      </c>
      <c r="J4" s="59" t="s">
        <v>149</v>
      </c>
    </row>
    <row r="5" spans="1:10" x14ac:dyDescent="0.2">
      <c r="A5" s="61">
        <v>2</v>
      </c>
      <c r="B5" s="62" t="s">
        <v>172</v>
      </c>
      <c r="C5" s="59">
        <v>60</v>
      </c>
      <c r="D5" s="59">
        <v>65</v>
      </c>
      <c r="E5" s="59">
        <v>80</v>
      </c>
      <c r="F5" s="59">
        <v>100</v>
      </c>
      <c r="G5" s="59">
        <v>120</v>
      </c>
      <c r="H5" s="59" t="s">
        <v>149</v>
      </c>
      <c r="I5" s="59" t="s">
        <v>149</v>
      </c>
      <c r="J5" s="59" t="s">
        <v>149</v>
      </c>
    </row>
    <row r="6" spans="1:10" x14ac:dyDescent="0.2">
      <c r="A6" s="61">
        <v>3</v>
      </c>
      <c r="B6" s="62" t="s">
        <v>173</v>
      </c>
      <c r="C6" s="59">
        <v>75</v>
      </c>
      <c r="D6" s="59">
        <v>110</v>
      </c>
      <c r="E6" s="59">
        <v>130</v>
      </c>
      <c r="F6" s="59">
        <v>140</v>
      </c>
      <c r="G6" s="59">
        <v>150</v>
      </c>
      <c r="H6" s="59">
        <v>160</v>
      </c>
      <c r="I6" s="59" t="s">
        <v>149</v>
      </c>
      <c r="J6" s="59" t="s">
        <v>149</v>
      </c>
    </row>
    <row r="7" spans="1:10" x14ac:dyDescent="0.2">
      <c r="A7" s="61">
        <v>4</v>
      </c>
      <c r="B7" s="62" t="s">
        <v>174</v>
      </c>
      <c r="C7" s="59">
        <v>110</v>
      </c>
      <c r="D7" s="59">
        <v>115</v>
      </c>
      <c r="E7" s="59">
        <v>140</v>
      </c>
      <c r="F7" s="59">
        <v>155</v>
      </c>
      <c r="G7" s="59">
        <v>175</v>
      </c>
      <c r="H7" s="59">
        <v>195</v>
      </c>
      <c r="I7" s="59">
        <v>230</v>
      </c>
      <c r="J7" s="60">
        <v>250</v>
      </c>
    </row>
    <row r="8" spans="1:10" x14ac:dyDescent="0.2">
      <c r="A8" s="61">
        <v>5</v>
      </c>
      <c r="B8" s="62" t="s">
        <v>175</v>
      </c>
      <c r="C8" s="59">
        <v>105</v>
      </c>
      <c r="D8" s="59">
        <v>110</v>
      </c>
      <c r="E8" s="59">
        <v>135</v>
      </c>
      <c r="F8" s="59">
        <v>150</v>
      </c>
      <c r="G8" s="59">
        <v>170</v>
      </c>
      <c r="H8" s="59">
        <v>185</v>
      </c>
      <c r="I8" s="59">
        <v>220</v>
      </c>
      <c r="J8" s="59" t="s">
        <v>149</v>
      </c>
    </row>
    <row r="9" spans="1:10" x14ac:dyDescent="0.2">
      <c r="A9" s="61">
        <v>6</v>
      </c>
      <c r="B9" s="63" t="s">
        <v>176</v>
      </c>
      <c r="C9" s="59">
        <v>90</v>
      </c>
      <c r="D9" s="59">
        <v>105</v>
      </c>
      <c r="E9" s="59">
        <v>115</v>
      </c>
      <c r="F9" s="59">
        <v>140</v>
      </c>
      <c r="G9" s="59">
        <v>155</v>
      </c>
      <c r="H9" s="59">
        <v>160</v>
      </c>
      <c r="I9" s="59" t="s">
        <v>149</v>
      </c>
      <c r="J9" s="59" t="s">
        <v>149</v>
      </c>
    </row>
    <row r="10" spans="1:10" x14ac:dyDescent="0.2">
      <c r="A10" s="61">
        <v>7</v>
      </c>
      <c r="B10" s="64" t="s">
        <v>177</v>
      </c>
      <c r="C10" s="59">
        <v>80</v>
      </c>
      <c r="D10" s="59">
        <v>100</v>
      </c>
      <c r="E10" s="59">
        <v>120</v>
      </c>
      <c r="F10" s="59">
        <v>140</v>
      </c>
      <c r="G10" s="59">
        <v>155</v>
      </c>
      <c r="H10" s="59" t="s">
        <v>149</v>
      </c>
      <c r="I10" s="59" t="s">
        <v>149</v>
      </c>
      <c r="J10" s="59" t="s">
        <v>149</v>
      </c>
    </row>
    <row r="11" spans="1:10" x14ac:dyDescent="0.2">
      <c r="A11" s="61">
        <v>8</v>
      </c>
      <c r="B11" s="64" t="s">
        <v>178</v>
      </c>
      <c r="C11" s="59">
        <v>105</v>
      </c>
      <c r="D11" s="59">
        <v>115</v>
      </c>
      <c r="E11" s="59">
        <v>130</v>
      </c>
      <c r="F11" s="59">
        <v>140</v>
      </c>
      <c r="G11" s="59">
        <v>150</v>
      </c>
      <c r="H11" s="59" t="s">
        <v>149</v>
      </c>
      <c r="I11" s="59" t="s">
        <v>149</v>
      </c>
      <c r="J11" s="59" t="s">
        <v>149</v>
      </c>
    </row>
    <row r="12" spans="1:10" x14ac:dyDescent="0.2">
      <c r="A12" s="61">
        <v>9</v>
      </c>
      <c r="B12" s="64" t="s">
        <v>179</v>
      </c>
      <c r="C12" s="59">
        <v>115</v>
      </c>
      <c r="D12" s="59">
        <v>120</v>
      </c>
      <c r="E12" s="59">
        <v>145</v>
      </c>
      <c r="F12" s="59">
        <v>160</v>
      </c>
      <c r="G12" s="59">
        <v>180</v>
      </c>
      <c r="H12" s="59" t="s">
        <v>149</v>
      </c>
      <c r="I12" s="59" t="s">
        <v>149</v>
      </c>
      <c r="J12" s="59" t="s">
        <v>149</v>
      </c>
    </row>
    <row r="13" spans="1:10" x14ac:dyDescent="0.2">
      <c r="A13" s="61">
        <v>10</v>
      </c>
      <c r="B13" s="64" t="s">
        <v>180</v>
      </c>
      <c r="C13" s="59" t="s">
        <v>149</v>
      </c>
      <c r="D13" s="59">
        <v>125</v>
      </c>
      <c r="E13" s="59">
        <v>150</v>
      </c>
      <c r="F13" s="59">
        <v>165</v>
      </c>
      <c r="G13" s="59">
        <v>180</v>
      </c>
      <c r="H13" s="59" t="s">
        <v>149</v>
      </c>
      <c r="I13" s="59" t="s">
        <v>149</v>
      </c>
      <c r="J13" s="59" t="s">
        <v>149</v>
      </c>
    </row>
    <row r="14" spans="1:10" ht="28.5" x14ac:dyDescent="0.2">
      <c r="A14" s="61">
        <v>11</v>
      </c>
      <c r="B14" s="65" t="s">
        <v>181</v>
      </c>
      <c r="C14" s="59" t="s">
        <v>149</v>
      </c>
      <c r="D14" s="59">
        <v>135</v>
      </c>
      <c r="E14" s="59">
        <v>150</v>
      </c>
      <c r="F14" s="59">
        <v>170</v>
      </c>
      <c r="G14" s="59">
        <v>180</v>
      </c>
      <c r="H14" s="59">
        <v>195</v>
      </c>
      <c r="I14" s="59" t="s">
        <v>149</v>
      </c>
      <c r="J14" s="59" t="s">
        <v>149</v>
      </c>
    </row>
    <row r="15" spans="1:10" ht="19.7" customHeight="1" x14ac:dyDescent="0.2">
      <c r="A15" s="61">
        <v>12</v>
      </c>
      <c r="B15" s="64" t="s">
        <v>182</v>
      </c>
      <c r="C15" s="59" t="s">
        <v>149</v>
      </c>
      <c r="D15" s="59">
        <v>140</v>
      </c>
      <c r="E15" s="59">
        <v>165</v>
      </c>
      <c r="F15" s="59">
        <v>180</v>
      </c>
      <c r="G15" s="59">
        <v>195</v>
      </c>
      <c r="H15" s="59">
        <v>220</v>
      </c>
      <c r="I15" s="59">
        <v>240</v>
      </c>
      <c r="J15" s="59" t="s">
        <v>149</v>
      </c>
    </row>
    <row r="16" spans="1:10" x14ac:dyDescent="0.2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">
      <c r="A17" s="6" t="s">
        <v>183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">
      <c r="A18" s="6">
        <v>1</v>
      </c>
      <c r="B18" s="6" t="s">
        <v>184</v>
      </c>
      <c r="C18" s="6"/>
      <c r="D18" s="6"/>
      <c r="E18" s="6"/>
      <c r="F18" s="6"/>
      <c r="G18" s="6"/>
      <c r="H18" s="6"/>
      <c r="I18" s="6"/>
      <c r="J18" s="6"/>
    </row>
    <row r="19" spans="1:10" x14ac:dyDescent="0.2">
      <c r="A19" s="6"/>
      <c r="B19" s="6" t="s">
        <v>185</v>
      </c>
      <c r="C19" s="6"/>
      <c r="D19" s="6"/>
      <c r="E19" s="6"/>
      <c r="F19" s="6"/>
      <c r="G19" s="6"/>
      <c r="H19" s="6"/>
      <c r="I19" s="6"/>
      <c r="J19" s="6"/>
    </row>
    <row r="20" spans="1:10" x14ac:dyDescent="0.2">
      <c r="A20" s="6">
        <v>2</v>
      </c>
      <c r="B20" s="6" t="s">
        <v>186</v>
      </c>
      <c r="C20" s="6"/>
      <c r="D20" s="6"/>
      <c r="E20" s="6"/>
      <c r="F20" s="6"/>
      <c r="G20" s="6"/>
      <c r="H20" s="6"/>
      <c r="I20" s="6"/>
      <c r="J20" s="6"/>
    </row>
    <row r="21" spans="1:10" x14ac:dyDescent="0.2">
      <c r="A21" s="6">
        <v>3</v>
      </c>
      <c r="B21" s="6" t="s">
        <v>187</v>
      </c>
      <c r="C21" s="6"/>
      <c r="D21" s="6"/>
      <c r="E21" s="6"/>
      <c r="F21" s="6"/>
      <c r="G21" s="6"/>
      <c r="H21" s="6"/>
      <c r="I21" s="6"/>
      <c r="J21" s="6"/>
    </row>
    <row r="22" spans="1:10" x14ac:dyDescent="0.2">
      <c r="A22" s="6">
        <v>4</v>
      </c>
      <c r="B22" s="6" t="s">
        <v>188</v>
      </c>
      <c r="C22" s="6"/>
      <c r="D22" s="6"/>
      <c r="E22" s="6"/>
      <c r="F22" s="6"/>
      <c r="G22" s="6"/>
      <c r="H22" s="6"/>
      <c r="I22" s="6"/>
      <c r="J22" s="6"/>
    </row>
    <row r="23" spans="1:10" x14ac:dyDescent="0.2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">
      <c r="A24" s="6" t="s">
        <v>189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">
      <c r="A25" s="6">
        <v>1</v>
      </c>
      <c r="B25" s="6" t="s">
        <v>190</v>
      </c>
      <c r="C25" s="6"/>
      <c r="D25" s="6"/>
      <c r="E25" s="6"/>
      <c r="F25" s="6"/>
      <c r="G25" s="6"/>
      <c r="H25" s="6"/>
      <c r="I25" s="6"/>
      <c r="J25" s="6"/>
    </row>
    <row r="26" spans="1:10" x14ac:dyDescent="0.2">
      <c r="A26" s="6">
        <v>2</v>
      </c>
      <c r="B26" s="6" t="s">
        <v>191</v>
      </c>
      <c r="C26" s="6"/>
      <c r="D26" s="6"/>
      <c r="E26" s="6"/>
      <c r="F26" s="6"/>
      <c r="G26" s="6"/>
      <c r="H26" s="6"/>
      <c r="I26" s="6"/>
      <c r="J26" s="6"/>
    </row>
    <row r="27" spans="1:10" x14ac:dyDescent="0.2">
      <c r="A27" s="6"/>
      <c r="B27" s="6" t="s">
        <v>192</v>
      </c>
      <c r="C27" s="6"/>
      <c r="D27" s="6"/>
      <c r="E27" s="6"/>
      <c r="F27" s="6"/>
      <c r="G27" s="6"/>
      <c r="H27" s="6"/>
      <c r="I27" s="6"/>
      <c r="J27" s="6"/>
    </row>
    <row r="28" spans="1:10" x14ac:dyDescent="0.2">
      <c r="A28" s="6">
        <v>3</v>
      </c>
      <c r="B28" s="6" t="s">
        <v>193</v>
      </c>
      <c r="C28" s="6"/>
      <c r="D28" s="6"/>
      <c r="E28" s="6"/>
      <c r="F28" s="6"/>
      <c r="G28" s="6"/>
      <c r="H28" s="6"/>
      <c r="I28" s="6"/>
      <c r="J28" s="6"/>
    </row>
    <row r="29" spans="1:10" x14ac:dyDescent="0.2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">
      <c r="A30" s="6" t="s">
        <v>194</v>
      </c>
      <c r="B30" s="6"/>
      <c r="C30" s="6"/>
      <c r="D30" s="6"/>
      <c r="E30" s="6" t="s">
        <v>195</v>
      </c>
      <c r="F30" s="6"/>
      <c r="G30" s="6"/>
      <c r="H30" s="6"/>
      <c r="I30" s="6"/>
      <c r="J30" s="6"/>
    </row>
    <row r="31" spans="1:10" x14ac:dyDescent="0.2">
      <c r="A31" s="6"/>
      <c r="B31" s="22" t="s">
        <v>196</v>
      </c>
      <c r="C31" s="23">
        <v>20</v>
      </c>
      <c r="D31" s="6"/>
      <c r="E31" s="6"/>
      <c r="F31" s="24" t="s">
        <v>197</v>
      </c>
      <c r="G31" s="25"/>
      <c r="H31" s="26"/>
      <c r="I31" s="27">
        <v>0.05</v>
      </c>
      <c r="J31" s="6"/>
    </row>
    <row r="32" spans="1:10" x14ac:dyDescent="0.2">
      <c r="A32" s="6"/>
      <c r="B32" s="22" t="s">
        <v>198</v>
      </c>
      <c r="C32" s="23">
        <v>20</v>
      </c>
      <c r="D32" s="6"/>
      <c r="E32" s="6"/>
      <c r="F32" s="24" t="s">
        <v>199</v>
      </c>
      <c r="G32" s="25"/>
      <c r="H32" s="26"/>
      <c r="I32" s="28">
        <v>0.95</v>
      </c>
      <c r="J32" s="6"/>
    </row>
    <row r="33" spans="1:10" x14ac:dyDescent="0.2">
      <c r="A33" s="6"/>
      <c r="B33" s="22" t="s">
        <v>200</v>
      </c>
      <c r="C33" s="23">
        <v>15</v>
      </c>
      <c r="D33" s="6"/>
      <c r="E33" s="6"/>
      <c r="F33" s="24" t="s">
        <v>201</v>
      </c>
      <c r="G33" s="25"/>
      <c r="H33" s="26"/>
      <c r="I33" s="27">
        <v>0.15</v>
      </c>
      <c r="J33" s="6"/>
    </row>
    <row r="34" spans="1:10" x14ac:dyDescent="0.2">
      <c r="A34" s="6"/>
      <c r="B34" s="22" t="s">
        <v>202</v>
      </c>
      <c r="C34" s="23">
        <v>65</v>
      </c>
      <c r="D34" s="6"/>
      <c r="E34" s="6"/>
      <c r="F34" s="24" t="s">
        <v>203</v>
      </c>
      <c r="G34" s="25"/>
      <c r="H34" s="26"/>
      <c r="I34" s="27">
        <v>0.15</v>
      </c>
      <c r="J34" s="6"/>
    </row>
    <row r="35" spans="1:10" x14ac:dyDescent="0.2">
      <c r="A35" s="6"/>
      <c r="B35" s="22" t="s">
        <v>204</v>
      </c>
      <c r="C35" s="29">
        <v>0.1</v>
      </c>
      <c r="D35" s="6"/>
      <c r="E35" s="6"/>
      <c r="F35" s="24" t="s">
        <v>205</v>
      </c>
      <c r="G35" s="25"/>
      <c r="H35" s="26"/>
      <c r="I35" s="22"/>
      <c r="J35" s="6"/>
    </row>
    <row r="36" spans="1:10" x14ac:dyDescent="0.2">
      <c r="A36" s="6"/>
      <c r="B36" s="22" t="s">
        <v>284</v>
      </c>
      <c r="C36" s="23">
        <v>20</v>
      </c>
      <c r="D36" s="6"/>
      <c r="E36" s="6"/>
      <c r="F36" s="24" t="s">
        <v>206</v>
      </c>
      <c r="G36" s="25"/>
      <c r="H36" s="26"/>
      <c r="I36" s="22" t="s">
        <v>207</v>
      </c>
      <c r="J36" s="6"/>
    </row>
    <row r="37" spans="1:10" x14ac:dyDescent="0.2">
      <c r="A37" s="6"/>
      <c r="B37" s="22" t="s">
        <v>285</v>
      </c>
      <c r="C37" s="23">
        <v>500</v>
      </c>
      <c r="D37" s="6"/>
      <c r="I37" s="6"/>
      <c r="J37" s="6"/>
    </row>
  </sheetData>
  <sheetProtection selectLockedCells="1" selectUnlockedCells="1"/>
  <pageMargins left="0.43307086614173229" right="0.31496062992125984" top="2.0866141732283467" bottom="0.74803149606299213" header="0.31496062992125984" footer="0.31496062992125984"/>
  <pageSetup paperSize="9" scale="87" fitToHeight="0" orientation="portrait" r:id="rId1"/>
  <headerFooter>
    <oddHeader>&amp;L
&amp;CCONFIDENTIAL AND PROPRIETARY
Engineering, Procurement and Construction Management Services Schedule of Applicable Rates and Charges
Keyera
Effective January 1, 2024
Canadian Dollars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9354-64D3-4B4D-A2E7-BAA653762EF1}">
  <sheetPr codeName="Sheet7"/>
  <dimension ref="A1:EM49"/>
  <sheetViews>
    <sheetView topLeftCell="A2" workbookViewId="0">
      <selection activeCell="B21" sqref="B21"/>
    </sheetView>
    <sheetView zoomScale="85" zoomScaleNormal="85" workbookViewId="1">
      <selection activeCell="F23" sqref="F23"/>
    </sheetView>
  </sheetViews>
  <sheetFormatPr defaultRowHeight="14.25" x14ac:dyDescent="0.2"/>
  <cols>
    <col min="1" max="1" width="9.75" bestFit="1" customWidth="1"/>
    <col min="2" max="2" width="11.625" bestFit="1" customWidth="1"/>
    <col min="3" max="3" width="16.125" bestFit="1" customWidth="1"/>
    <col min="4" max="4" width="9.25" bestFit="1" customWidth="1"/>
    <col min="5" max="5" width="9.75" bestFit="1" customWidth="1"/>
    <col min="16" max="16" width="19.875" customWidth="1"/>
    <col min="20" max="20" width="33.375" bestFit="1" customWidth="1"/>
    <col min="21" max="21" width="38.375" bestFit="1" customWidth="1"/>
  </cols>
  <sheetData>
    <row r="1" spans="1:143" ht="114.75" x14ac:dyDescent="0.2">
      <c r="A1" t="s">
        <v>243</v>
      </c>
      <c r="B1" t="s">
        <v>800</v>
      </c>
      <c r="C1" t="s">
        <v>242</v>
      </c>
      <c r="D1" t="s">
        <v>256</v>
      </c>
      <c r="E1" t="s">
        <v>243</v>
      </c>
      <c r="G1" t="s">
        <v>809</v>
      </c>
      <c r="I1" t="s">
        <v>962</v>
      </c>
      <c r="J1" t="s">
        <v>963</v>
      </c>
      <c r="K1" t="s">
        <v>964</v>
      </c>
      <c r="M1" t="s">
        <v>966</v>
      </c>
      <c r="N1" s="228" t="s">
        <v>965</v>
      </c>
      <c r="P1" t="s">
        <v>967</v>
      </c>
      <c r="Q1" t="s">
        <v>968</v>
      </c>
      <c r="T1" t="s">
        <v>1058</v>
      </c>
      <c r="U1" t="s">
        <v>969</v>
      </c>
      <c r="V1" s="104" t="s">
        <v>1008</v>
      </c>
      <c r="W1" s="104" t="s">
        <v>1009</v>
      </c>
      <c r="X1" s="104" t="s">
        <v>1010</v>
      </c>
      <c r="Y1" s="104" t="s">
        <v>1011</v>
      </c>
      <c r="Z1" s="104" t="s">
        <v>1012</v>
      </c>
      <c r="AA1" s="104" t="s">
        <v>1013</v>
      </c>
      <c r="AB1" s="105" t="s">
        <v>1014</v>
      </c>
      <c r="AC1" s="105" t="s">
        <v>1106</v>
      </c>
      <c r="AD1" s="105" t="s">
        <v>1107</v>
      </c>
      <c r="AE1" s="105" t="s">
        <v>1108</v>
      </c>
      <c r="AF1" s="106" t="s">
        <v>1015</v>
      </c>
      <c r="AG1" s="106" t="s">
        <v>1016</v>
      </c>
      <c r="AH1" s="106" t="s">
        <v>1017</v>
      </c>
      <c r="AI1" s="106" t="s">
        <v>1018</v>
      </c>
      <c r="AJ1" s="106" t="s">
        <v>1019</v>
      </c>
      <c r="AK1" s="104" t="s">
        <v>1020</v>
      </c>
      <c r="AL1" s="104" t="s">
        <v>1021</v>
      </c>
      <c r="AM1" s="104" t="s">
        <v>1022</v>
      </c>
      <c r="AN1" s="104" t="s">
        <v>1023</v>
      </c>
      <c r="AO1" s="104" t="s">
        <v>1024</v>
      </c>
      <c r="AP1" s="107" t="s">
        <v>1025</v>
      </c>
      <c r="AQ1" s="107" t="s">
        <v>1026</v>
      </c>
      <c r="AR1" s="107" t="s">
        <v>1027</v>
      </c>
      <c r="AS1" s="107" t="s">
        <v>1028</v>
      </c>
      <c r="AT1" s="107" t="s">
        <v>1029</v>
      </c>
      <c r="AU1" s="108" t="s">
        <v>1147</v>
      </c>
      <c r="AV1" s="108" t="s">
        <v>1148</v>
      </c>
      <c r="AW1" s="108" t="s">
        <v>1149</v>
      </c>
      <c r="AX1" s="108" t="s">
        <v>1150</v>
      </c>
      <c r="AY1" s="108" t="s">
        <v>1151</v>
      </c>
      <c r="AZ1" s="108" t="s">
        <v>1152</v>
      </c>
      <c r="BA1" s="109" t="s">
        <v>1030</v>
      </c>
      <c r="BB1" s="109" t="s">
        <v>1031</v>
      </c>
      <c r="BC1" s="109" t="s">
        <v>1032</v>
      </c>
      <c r="BD1" s="109" t="s">
        <v>1033</v>
      </c>
      <c r="BE1" s="109" t="s">
        <v>1034</v>
      </c>
      <c r="BF1" s="109" t="s">
        <v>1035</v>
      </c>
      <c r="BG1" s="109" t="s">
        <v>1036</v>
      </c>
      <c r="BH1" s="108" t="s">
        <v>1037</v>
      </c>
      <c r="BI1" s="108" t="s">
        <v>1038</v>
      </c>
      <c r="BJ1" s="108" t="s">
        <v>1039</v>
      </c>
      <c r="BK1" s="108" t="s">
        <v>1040</v>
      </c>
      <c r="BL1" s="108" t="s">
        <v>1041</v>
      </c>
      <c r="BM1" s="108" t="s">
        <v>1042</v>
      </c>
      <c r="BN1" s="108" t="s">
        <v>1043</v>
      </c>
      <c r="BO1" s="109" t="s">
        <v>1044</v>
      </c>
      <c r="BP1" s="109" t="s">
        <v>1045</v>
      </c>
      <c r="BQ1" s="109" t="s">
        <v>1046</v>
      </c>
      <c r="BR1" s="109" t="s">
        <v>1047</v>
      </c>
      <c r="BS1" s="109" t="s">
        <v>1048</v>
      </c>
      <c r="BT1" s="109" t="s">
        <v>1049</v>
      </c>
      <c r="BU1" s="109" t="s">
        <v>1050</v>
      </c>
      <c r="BV1" s="108" t="s">
        <v>1051</v>
      </c>
      <c r="BW1" s="108" t="s">
        <v>1052</v>
      </c>
      <c r="BX1" s="108" t="s">
        <v>1053</v>
      </c>
      <c r="BY1" s="108" t="s">
        <v>1054</v>
      </c>
      <c r="BZ1" s="108" t="s">
        <v>1055</v>
      </c>
      <c r="CA1" s="108" t="s">
        <v>1056</v>
      </c>
      <c r="CB1" s="108" t="s">
        <v>1057</v>
      </c>
      <c r="CC1" s="109" t="s">
        <v>1109</v>
      </c>
      <c r="CD1" s="109" t="s">
        <v>1110</v>
      </c>
      <c r="CE1" s="109" t="s">
        <v>1111</v>
      </c>
      <c r="CF1" s="109" t="s">
        <v>1112</v>
      </c>
      <c r="CG1" s="109" t="s">
        <v>1113</v>
      </c>
      <c r="CH1" s="109" t="s">
        <v>1114</v>
      </c>
      <c r="CI1" s="109" t="s">
        <v>1115</v>
      </c>
      <c r="CJ1" s="110" t="s">
        <v>1171</v>
      </c>
      <c r="CK1" s="110" t="s">
        <v>1172</v>
      </c>
      <c r="CL1" s="110" t="s">
        <v>1173</v>
      </c>
      <c r="CM1" s="110" t="s">
        <v>1174</v>
      </c>
      <c r="CN1" s="110" t="s">
        <v>1175</v>
      </c>
      <c r="CO1" s="110" t="s">
        <v>1176</v>
      </c>
      <c r="CP1" s="110" t="s">
        <v>1177</v>
      </c>
      <c r="CQ1" s="108" t="s">
        <v>1116</v>
      </c>
      <c r="CR1" s="108" t="s">
        <v>1117</v>
      </c>
      <c r="CS1" s="108" t="s">
        <v>1118</v>
      </c>
      <c r="CT1" s="108" t="s">
        <v>1119</v>
      </c>
      <c r="CU1" s="108" t="s">
        <v>1120</v>
      </c>
      <c r="CV1" s="108" t="s">
        <v>1121</v>
      </c>
      <c r="CW1" s="108" t="s">
        <v>1122</v>
      </c>
      <c r="CX1" s="109" t="s">
        <v>1123</v>
      </c>
      <c r="CY1" s="109" t="s">
        <v>1124</v>
      </c>
      <c r="CZ1" s="109" t="s">
        <v>1125</v>
      </c>
      <c r="DA1" s="109" t="s">
        <v>1126</v>
      </c>
      <c r="DB1" s="109" t="s">
        <v>1127</v>
      </c>
      <c r="DC1" s="109" t="s">
        <v>1128</v>
      </c>
      <c r="DD1" s="109" t="s">
        <v>1129</v>
      </c>
      <c r="DE1" s="108" t="s">
        <v>1130</v>
      </c>
      <c r="DF1" s="108" t="s">
        <v>1131</v>
      </c>
      <c r="DG1" s="108" t="s">
        <v>1132</v>
      </c>
      <c r="DH1" s="108" t="s">
        <v>1133</v>
      </c>
      <c r="DI1" s="108" t="s">
        <v>1134</v>
      </c>
      <c r="DJ1" s="108" t="s">
        <v>1135</v>
      </c>
      <c r="DK1" s="108" t="s">
        <v>1136</v>
      </c>
      <c r="DL1" s="105" t="s">
        <v>1159</v>
      </c>
      <c r="DM1" s="105" t="s">
        <v>1160</v>
      </c>
      <c r="DN1" s="105" t="s">
        <v>1161</v>
      </c>
      <c r="DO1" s="105" t="s">
        <v>1162</v>
      </c>
      <c r="DP1" s="105" t="s">
        <v>1163</v>
      </c>
      <c r="DQ1" s="105" t="s">
        <v>1164</v>
      </c>
      <c r="DR1" s="111" t="s">
        <v>1154</v>
      </c>
      <c r="DS1" s="111" t="s">
        <v>1155</v>
      </c>
      <c r="DT1" s="111" t="s">
        <v>1153</v>
      </c>
      <c r="DU1" s="111" t="s">
        <v>1156</v>
      </c>
      <c r="DV1" s="111" t="s">
        <v>1157</v>
      </c>
      <c r="DW1" s="111" t="s">
        <v>1158</v>
      </c>
      <c r="DX1" s="108" t="s">
        <v>1165</v>
      </c>
      <c r="DY1" s="108" t="s">
        <v>1166</v>
      </c>
      <c r="DZ1" s="108" t="s">
        <v>1167</v>
      </c>
      <c r="EA1" s="108" t="s">
        <v>1168</v>
      </c>
      <c r="EB1" s="108" t="s">
        <v>1169</v>
      </c>
      <c r="EC1" s="108" t="s">
        <v>1170</v>
      </c>
      <c r="ED1" s="112" t="s">
        <v>1137</v>
      </c>
      <c r="EE1" s="112" t="s">
        <v>1138</v>
      </c>
      <c r="EF1" s="112" t="s">
        <v>1139</v>
      </c>
      <c r="EG1" s="112" t="s">
        <v>1140</v>
      </c>
      <c r="EH1" s="112" t="s">
        <v>1141</v>
      </c>
      <c r="EI1" s="113" t="s">
        <v>1142</v>
      </c>
      <c r="EJ1" s="113" t="s">
        <v>1143</v>
      </c>
      <c r="EK1" s="113" t="s">
        <v>1144</v>
      </c>
      <c r="EL1" s="113" t="s">
        <v>1145</v>
      </c>
      <c r="EM1" s="113" t="s">
        <v>1146</v>
      </c>
    </row>
    <row r="2" spans="1:143" x14ac:dyDescent="0.2">
      <c r="A2">
        <v>0.5</v>
      </c>
      <c r="B2" t="s">
        <v>244</v>
      </c>
      <c r="C2" t="s">
        <v>245</v>
      </c>
      <c r="D2" t="s">
        <v>258</v>
      </c>
      <c r="E2" t="s">
        <v>246</v>
      </c>
      <c r="G2" s="45"/>
      <c r="P2" t="b">
        <v>1</v>
      </c>
      <c r="Q2" t="s">
        <v>496</v>
      </c>
      <c r="T2" t="s">
        <v>1059</v>
      </c>
      <c r="X2" t="s">
        <v>1076</v>
      </c>
      <c r="AD2" t="s">
        <v>1070</v>
      </c>
      <c r="AE2" t="s">
        <v>1075</v>
      </c>
      <c r="AI2" t="s">
        <v>1078</v>
      </c>
      <c r="AL2" t="s">
        <v>1069</v>
      </c>
      <c r="AN2" t="s">
        <v>1091</v>
      </c>
      <c r="AQ2" t="s">
        <v>1062</v>
      </c>
      <c r="AS2" t="s">
        <v>1079</v>
      </c>
      <c r="AV2" t="s">
        <v>1068</v>
      </c>
      <c r="AX2" t="s">
        <v>1090</v>
      </c>
      <c r="BD2" t="s">
        <v>1080</v>
      </c>
      <c r="BE2" t="s">
        <v>1093</v>
      </c>
      <c r="BL2" t="s">
        <v>1094</v>
      </c>
      <c r="BP2" t="s">
        <v>1063</v>
      </c>
      <c r="BQ2" t="s">
        <v>1071</v>
      </c>
      <c r="BR2" t="s">
        <v>1081</v>
      </c>
      <c r="BT2" t="s">
        <v>1100</v>
      </c>
      <c r="BU2" t="s">
        <v>1103</v>
      </c>
      <c r="BY2" t="s">
        <v>1082</v>
      </c>
      <c r="CH2" t="s">
        <v>1102</v>
      </c>
      <c r="CS2" t="s">
        <v>1072</v>
      </c>
      <c r="CT2" t="s">
        <v>1084</v>
      </c>
      <c r="CY2" t="s">
        <v>1066</v>
      </c>
      <c r="DB2" t="s">
        <v>1097</v>
      </c>
      <c r="DP2" t="s">
        <v>1098</v>
      </c>
      <c r="DS2" t="s">
        <v>1067</v>
      </c>
      <c r="DT2" t="s">
        <v>1073</v>
      </c>
      <c r="DU2" t="s">
        <v>1088</v>
      </c>
      <c r="DV2" t="s">
        <v>1099</v>
      </c>
    </row>
    <row r="3" spans="1:143" x14ac:dyDescent="0.2">
      <c r="A3">
        <v>1</v>
      </c>
      <c r="B3" t="s">
        <v>247</v>
      </c>
      <c r="C3" t="s">
        <v>248</v>
      </c>
      <c r="D3" t="s">
        <v>259</v>
      </c>
      <c r="E3" t="s">
        <v>249</v>
      </c>
      <c r="G3" s="138"/>
      <c r="P3">
        <f>IF(P2, 0.5, 1)</f>
        <v>0.5</v>
      </c>
      <c r="T3" t="s">
        <v>1060</v>
      </c>
      <c r="X3" t="s">
        <v>1077</v>
      </c>
      <c r="AN3" t="s">
        <v>1092</v>
      </c>
      <c r="BP3" t="s">
        <v>1064</v>
      </c>
      <c r="BR3" t="s">
        <v>1095</v>
      </c>
      <c r="BT3" t="s">
        <v>1101</v>
      </c>
      <c r="CT3" t="s">
        <v>1086</v>
      </c>
      <c r="DT3" t="s">
        <v>1074</v>
      </c>
      <c r="DU3" t="s">
        <v>1089</v>
      </c>
    </row>
    <row r="4" spans="1:143" x14ac:dyDescent="0.2">
      <c r="A4">
        <v>1.5</v>
      </c>
      <c r="B4" t="s">
        <v>250</v>
      </c>
      <c r="C4" t="s">
        <v>251</v>
      </c>
      <c r="D4" t="s">
        <v>260</v>
      </c>
      <c r="E4" t="s">
        <v>252</v>
      </c>
      <c r="G4" s="31"/>
      <c r="T4" t="s">
        <v>1061</v>
      </c>
      <c r="U4" t="s">
        <v>970</v>
      </c>
      <c r="CT4" t="s">
        <v>1087</v>
      </c>
    </row>
    <row r="5" spans="1:143" x14ac:dyDescent="0.2">
      <c r="A5">
        <v>2</v>
      </c>
      <c r="B5" t="s">
        <v>253</v>
      </c>
      <c r="C5" t="s">
        <v>254</v>
      </c>
      <c r="D5" t="s">
        <v>261</v>
      </c>
      <c r="G5" s="46"/>
      <c r="T5" s="242" t="s">
        <v>1062</v>
      </c>
      <c r="U5" t="s">
        <v>971</v>
      </c>
    </row>
    <row r="6" spans="1:143" x14ac:dyDescent="0.2">
      <c r="A6" s="42">
        <v>2.5</v>
      </c>
      <c r="C6" t="s">
        <v>255</v>
      </c>
      <c r="D6" t="s">
        <v>262</v>
      </c>
      <c r="T6" s="242" t="s">
        <v>1063</v>
      </c>
      <c r="U6" t="s">
        <v>972</v>
      </c>
    </row>
    <row r="7" spans="1:143" x14ac:dyDescent="0.2">
      <c r="A7" s="42">
        <v>3</v>
      </c>
      <c r="C7" t="s">
        <v>257</v>
      </c>
      <c r="T7" s="242" t="s">
        <v>1064</v>
      </c>
      <c r="U7" t="s">
        <v>972</v>
      </c>
    </row>
    <row r="8" spans="1:143" x14ac:dyDescent="0.2">
      <c r="A8" s="42">
        <v>3.5</v>
      </c>
      <c r="T8" t="s">
        <v>1065</v>
      </c>
      <c r="U8" t="s">
        <v>973</v>
      </c>
    </row>
    <row r="9" spans="1:143" x14ac:dyDescent="0.2">
      <c r="A9" s="42">
        <v>4</v>
      </c>
      <c r="T9" s="242" t="s">
        <v>1066</v>
      </c>
      <c r="U9" t="s">
        <v>974</v>
      </c>
    </row>
    <row r="10" spans="1:143" x14ac:dyDescent="0.2">
      <c r="A10" s="42">
        <v>4.5</v>
      </c>
      <c r="T10" s="242" t="s">
        <v>1067</v>
      </c>
      <c r="U10" t="s">
        <v>975</v>
      </c>
    </row>
    <row r="11" spans="1:143" x14ac:dyDescent="0.2">
      <c r="A11" s="42">
        <v>5</v>
      </c>
      <c r="T11" s="242" t="s">
        <v>1068</v>
      </c>
      <c r="U11" t="s">
        <v>976</v>
      </c>
    </row>
    <row r="12" spans="1:143" x14ac:dyDescent="0.2">
      <c r="A12" s="42">
        <v>5.5</v>
      </c>
      <c r="T12" s="242" t="s">
        <v>1069</v>
      </c>
      <c r="U12" t="s">
        <v>977</v>
      </c>
    </row>
    <row r="13" spans="1:143" x14ac:dyDescent="0.2">
      <c r="A13" s="42">
        <v>6</v>
      </c>
      <c r="T13" s="242" t="s">
        <v>1070</v>
      </c>
      <c r="U13" t="s">
        <v>978</v>
      </c>
    </row>
    <row r="14" spans="1:143" x14ac:dyDescent="0.2">
      <c r="T14" s="242" t="s">
        <v>1071</v>
      </c>
      <c r="U14" t="s">
        <v>979</v>
      </c>
    </row>
    <row r="15" spans="1:143" x14ac:dyDescent="0.2">
      <c r="T15" s="242" t="s">
        <v>1072</v>
      </c>
      <c r="U15" t="s">
        <v>980</v>
      </c>
    </row>
    <row r="16" spans="1:143" x14ac:dyDescent="0.2">
      <c r="T16" s="242" t="s">
        <v>1073</v>
      </c>
      <c r="U16" t="s">
        <v>981</v>
      </c>
    </row>
    <row r="17" spans="1:21" x14ac:dyDescent="0.2">
      <c r="T17" s="242" t="s">
        <v>1074</v>
      </c>
      <c r="U17" t="s">
        <v>981</v>
      </c>
    </row>
    <row r="18" spans="1:21" x14ac:dyDescent="0.2">
      <c r="T18" s="242" t="s">
        <v>1075</v>
      </c>
      <c r="U18" t="s">
        <v>982</v>
      </c>
    </row>
    <row r="19" spans="1:21" x14ac:dyDescent="0.2">
      <c r="T19" s="242" t="s">
        <v>1076</v>
      </c>
      <c r="U19" t="s">
        <v>983</v>
      </c>
    </row>
    <row r="20" spans="1:21" x14ac:dyDescent="0.2">
      <c r="T20" s="242" t="s">
        <v>1077</v>
      </c>
      <c r="U20" t="s">
        <v>983</v>
      </c>
    </row>
    <row r="21" spans="1:21" x14ac:dyDescent="0.2">
      <c r="A21" t="s">
        <v>1178</v>
      </c>
      <c r="B21" t="s">
        <v>1190</v>
      </c>
      <c r="T21" s="242" t="s">
        <v>1078</v>
      </c>
      <c r="U21" t="s">
        <v>984</v>
      </c>
    </row>
    <row r="22" spans="1:21" x14ac:dyDescent="0.2">
      <c r="A22" t="s">
        <v>1181</v>
      </c>
      <c r="B22" t="s">
        <v>1192</v>
      </c>
      <c r="T22" s="242" t="s">
        <v>1079</v>
      </c>
      <c r="U22" t="s">
        <v>985</v>
      </c>
    </row>
    <row r="23" spans="1:21" x14ac:dyDescent="0.2">
      <c r="A23" t="s">
        <v>1179</v>
      </c>
      <c r="B23" t="s">
        <v>1191</v>
      </c>
      <c r="T23" s="242" t="s">
        <v>1080</v>
      </c>
      <c r="U23" t="s">
        <v>986</v>
      </c>
    </row>
    <row r="24" spans="1:21" x14ac:dyDescent="0.2">
      <c r="A24" t="s">
        <v>242</v>
      </c>
      <c r="B24" t="s">
        <v>248</v>
      </c>
      <c r="T24" s="242" t="s">
        <v>1081</v>
      </c>
      <c r="U24" t="s">
        <v>987</v>
      </c>
    </row>
    <row r="25" spans="1:21" x14ac:dyDescent="0.2">
      <c r="A25" t="s">
        <v>1180</v>
      </c>
      <c r="B25" t="s">
        <v>1193</v>
      </c>
      <c r="T25" s="242" t="s">
        <v>1082</v>
      </c>
      <c r="U25" t="s">
        <v>988</v>
      </c>
    </row>
    <row r="26" spans="1:21" x14ac:dyDescent="0.2">
      <c r="A26" t="s">
        <v>1182</v>
      </c>
      <c r="B26" s="243" t="s">
        <v>1194</v>
      </c>
      <c r="T26" t="s">
        <v>1083</v>
      </c>
      <c r="U26" t="s">
        <v>989</v>
      </c>
    </row>
    <row r="27" spans="1:21" x14ac:dyDescent="0.2">
      <c r="A27" t="s">
        <v>800</v>
      </c>
      <c r="B27" t="s">
        <v>247</v>
      </c>
      <c r="T27" s="242" t="s">
        <v>1084</v>
      </c>
      <c r="U27" t="s">
        <v>990</v>
      </c>
    </row>
    <row r="28" spans="1:21" x14ac:dyDescent="0.2">
      <c r="A28" t="s">
        <v>1183</v>
      </c>
      <c r="T28" t="s">
        <v>1085</v>
      </c>
      <c r="U28" t="s">
        <v>991</v>
      </c>
    </row>
    <row r="29" spans="1:21" x14ac:dyDescent="0.2">
      <c r="A29" t="s">
        <v>1184</v>
      </c>
      <c r="T29" s="242" t="s">
        <v>1086</v>
      </c>
      <c r="U29" t="s">
        <v>992</v>
      </c>
    </row>
    <row r="30" spans="1:21" x14ac:dyDescent="0.2">
      <c r="A30" t="s">
        <v>1185</v>
      </c>
      <c r="T30" s="242" t="s">
        <v>1087</v>
      </c>
      <c r="U30" t="s">
        <v>992</v>
      </c>
    </row>
    <row r="31" spans="1:21" x14ac:dyDescent="0.2">
      <c r="A31" t="s">
        <v>1186</v>
      </c>
      <c r="T31" s="242" t="s">
        <v>1088</v>
      </c>
      <c r="U31" t="s">
        <v>993</v>
      </c>
    </row>
    <row r="32" spans="1:21" x14ac:dyDescent="0.2">
      <c r="A32" t="s">
        <v>1187</v>
      </c>
      <c r="T32" s="242" t="s">
        <v>1089</v>
      </c>
      <c r="U32" t="s">
        <v>993</v>
      </c>
    </row>
    <row r="33" spans="1:21" x14ac:dyDescent="0.2">
      <c r="A33" t="s">
        <v>1188</v>
      </c>
      <c r="T33" s="242" t="s">
        <v>1090</v>
      </c>
      <c r="U33" t="s">
        <v>994</v>
      </c>
    </row>
    <row r="34" spans="1:21" x14ac:dyDescent="0.2">
      <c r="A34" t="s">
        <v>1189</v>
      </c>
      <c r="T34" s="242" t="s">
        <v>1091</v>
      </c>
      <c r="U34" t="s">
        <v>995</v>
      </c>
    </row>
    <row r="35" spans="1:21" x14ac:dyDescent="0.2">
      <c r="A35" t="s">
        <v>256</v>
      </c>
      <c r="T35" s="242" t="s">
        <v>1092</v>
      </c>
      <c r="U35" t="s">
        <v>995</v>
      </c>
    </row>
    <row r="36" spans="1:21" x14ac:dyDescent="0.2">
      <c r="A36" t="s">
        <v>243</v>
      </c>
      <c r="T36" s="242" t="s">
        <v>1093</v>
      </c>
      <c r="U36" t="s">
        <v>996</v>
      </c>
    </row>
    <row r="37" spans="1:21" x14ac:dyDescent="0.2">
      <c r="T37" s="242" t="s">
        <v>1094</v>
      </c>
      <c r="U37" t="s">
        <v>997</v>
      </c>
    </row>
    <row r="38" spans="1:21" x14ac:dyDescent="0.2">
      <c r="T38" s="242" t="s">
        <v>1095</v>
      </c>
      <c r="U38" t="s">
        <v>998</v>
      </c>
    </row>
    <row r="39" spans="1:21" x14ac:dyDescent="0.2">
      <c r="T39" t="s">
        <v>1096</v>
      </c>
      <c r="U39" t="s">
        <v>999</v>
      </c>
    </row>
    <row r="40" spans="1:21" x14ac:dyDescent="0.2">
      <c r="T40" s="242" t="s">
        <v>1097</v>
      </c>
      <c r="U40" t="s">
        <v>1000</v>
      </c>
    </row>
    <row r="41" spans="1:21" x14ac:dyDescent="0.2">
      <c r="T41" s="242" t="s">
        <v>1098</v>
      </c>
      <c r="U41" t="s">
        <v>1001</v>
      </c>
    </row>
    <row r="42" spans="1:21" x14ac:dyDescent="0.2">
      <c r="T42" s="242" t="s">
        <v>1099</v>
      </c>
      <c r="U42" t="s">
        <v>1002</v>
      </c>
    </row>
    <row r="43" spans="1:21" x14ac:dyDescent="0.2">
      <c r="T43" s="242" t="s">
        <v>1100</v>
      </c>
      <c r="U43" t="s">
        <v>1003</v>
      </c>
    </row>
    <row r="44" spans="1:21" x14ac:dyDescent="0.2">
      <c r="T44" s="242" t="s">
        <v>1101</v>
      </c>
      <c r="U44" t="s">
        <v>1003</v>
      </c>
    </row>
    <row r="45" spans="1:21" x14ac:dyDescent="0.2">
      <c r="T45" s="242" t="s">
        <v>1102</v>
      </c>
      <c r="U45" t="s">
        <v>1004</v>
      </c>
    </row>
    <row r="46" spans="1:21" x14ac:dyDescent="0.2">
      <c r="T46" s="242" t="s">
        <v>1103</v>
      </c>
      <c r="U46" t="s">
        <v>1005</v>
      </c>
    </row>
    <row r="47" spans="1:21" x14ac:dyDescent="0.2">
      <c r="T47" t="s">
        <v>1104</v>
      </c>
      <c r="U47" t="s">
        <v>1006</v>
      </c>
    </row>
    <row r="48" spans="1:21" x14ac:dyDescent="0.2">
      <c r="T48" t="s">
        <v>1105</v>
      </c>
      <c r="U48" t="s">
        <v>1007</v>
      </c>
    </row>
    <row r="49" spans="20:20" x14ac:dyDescent="0.2">
      <c r="T49" t="s">
        <v>950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CE230-EC01-4781-841E-5CA2EE58397C}">
  <sheetPr codeName="Sheet19">
    <pageSetUpPr fitToPage="1"/>
  </sheetPr>
  <dimension ref="A2:I13"/>
  <sheetViews>
    <sheetView workbookViewId="0">
      <selection activeCell="B36" sqref="B36"/>
    </sheetView>
    <sheetView tabSelected="1" workbookViewId="1"/>
  </sheetViews>
  <sheetFormatPr defaultColWidth="8.75" defaultRowHeight="14.25" x14ac:dyDescent="0.2"/>
  <cols>
    <col min="1" max="1" width="9.875" customWidth="1"/>
    <col min="2" max="2" width="43.5" bestFit="1" customWidth="1"/>
    <col min="3" max="3" width="10.75" style="2" customWidth="1"/>
    <col min="4" max="4" width="10.875" style="2" customWidth="1"/>
    <col min="5" max="5" width="12.75" style="73" customWidth="1"/>
    <col min="7" max="7" width="9.75" bestFit="1" customWidth="1"/>
    <col min="8" max="8" width="12" bestFit="1" customWidth="1"/>
  </cols>
  <sheetData>
    <row r="2" spans="1:9" s="3" customFormat="1" ht="24" customHeight="1" x14ac:dyDescent="0.2">
      <c r="A2" s="51" t="s">
        <v>300</v>
      </c>
      <c r="B2" s="1" t="s">
        <v>236</v>
      </c>
      <c r="C2" s="1" t="s">
        <v>99</v>
      </c>
      <c r="D2" s="1" t="str">
        <f>'60 L2'!D2</f>
        <v>Man Hours</v>
      </c>
      <c r="E2" s="74" t="str">
        <f>'60 L2'!E2</f>
        <v>Cost</v>
      </c>
      <c r="G2" s="10" t="s">
        <v>126</v>
      </c>
      <c r="H2" s="13" t="s">
        <v>142</v>
      </c>
      <c r="I2" s="3" t="s">
        <v>238</v>
      </c>
    </row>
    <row r="3" spans="1:9" s="4" customFormat="1" ht="20.100000000000001" customHeight="1" x14ac:dyDescent="0.2">
      <c r="A3" s="128" t="s">
        <v>496</v>
      </c>
      <c r="B3" s="129" t="s">
        <v>725</v>
      </c>
      <c r="C3" s="8" t="s">
        <v>135</v>
      </c>
      <c r="D3" s="14">
        <f>'60 L2'!D7</f>
        <v>76</v>
      </c>
      <c r="E3" s="14">
        <f>'60 L2'!E7</f>
        <v>8300</v>
      </c>
      <c r="G3" s="11" t="str">
        <f>IFERROR(#REF!/#REF!,"")</f>
        <v/>
      </c>
      <c r="H3" s="15" t="str">
        <f>IFERROR(#REF!/#REF!,"")</f>
        <v/>
      </c>
      <c r="I3" s="75" t="str">
        <f>IFERROR(#REF!/#REF!,"")</f>
        <v/>
      </c>
    </row>
    <row r="4" spans="1:9" s="4" customFormat="1" ht="20.100000000000001" customHeight="1" x14ac:dyDescent="0.2">
      <c r="A4" s="126">
        <v>20</v>
      </c>
      <c r="B4" s="130" t="s">
        <v>729</v>
      </c>
      <c r="C4" s="8" t="str">
        <f>'60 L2'!C10</f>
        <v>hr</v>
      </c>
      <c r="D4" s="14">
        <f>'60 L2'!D10</f>
        <v>10</v>
      </c>
      <c r="E4" s="14">
        <f>'60 L2'!E10</f>
        <v>950</v>
      </c>
      <c r="G4" s="11" t="str">
        <f>IFERROR(#REF!/#REF!,"")</f>
        <v/>
      </c>
      <c r="H4" s="15" t="str">
        <f>IFERROR(#REF!/#REF!,"")</f>
        <v/>
      </c>
      <c r="I4" s="75" t="str">
        <f>IFERROR(#REF!/#REF!,"")</f>
        <v/>
      </c>
    </row>
    <row r="5" spans="1:9" s="4" customFormat="1" ht="20.100000000000001" customHeight="1" x14ac:dyDescent="0.2">
      <c r="A5" s="126" t="s">
        <v>535</v>
      </c>
      <c r="B5" s="130" t="s">
        <v>208</v>
      </c>
      <c r="C5" s="8" t="str">
        <f>'60 L2'!C15</f>
        <v>hr</v>
      </c>
      <c r="D5" s="14">
        <f>'60 L2'!D18</f>
        <v>0</v>
      </c>
      <c r="E5" s="14">
        <f>'60 L2'!E18</f>
        <v>0</v>
      </c>
      <c r="G5" s="11" t="str">
        <f>IFERROR(#REF!/#REF!,"")</f>
        <v/>
      </c>
      <c r="H5" s="15" t="str">
        <f>IFERROR(#REF!/#REF!,"")</f>
        <v/>
      </c>
      <c r="I5" s="75" t="str">
        <f>IFERROR(#REF!/#REF!,"")</f>
        <v/>
      </c>
    </row>
    <row r="6" spans="1:9" s="4" customFormat="1" ht="20.100000000000001" customHeight="1" x14ac:dyDescent="0.2">
      <c r="A6" s="126" t="s">
        <v>613</v>
      </c>
      <c r="B6" s="130" t="s">
        <v>213</v>
      </c>
      <c r="C6" s="8" t="str">
        <f>'60 L2'!C20</f>
        <v>hr</v>
      </c>
      <c r="D6" s="14">
        <f>'60 L2'!D23</f>
        <v>0</v>
      </c>
      <c r="E6" s="14">
        <f>'60 L2'!E23</f>
        <v>0</v>
      </c>
      <c r="G6" s="11"/>
      <c r="H6" s="15"/>
      <c r="I6" s="75" t="str">
        <f>IFERROR(#REF!/#REF!,"")</f>
        <v/>
      </c>
    </row>
    <row r="7" spans="1:9" s="4" customFormat="1" ht="20.100000000000001" customHeight="1" x14ac:dyDescent="0.2">
      <c r="A7" s="126" t="s">
        <v>685</v>
      </c>
      <c r="B7" s="130" t="s">
        <v>952</v>
      </c>
      <c r="C7" s="8" t="str">
        <f>'60 L2'!C29</f>
        <v>hr</v>
      </c>
      <c r="D7" s="14">
        <f>'60 L2'!D29</f>
        <v>0</v>
      </c>
      <c r="E7" s="14">
        <f>'60 L2'!E29</f>
        <v>0</v>
      </c>
      <c r="G7" s="11"/>
      <c r="H7" s="15"/>
      <c r="I7" s="75" t="str">
        <f>IFERROR(#REF!/#REF!,"")</f>
        <v/>
      </c>
    </row>
    <row r="8" spans="1:9" s="4" customFormat="1" ht="20.100000000000001" customHeight="1" x14ac:dyDescent="0.2">
      <c r="A8" s="126" t="s">
        <v>153</v>
      </c>
      <c r="B8" s="130" t="s">
        <v>710</v>
      </c>
      <c r="C8" s="8" t="str">
        <f>'60 L2'!C24</f>
        <v>hr</v>
      </c>
      <c r="D8" s="14">
        <f>'60 L2'!D31</f>
        <v>22</v>
      </c>
      <c r="E8" s="14">
        <f>'60 L2'!E31</f>
        <v>2090</v>
      </c>
      <c r="G8" s="11"/>
      <c r="H8" s="15"/>
      <c r="I8" s="75" t="str">
        <f>IFERROR(#REF!/#REF!,"")</f>
        <v/>
      </c>
    </row>
    <row r="9" spans="1:9" s="5" customFormat="1" ht="20.100000000000001" customHeight="1" x14ac:dyDescent="0.2">
      <c r="A9" s="70"/>
      <c r="B9" s="67" t="s">
        <v>237</v>
      </c>
      <c r="C9" s="71"/>
      <c r="D9" s="68">
        <f>SUM(D3:D8)</f>
        <v>108</v>
      </c>
      <c r="E9" s="69">
        <f>SUM(E3:E8)</f>
        <v>11340</v>
      </c>
      <c r="G9" s="11"/>
      <c r="H9" s="15" t="str">
        <f>IFERROR(#REF!/#REF!,"")</f>
        <v/>
      </c>
      <c r="I9" s="76" t="str">
        <f>IFERROR(#REF!/#REF!,"")</f>
        <v/>
      </c>
    </row>
    <row r="10" spans="1:9" x14ac:dyDescent="0.2">
      <c r="B10" s="2"/>
      <c r="C10" s="3"/>
      <c r="D10" s="3"/>
      <c r="E10" s="72"/>
      <c r="G10" s="12" t="str">
        <f>IFERROR(#REF!/(#REF!-#REF!),"")</f>
        <v/>
      </c>
      <c r="H10" s="9" t="s">
        <v>136</v>
      </c>
      <c r="I10" s="77"/>
    </row>
    <row r="11" spans="1:9" ht="17.25" customHeight="1" x14ac:dyDescent="0.2">
      <c r="A11" s="88"/>
      <c r="B11" s="89" t="s">
        <v>947</v>
      </c>
      <c r="C11" s="90"/>
      <c r="D11" s="202"/>
      <c r="E11" s="226">
        <f>'60 L2'!E37</f>
        <v>0</v>
      </c>
    </row>
    <row r="13" spans="1:9" ht="16.5" customHeight="1" x14ac:dyDescent="0.2">
      <c r="A13" s="224"/>
      <c r="B13" s="224" t="s">
        <v>951</v>
      </c>
      <c r="C13" s="90"/>
      <c r="D13" s="90"/>
      <c r="E13" s="225">
        <f>E11+E9</f>
        <v>11340</v>
      </c>
    </row>
  </sheetData>
  <sheetProtection selectLockedCells="1"/>
  <phoneticPr fontId="13" type="noConversion"/>
  <pageMargins left="0.70866141732283472" right="0.70866141732283472" top="1.1417322834645669" bottom="0.74803149606299213" header="0.31496062992125984" footer="0.31496062992125984"/>
  <pageSetup scale="72" orientation="landscape" r:id="rId1"/>
  <headerFooter>
    <oddHeader xml:space="preserve">&amp;LProject Name:  &amp;F
Estimate Class:  &amp; 3;&amp;10  
Accuracy: &amp; +/- 20 %&amp;C
&amp;"Cambria,Bold"&amp;14Appendix A: Level 1 Estimate&amp;R&amp;G
Date: &amp;D
</oddHeader>
    <oddFooter>&amp;RPage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1702-A9D6-4140-AAE2-81615D98D9F7}">
  <sheetPr codeName="Sheet17">
    <pageSetUpPr fitToPage="1"/>
  </sheetPr>
  <dimension ref="A1:J39"/>
  <sheetViews>
    <sheetView workbookViewId="0">
      <selection activeCell="D25" sqref="D25"/>
    </sheetView>
    <sheetView workbookViewId="1"/>
  </sheetViews>
  <sheetFormatPr defaultColWidth="8.75" defaultRowHeight="15" customHeight="1" x14ac:dyDescent="0.2"/>
  <cols>
    <col min="1" max="1" width="11.75" style="66" customWidth="1"/>
    <col min="2" max="2" width="45.5" style="78" customWidth="1"/>
    <col min="3" max="3" width="10.75" style="79" customWidth="1"/>
    <col min="4" max="4" width="11.75" style="189" customWidth="1"/>
    <col min="5" max="5" width="14.375" style="184" bestFit="1" customWidth="1"/>
    <col min="6" max="6" width="6.125" style="78" customWidth="1"/>
    <col min="7" max="7" width="11.25" style="79" customWidth="1"/>
    <col min="8" max="8" width="11" style="78" customWidth="1"/>
    <col min="9" max="9" width="11.5" style="195" customWidth="1"/>
    <col min="10" max="10" width="8.75" style="78"/>
    <col min="11" max="11" width="3" style="78" bestFit="1" customWidth="1"/>
    <col min="12" max="12" width="8.75" style="78"/>
    <col min="13" max="13" width="3.75" style="78" customWidth="1"/>
    <col min="14" max="16384" width="8.75" style="78"/>
  </cols>
  <sheetData>
    <row r="1" spans="1:9" ht="29.25" customHeight="1" x14ac:dyDescent="0.2">
      <c r="F1" s="80"/>
      <c r="G1" s="78"/>
      <c r="H1" s="79"/>
      <c r="I1" s="184"/>
    </row>
    <row r="2" spans="1:9" s="3" customFormat="1" ht="14.25" x14ac:dyDescent="0.2">
      <c r="A2" s="81" t="s">
        <v>300</v>
      </c>
      <c r="B2" s="82" t="s">
        <v>961</v>
      </c>
      <c r="C2" s="82" t="s">
        <v>99</v>
      </c>
      <c r="D2" s="190" t="s">
        <v>227</v>
      </c>
      <c r="E2" s="185" t="s">
        <v>228</v>
      </c>
      <c r="G2" s="83" t="s">
        <v>137</v>
      </c>
      <c r="H2" s="13" t="s">
        <v>141</v>
      </c>
      <c r="I2" s="194" t="s">
        <v>239</v>
      </c>
    </row>
    <row r="3" spans="1:9" ht="15" customHeight="1" x14ac:dyDescent="0.2">
      <c r="A3" s="114" t="s">
        <v>474</v>
      </c>
      <c r="B3" s="199" t="s">
        <v>4</v>
      </c>
      <c r="C3" s="87" t="str">
        <f>'60 MTO'!C34</f>
        <v>hr</v>
      </c>
      <c r="D3" s="192">
        <f>'60 MTO'!F8</f>
        <v>52</v>
      </c>
      <c r="E3" s="187">
        <f>'60 MTO'!G8</f>
        <v>6560</v>
      </c>
      <c r="G3" s="85">
        <f t="shared" ref="G3:G24" si="0">IFERROR(D3/$D$32,"")</f>
        <v>0.60465116279069764</v>
      </c>
      <c r="H3" s="86" t="str">
        <f>IFERROR(#REF!/#REF!,"")</f>
        <v/>
      </c>
    </row>
    <row r="4" spans="1:9" ht="15" customHeight="1" x14ac:dyDescent="0.2">
      <c r="A4" s="114" t="s">
        <v>453</v>
      </c>
      <c r="B4" s="199" t="s">
        <v>17</v>
      </c>
      <c r="C4" s="84" t="str">
        <f>'60 MTO'!C8</f>
        <v>hr</v>
      </c>
      <c r="D4" s="192">
        <f>'60 MTO'!F15</f>
        <v>24</v>
      </c>
      <c r="E4" s="187">
        <f>'60 MTO'!G15</f>
        <v>1740</v>
      </c>
      <c r="G4" s="85">
        <f t="shared" si="0"/>
        <v>0.27906976744186046</v>
      </c>
      <c r="H4" s="86" t="str">
        <f>IFERROR(#REF!/#REF!,"")</f>
        <v/>
      </c>
    </row>
    <row r="5" spans="1:9" ht="15" customHeight="1" x14ac:dyDescent="0.2">
      <c r="A5" s="114" t="s">
        <v>509</v>
      </c>
      <c r="B5" s="199" t="s">
        <v>22</v>
      </c>
      <c r="C5" s="84" t="str">
        <f>'60 MTO'!C43</f>
        <v>hr</v>
      </c>
      <c r="D5" s="192">
        <f>'60 MTO'!F22</f>
        <v>0</v>
      </c>
      <c r="E5" s="187">
        <f>'60 MTO'!G22</f>
        <v>0</v>
      </c>
      <c r="G5" s="85">
        <f t="shared" si="0"/>
        <v>0</v>
      </c>
      <c r="H5" s="86" t="str">
        <f>IFERROR(#REF!/#REF!,"")</f>
        <v/>
      </c>
    </row>
    <row r="6" spans="1:9" ht="15" customHeight="1" x14ac:dyDescent="0.2">
      <c r="A6" s="114" t="s">
        <v>513</v>
      </c>
      <c r="B6" s="199" t="s">
        <v>482</v>
      </c>
      <c r="C6" s="84" t="str">
        <f>'60 MTO'!C26</f>
        <v>hr</v>
      </c>
      <c r="D6" s="192">
        <f>'60 MTO'!F26</f>
        <v>0</v>
      </c>
      <c r="E6" s="187">
        <f>'60 MTO'!G26</f>
        <v>0</v>
      </c>
      <c r="G6" s="85">
        <f t="shared" si="0"/>
        <v>0</v>
      </c>
      <c r="H6" s="86" t="str">
        <f>IFERROR(#REF!/#REF!,"")</f>
        <v/>
      </c>
    </row>
    <row r="7" spans="1:9" s="3" customFormat="1" ht="15" customHeight="1" x14ac:dyDescent="0.2">
      <c r="A7" s="122" t="s">
        <v>496</v>
      </c>
      <c r="B7" s="123" t="s">
        <v>725</v>
      </c>
      <c r="C7" s="124"/>
      <c r="D7" s="191">
        <f>SUM(D3:D6)</f>
        <v>76</v>
      </c>
      <c r="E7" s="186">
        <f>SUM(E3:E6, E36)</f>
        <v>8300</v>
      </c>
      <c r="G7" s="85">
        <f t="shared" si="0"/>
        <v>0.88372093023255816</v>
      </c>
      <c r="H7" s="13"/>
      <c r="I7" s="196"/>
    </row>
    <row r="8" spans="1:9" ht="15" customHeight="1" x14ac:dyDescent="0.2">
      <c r="A8" s="114" t="s">
        <v>455</v>
      </c>
      <c r="B8" s="199" t="s">
        <v>210</v>
      </c>
      <c r="C8" s="84" t="str">
        <f>'60 MTO'!C55</f>
        <v>hr</v>
      </c>
      <c r="D8" s="192">
        <f>'60 MTO'!F33</f>
        <v>10</v>
      </c>
      <c r="E8" s="187">
        <f>'60 MTO'!G33</f>
        <v>950</v>
      </c>
      <c r="G8" s="85">
        <f t="shared" si="0"/>
        <v>0.11627906976744186</v>
      </c>
      <c r="H8" s="86" t="str">
        <f>IFERROR(#REF!/#REF!,"")</f>
        <v/>
      </c>
    </row>
    <row r="9" spans="1:9" ht="15" customHeight="1" x14ac:dyDescent="0.2">
      <c r="A9" s="114" t="s">
        <v>524</v>
      </c>
      <c r="B9" s="199" t="s">
        <v>479</v>
      </c>
      <c r="C9" s="84" t="str">
        <f>'60 MTO'!C58</f>
        <v>hr</v>
      </c>
      <c r="D9" s="192">
        <f>'60 MTO'!F43</f>
        <v>0</v>
      </c>
      <c r="E9" s="187">
        <f>'60 MTO'!G43</f>
        <v>0</v>
      </c>
      <c r="G9" s="85">
        <f t="shared" si="0"/>
        <v>0</v>
      </c>
      <c r="H9" s="86" t="str">
        <f>IFERROR(#REF!/#REF!,"")</f>
        <v/>
      </c>
    </row>
    <row r="10" spans="1:9" ht="15" customHeight="1" x14ac:dyDescent="0.2">
      <c r="A10" s="124">
        <v>20</v>
      </c>
      <c r="B10" s="125" t="s">
        <v>729</v>
      </c>
      <c r="C10" s="124" t="s">
        <v>100</v>
      </c>
      <c r="D10" s="191">
        <f>SUM(D8:D9)</f>
        <v>10</v>
      </c>
      <c r="E10" s="191">
        <f>SUM(E8:E9)</f>
        <v>950</v>
      </c>
      <c r="G10" s="85">
        <f t="shared" si="0"/>
        <v>0.11627906976744186</v>
      </c>
      <c r="H10" s="86" t="str">
        <f>IFERROR(#REF!/#REF!,"")</f>
        <v/>
      </c>
      <c r="I10" s="197" t="str">
        <f>IFERROR(#REF!/#REF!,"")</f>
        <v/>
      </c>
    </row>
    <row r="11" spans="1:9" ht="15" customHeight="1" x14ac:dyDescent="0.2">
      <c r="A11" s="114" t="s">
        <v>537</v>
      </c>
      <c r="B11" s="199" t="s">
        <v>450</v>
      </c>
      <c r="C11" s="84" t="str">
        <f>'60 MTO'!C73</f>
        <v>hr</v>
      </c>
      <c r="D11" s="192">
        <f>'60 MTO'!F55</f>
        <v>0</v>
      </c>
      <c r="E11" s="187">
        <f>'60 MTO'!G55</f>
        <v>0</v>
      </c>
      <c r="G11" s="85">
        <f t="shared" si="0"/>
        <v>0</v>
      </c>
      <c r="H11" s="86" t="str">
        <f>IFERROR(#REF!/#REF!,"")</f>
        <v/>
      </c>
    </row>
    <row r="12" spans="1:9" ht="15" customHeight="1" x14ac:dyDescent="0.2">
      <c r="A12" s="114" t="s">
        <v>538</v>
      </c>
      <c r="B12" s="199" t="s">
        <v>486</v>
      </c>
      <c r="C12" s="84" t="str">
        <f>'60 MTO'!C86</f>
        <v>hr</v>
      </c>
      <c r="D12" s="192">
        <f>'60 MTO'!F58</f>
        <v>0</v>
      </c>
      <c r="E12" s="187">
        <f>'60 MTO'!G58</f>
        <v>0</v>
      </c>
      <c r="G12" s="85">
        <f t="shared" si="0"/>
        <v>0</v>
      </c>
      <c r="H12" s="86" t="str">
        <f>IFERROR(#REF!/#REF!,"")</f>
        <v/>
      </c>
    </row>
    <row r="13" spans="1:9" ht="15" customHeight="1" x14ac:dyDescent="0.2">
      <c r="A13" s="114" t="s">
        <v>539</v>
      </c>
      <c r="B13" s="199" t="s">
        <v>487</v>
      </c>
      <c r="C13" s="84" t="str">
        <f>'60 MTO'!C97</f>
        <v>hr</v>
      </c>
      <c r="D13" s="192">
        <f>'60 MTO'!F73</f>
        <v>0</v>
      </c>
      <c r="E13" s="187">
        <f>'60 MTO'!G73</f>
        <v>0</v>
      </c>
      <c r="G13" s="85">
        <f t="shared" si="0"/>
        <v>0</v>
      </c>
      <c r="H13" s="86" t="str">
        <f>IFERROR(#REF!/#REF!,"")</f>
        <v/>
      </c>
    </row>
    <row r="14" spans="1:9" ht="15" customHeight="1" x14ac:dyDescent="0.2">
      <c r="A14" s="114" t="s">
        <v>566</v>
      </c>
      <c r="B14" s="199" t="s">
        <v>30</v>
      </c>
      <c r="C14" s="84" t="str">
        <f>'60 MTO'!C126</f>
        <v>hr</v>
      </c>
      <c r="D14" s="192">
        <f>'60 MTO'!F86</f>
        <v>0</v>
      </c>
      <c r="E14" s="187">
        <f>'60 MTO'!G86</f>
        <v>0</v>
      </c>
      <c r="G14" s="85">
        <f t="shared" si="0"/>
        <v>0</v>
      </c>
      <c r="H14" s="86" t="str">
        <f>IFERROR(#REF!/#REF!,"")</f>
        <v/>
      </c>
    </row>
    <row r="15" spans="1:9" ht="15" customHeight="1" x14ac:dyDescent="0.2">
      <c r="A15" s="114" t="s">
        <v>577</v>
      </c>
      <c r="B15" s="199" t="s">
        <v>490</v>
      </c>
      <c r="C15" s="126" t="s">
        <v>100</v>
      </c>
      <c r="D15" s="192">
        <f>'60 MTO'!F97</f>
        <v>0</v>
      </c>
      <c r="E15" s="187">
        <f>'60 MTO'!G97</f>
        <v>0</v>
      </c>
      <c r="G15" s="85">
        <f t="shared" si="0"/>
        <v>0</v>
      </c>
      <c r="H15" s="86" t="str">
        <f>IFERROR(#REF!/#REF!,"")</f>
        <v/>
      </c>
      <c r="I15" s="197" t="str">
        <f>IFERROR(#REF!/#REF!,"")</f>
        <v/>
      </c>
    </row>
    <row r="16" spans="1:9" ht="15" customHeight="1" x14ac:dyDescent="0.2">
      <c r="A16" s="114" t="s">
        <v>593</v>
      </c>
      <c r="B16" s="199" t="s">
        <v>489</v>
      </c>
      <c r="C16" s="84" t="str">
        <f>'60 MTO'!C134</f>
        <v>hr</v>
      </c>
      <c r="D16" s="192">
        <f>'60 MTO'!F111</f>
        <v>0</v>
      </c>
      <c r="E16" s="187">
        <f>'60 MTO'!G111</f>
        <v>0</v>
      </c>
      <c r="G16" s="85">
        <f t="shared" si="0"/>
        <v>0</v>
      </c>
      <c r="H16" s="86" t="str">
        <f>IFERROR(#REF!/#REF!,"")</f>
        <v/>
      </c>
    </row>
    <row r="17" spans="1:10" ht="15" customHeight="1" x14ac:dyDescent="0.2">
      <c r="A17" s="114" t="s">
        <v>606</v>
      </c>
      <c r="B17" s="199" t="s">
        <v>46</v>
      </c>
      <c r="C17" s="84" t="str">
        <f>'60 MTO'!C137</f>
        <v>hr</v>
      </c>
      <c r="D17" s="192">
        <f>'60 MTO'!F126</f>
        <v>0</v>
      </c>
      <c r="E17" s="187">
        <f>'60 MTO'!G126</f>
        <v>0</v>
      </c>
      <c r="G17" s="85">
        <f t="shared" si="0"/>
        <v>0</v>
      </c>
      <c r="H17" s="86" t="str">
        <f>IFERROR(#REF!/#REF!,"")</f>
        <v/>
      </c>
    </row>
    <row r="18" spans="1:10" ht="15" customHeight="1" x14ac:dyDescent="0.2">
      <c r="A18" s="124" t="s">
        <v>535</v>
      </c>
      <c r="B18" s="125" t="s">
        <v>208</v>
      </c>
      <c r="C18" s="124"/>
      <c r="D18" s="191">
        <f>SUM(D11:D17)</f>
        <v>0</v>
      </c>
      <c r="E18" s="191">
        <f>SUM(E11:E17)</f>
        <v>0</v>
      </c>
      <c r="G18" s="85">
        <f t="shared" si="0"/>
        <v>0</v>
      </c>
      <c r="H18" s="86"/>
      <c r="I18" s="197"/>
    </row>
    <row r="19" spans="1:10" ht="15" customHeight="1" x14ac:dyDescent="0.2">
      <c r="A19" s="114" t="s">
        <v>614</v>
      </c>
      <c r="B19" s="199" t="s">
        <v>143</v>
      </c>
      <c r="C19" s="84" t="str">
        <f>'60 MTO'!C196</f>
        <v>hr</v>
      </c>
      <c r="D19" s="192">
        <f>'60 MTO'!F196</f>
        <v>0</v>
      </c>
      <c r="E19" s="187">
        <f>'60 MTO'!G196</f>
        <v>0</v>
      </c>
      <c r="G19" s="85">
        <f t="shared" si="0"/>
        <v>0</v>
      </c>
      <c r="H19" s="86"/>
    </row>
    <row r="20" spans="1:10" ht="15" customHeight="1" x14ac:dyDescent="0.2">
      <c r="A20" s="114" t="s">
        <v>617</v>
      </c>
      <c r="B20" s="199" t="s">
        <v>438</v>
      </c>
      <c r="C20" s="84" t="str">
        <f>'60 MTO'!C137</f>
        <v>hr</v>
      </c>
      <c r="D20" s="192">
        <f>'60 MTO'!F137</f>
        <v>0</v>
      </c>
      <c r="E20" s="187">
        <f>'60 MTO'!G137</f>
        <v>0</v>
      </c>
      <c r="G20" s="85">
        <f t="shared" si="0"/>
        <v>0</v>
      </c>
      <c r="H20" s="86" t="str">
        <f>IFERROR(#REF!/#REF!,"")</f>
        <v/>
      </c>
      <c r="I20" s="197" t="str">
        <f>IFERROR(#REF!/#REF!,"")</f>
        <v/>
      </c>
    </row>
    <row r="21" spans="1:10" ht="15" customHeight="1" x14ac:dyDescent="0.2">
      <c r="A21" s="114" t="s">
        <v>641</v>
      </c>
      <c r="B21" s="199" t="s">
        <v>437</v>
      </c>
      <c r="C21" s="84" t="str">
        <f>'60 MTO'!C219</f>
        <v>hr</v>
      </c>
      <c r="D21" s="192">
        <f>'60 MTO'!F219</f>
        <v>0</v>
      </c>
      <c r="E21" s="187">
        <f>'60 MTO'!G219</f>
        <v>0</v>
      </c>
      <c r="G21" s="85">
        <f t="shared" si="0"/>
        <v>0</v>
      </c>
      <c r="H21" s="86" t="str">
        <f>IFERROR(#REF!/#REF!,"")</f>
        <v/>
      </c>
    </row>
    <row r="22" spans="1:10" ht="15" customHeight="1" x14ac:dyDescent="0.2">
      <c r="A22" s="114" t="s">
        <v>674</v>
      </c>
      <c r="B22" s="199" t="s">
        <v>85</v>
      </c>
      <c r="C22" s="84" t="str">
        <f>'60 MTO'!C256</f>
        <v>hr</v>
      </c>
      <c r="D22" s="192">
        <f>'60 MTO'!F256</f>
        <v>0</v>
      </c>
      <c r="E22" s="187">
        <f>'60 MTO'!G256</f>
        <v>0</v>
      </c>
      <c r="G22" s="85">
        <f t="shared" si="0"/>
        <v>0</v>
      </c>
      <c r="H22" s="86" t="str">
        <f>IFERROR(#REF!/#REF!,"")</f>
        <v/>
      </c>
    </row>
    <row r="23" spans="1:10" ht="15" customHeight="1" x14ac:dyDescent="0.2">
      <c r="A23" s="124" t="s">
        <v>613</v>
      </c>
      <c r="B23" s="125" t="s">
        <v>213</v>
      </c>
      <c r="C23" s="124" t="str">
        <f>'60 MTO'!C163</f>
        <v>hr</v>
      </c>
      <c r="D23" s="191">
        <f>SUM(D19:D22)</f>
        <v>0</v>
      </c>
      <c r="E23" s="186">
        <f>SUM(E19:E22)</f>
        <v>0</v>
      </c>
      <c r="G23" s="85">
        <f t="shared" si="0"/>
        <v>0</v>
      </c>
      <c r="H23" s="86" t="str">
        <f>IFERROR(#REF!/#REF!,"")</f>
        <v/>
      </c>
      <c r="I23" s="197"/>
    </row>
    <row r="24" spans="1:10" ht="15" customHeight="1" x14ac:dyDescent="0.2">
      <c r="A24" s="114" t="s">
        <v>686</v>
      </c>
      <c r="B24" s="200" t="s">
        <v>492</v>
      </c>
      <c r="C24" s="84" t="s">
        <v>100</v>
      </c>
      <c r="D24" s="192">
        <f>'60 MTO'!F208</f>
        <v>0</v>
      </c>
      <c r="E24" s="187">
        <f>'60 MTO'!G208</f>
        <v>0</v>
      </c>
      <c r="G24" s="85">
        <f t="shared" si="0"/>
        <v>0</v>
      </c>
      <c r="H24" s="86"/>
    </row>
    <row r="25" spans="1:10" ht="15" customHeight="1" x14ac:dyDescent="0.2">
      <c r="A25" s="227" t="s">
        <v>732</v>
      </c>
      <c r="B25" s="199" t="s">
        <v>733</v>
      </c>
      <c r="C25" s="84" t="s">
        <v>100</v>
      </c>
      <c r="D25" s="192">
        <f>'60 MTO'!F220</f>
        <v>0</v>
      </c>
      <c r="E25" s="187">
        <f>'60 MTO'!G220</f>
        <v>0</v>
      </c>
      <c r="G25" s="85"/>
      <c r="H25" s="86"/>
    </row>
    <row r="26" spans="1:10" ht="15" customHeight="1" x14ac:dyDescent="0.2">
      <c r="A26" s="227" t="s">
        <v>752</v>
      </c>
      <c r="B26" s="199" t="s">
        <v>753</v>
      </c>
      <c r="C26" s="84" t="s">
        <v>100</v>
      </c>
      <c r="D26" s="192">
        <f>'60 MTO'!F232</f>
        <v>0</v>
      </c>
      <c r="E26" s="187">
        <f>'60 MTO'!G232</f>
        <v>0</v>
      </c>
      <c r="G26" s="85"/>
      <c r="H26" s="86"/>
    </row>
    <row r="27" spans="1:10" ht="15" customHeight="1" x14ac:dyDescent="0.2">
      <c r="A27" s="227" t="s">
        <v>778</v>
      </c>
      <c r="B27" s="199" t="s">
        <v>801</v>
      </c>
      <c r="C27" s="84" t="s">
        <v>100</v>
      </c>
      <c r="D27" s="192">
        <f>'60 MTO'!F245</f>
        <v>0</v>
      </c>
      <c r="E27" s="187">
        <f>'60 MTO'!G245</f>
        <v>0</v>
      </c>
      <c r="G27" s="85"/>
      <c r="H27" s="86"/>
    </row>
    <row r="28" spans="1:10" ht="15" customHeight="1" x14ac:dyDescent="0.2">
      <c r="A28" s="114" t="s">
        <v>688</v>
      </c>
      <c r="B28" s="199" t="s">
        <v>713</v>
      </c>
      <c r="C28" s="84" t="s">
        <v>100</v>
      </c>
      <c r="D28" s="192">
        <f>'60 MTO'!F256</f>
        <v>0</v>
      </c>
      <c r="E28" s="187">
        <f>'60 MTO'!G256</f>
        <v>0</v>
      </c>
      <c r="G28" s="85">
        <f>IFERROR(D28/$D$32,"")</f>
        <v>0</v>
      </c>
      <c r="H28" s="86"/>
      <c r="J28" s="195" t="s">
        <v>950</v>
      </c>
    </row>
    <row r="29" spans="1:10" ht="15" customHeight="1" x14ac:dyDescent="0.2">
      <c r="A29" s="124" t="s">
        <v>685</v>
      </c>
      <c r="B29" s="125" t="s">
        <v>953</v>
      </c>
      <c r="C29" s="124" t="s">
        <v>100</v>
      </c>
      <c r="D29" s="191">
        <f>SUM(D24:D28)</f>
        <v>0</v>
      </c>
      <c r="E29" s="186">
        <f>SUM(E24:E28)</f>
        <v>0</v>
      </c>
      <c r="G29" s="85">
        <f>IFERROR(D29/$D$32,"")</f>
        <v>0</v>
      </c>
      <c r="H29" s="86" t="str">
        <f>IFERROR(#REF!/#REF!,"")</f>
        <v/>
      </c>
      <c r="I29" s="197" t="str">
        <f>IFERROR(#REF!/#REF!,"")</f>
        <v/>
      </c>
    </row>
    <row r="30" spans="1:10" ht="15" customHeight="1" x14ac:dyDescent="0.2">
      <c r="A30" s="114" t="s">
        <v>697</v>
      </c>
      <c r="B30" s="199" t="s">
        <v>493</v>
      </c>
      <c r="C30" s="84" t="s">
        <v>100</v>
      </c>
      <c r="D30" s="192">
        <f>'60 MTO'!F265</f>
        <v>22</v>
      </c>
      <c r="E30" s="187">
        <f>'60 MTO'!G265</f>
        <v>2090</v>
      </c>
      <c r="G30" s="85">
        <f>IFERROR(D30/$D$32,"")</f>
        <v>0.2558139534883721</v>
      </c>
      <c r="H30" s="86"/>
    </row>
    <row r="31" spans="1:10" ht="15" customHeight="1" x14ac:dyDescent="0.2">
      <c r="A31" s="124" t="s">
        <v>153</v>
      </c>
      <c r="B31" s="125" t="s">
        <v>710</v>
      </c>
      <c r="C31" s="124" t="s">
        <v>100</v>
      </c>
      <c r="D31" s="191">
        <f>D30</f>
        <v>22</v>
      </c>
      <c r="E31" s="186">
        <f>E30</f>
        <v>2090</v>
      </c>
      <c r="G31" s="85">
        <f>IFERROR(D31/$D$32,"")</f>
        <v>0.2558139534883721</v>
      </c>
      <c r="H31" s="86"/>
      <c r="I31" s="197"/>
    </row>
    <row r="32" spans="1:10" s="5" customFormat="1" ht="28.5" x14ac:dyDescent="0.2">
      <c r="A32" s="88"/>
      <c r="B32" s="89" t="s">
        <v>237</v>
      </c>
      <c r="C32" s="90" t="s">
        <v>235</v>
      </c>
      <c r="D32" s="193" cm="1">
        <f t="array" ref="D32">SumByColor(D3:D30,D7)</f>
        <v>86</v>
      </c>
      <c r="E32" s="188" cm="1">
        <f t="array" ref="E32">SumByColor(E3:E30,E7)</f>
        <v>9250</v>
      </c>
      <c r="G32" s="91">
        <f>E32/D32</f>
        <v>107.55813953488372</v>
      </c>
      <c r="H32" s="223" t="s">
        <v>136</v>
      </c>
      <c r="I32" s="197">
        <f>E32/D32</f>
        <v>107.55813953488372</v>
      </c>
    </row>
    <row r="34" spans="1:5" ht="15" customHeight="1" x14ac:dyDescent="0.2">
      <c r="A34" s="203" t="s">
        <v>726</v>
      </c>
      <c r="B34" s="204" t="s">
        <v>944</v>
      </c>
      <c r="C34" s="205" t="s">
        <v>135</v>
      </c>
      <c r="D34" s="205" t="s">
        <v>945</v>
      </c>
      <c r="E34" s="206">
        <f>SUM('60 MTO'!EH5:EM5)</f>
        <v>0</v>
      </c>
    </row>
    <row r="35" spans="1:5" ht="15" customHeight="1" x14ac:dyDescent="0.2">
      <c r="A35" s="84" t="s">
        <v>943</v>
      </c>
      <c r="B35" s="121" t="s">
        <v>942</v>
      </c>
      <c r="C35" s="187" t="s">
        <v>135</v>
      </c>
      <c r="D35" s="187" t="s">
        <v>945</v>
      </c>
      <c r="E35" s="201">
        <f>SUM('60 MTO'!DE5:EA5)</f>
        <v>0</v>
      </c>
    </row>
    <row r="36" spans="1:5" ht="15" customHeight="1" x14ac:dyDescent="0.2">
      <c r="A36" s="207" t="s">
        <v>727</v>
      </c>
      <c r="B36" s="208" t="s">
        <v>728</v>
      </c>
      <c r="C36" s="209" t="s">
        <v>135</v>
      </c>
      <c r="D36" s="209" t="s">
        <v>945</v>
      </c>
      <c r="E36" s="210">
        <f>SUM('60 MTO'!EN5:EQ5)</f>
        <v>0</v>
      </c>
    </row>
    <row r="37" spans="1:5" ht="15" customHeight="1" x14ac:dyDescent="0.2">
      <c r="A37" s="88"/>
      <c r="B37" s="89" t="s">
        <v>947</v>
      </c>
      <c r="C37" s="90"/>
      <c r="D37" s="202"/>
      <c r="E37" s="202">
        <f>SUM(E34:E36)</f>
        <v>0</v>
      </c>
    </row>
    <row r="39" spans="1:5" ht="30" customHeight="1" x14ac:dyDescent="0.2">
      <c r="A39" s="89"/>
      <c r="B39" s="89" t="s">
        <v>946</v>
      </c>
      <c r="C39" s="89"/>
      <c r="D39" s="89"/>
      <c r="E39" s="211">
        <f>E37+E32</f>
        <v>9250</v>
      </c>
    </row>
  </sheetData>
  <sheetProtection selectLockedCells="1"/>
  <phoneticPr fontId="13" type="noConversion"/>
  <pageMargins left="0.70866141732283472" right="0.70866141732283472" top="1.1417322834645669" bottom="0.74803149606299213" header="0.31496062992125984" footer="0.31496062992125984"/>
  <pageSetup scale="50" fitToHeight="0" orientation="portrait" r:id="rId1"/>
  <headerFooter>
    <oddHeader>&amp;LProject Name:  &amp;F
Estimate Class:  &amp; 3;  
Accuracy: &amp; +/- 20 %&amp;C
&amp;"Cambria,Bold"&amp;14Appendix A: Level 2 Estimate (continued)&amp;R&amp;G
Date: &amp;D</oddHeader>
    <oddFooter>&amp;R Page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8FFB-9C5A-43CB-A2DB-A42403E00E04}">
  <sheetPr codeName="Sheet5"/>
  <dimension ref="A95"/>
  <sheetViews>
    <sheetView topLeftCell="A64" workbookViewId="0">
      <selection activeCell="H15" sqref="H15"/>
    </sheetView>
    <sheetView workbookViewId="1"/>
  </sheetViews>
  <sheetFormatPr defaultRowHeight="14.25" x14ac:dyDescent="0.2"/>
  <sheetData>
    <row r="95" ht="13.5" customHeigh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E296B-286C-427D-B315-6AB968E8103C}">
  <sheetPr codeName="Sheet18">
    <outlinePr summaryBelow="0" summaryRight="0"/>
    <pageSetUpPr fitToPage="1"/>
  </sheetPr>
  <dimension ref="A1:EQ277"/>
  <sheetViews>
    <sheetView workbookViewId="0">
      <pane xSplit="7" ySplit="5" topLeftCell="CV6" activePane="bottomRight" state="frozen"/>
      <selection pane="topRight" activeCell="H1" sqref="H1"/>
      <selection pane="bottomLeft" activeCell="A5" sqref="A5"/>
      <selection pane="bottomRight" activeCell="B5" sqref="B5"/>
    </sheetView>
    <sheetView workbookViewId="1">
      <selection activeCell="J2" sqref="J2"/>
    </sheetView>
  </sheetViews>
  <sheetFormatPr defaultColWidth="11.125" defaultRowHeight="53.45" customHeight="1" outlineLevelRow="4" x14ac:dyDescent="0.2"/>
  <cols>
    <col min="1" max="1" width="10" style="92" customWidth="1"/>
    <col min="2" max="2" width="38.75" style="7" bestFit="1" customWidth="1"/>
    <col min="3" max="3" width="8" style="136" customWidth="1"/>
    <col min="4" max="4" width="10" style="167" customWidth="1"/>
    <col min="5" max="5" width="8.125" style="167" customWidth="1"/>
    <col min="6" max="6" width="11.125" style="49" customWidth="1"/>
    <col min="7" max="7" width="12.5" style="41" customWidth="1"/>
    <col min="8" max="8" width="9.875" style="42" hidden="1" customWidth="1"/>
    <col min="9" max="17" width="9.875" style="42" customWidth="1"/>
    <col min="18" max="21" width="9.875" style="42" hidden="1" customWidth="1"/>
    <col min="22" max="73" width="9.875" style="42" customWidth="1"/>
    <col min="74" max="74" width="9.875" style="42" hidden="1" customWidth="1"/>
    <col min="75" max="101" width="9.875" style="42" customWidth="1"/>
    <col min="102" max="104" width="9.875" style="42" hidden="1" customWidth="1"/>
    <col min="105" max="129" width="9.875" style="42" customWidth="1"/>
    <col min="130" max="130" width="2.625" style="42" customWidth="1"/>
    <col min="131" max="143" width="8.625" style="41" customWidth="1"/>
    <col min="144" max="144" width="10.125" style="41" customWidth="1"/>
    <col min="145" max="145" width="10.125" style="42" customWidth="1"/>
    <col min="146" max="146" width="10.625" style="42" customWidth="1"/>
    <col min="147" max="147" width="9.125" style="42" customWidth="1"/>
    <col min="148" max="148" width="10.125" style="42" customWidth="1"/>
    <col min="149" max="223" width="11.125" style="42" customWidth="1"/>
    <col min="224" max="16384" width="11.125" style="42"/>
  </cols>
  <sheetData>
    <row r="1" spans="1:147" s="36" customFormat="1" ht="72" customHeight="1" x14ac:dyDescent="0.2">
      <c r="A1" s="137" t="s">
        <v>0</v>
      </c>
      <c r="B1" s="101" t="s">
        <v>1</v>
      </c>
      <c r="C1" s="102" t="s">
        <v>99</v>
      </c>
      <c r="D1" s="154" t="s">
        <v>452</v>
      </c>
      <c r="E1" s="154" t="s">
        <v>494</v>
      </c>
      <c r="F1" s="101" t="s">
        <v>299</v>
      </c>
      <c r="G1" s="103" t="s">
        <v>228</v>
      </c>
      <c r="H1" s="104" t="s">
        <v>357</v>
      </c>
      <c r="I1" s="104" t="s">
        <v>358</v>
      </c>
      <c r="J1" s="104" t="s">
        <v>359</v>
      </c>
      <c r="K1" s="104" t="s">
        <v>360</v>
      </c>
      <c r="L1" s="104" t="s">
        <v>361</v>
      </c>
      <c r="M1" s="104" t="s">
        <v>362</v>
      </c>
      <c r="N1" s="105" t="s">
        <v>363</v>
      </c>
      <c r="O1" s="105" t="s">
        <v>364</v>
      </c>
      <c r="P1" s="105" t="s">
        <v>365</v>
      </c>
      <c r="Q1" s="105" t="s">
        <v>366</v>
      </c>
      <c r="R1" s="106" t="s">
        <v>382</v>
      </c>
      <c r="S1" s="106" t="s">
        <v>383</v>
      </c>
      <c r="T1" s="106" t="s">
        <v>384</v>
      </c>
      <c r="U1" s="106" t="s">
        <v>385</v>
      </c>
      <c r="V1" s="106" t="s">
        <v>386</v>
      </c>
      <c r="W1" s="104" t="s">
        <v>799</v>
      </c>
      <c r="X1" s="104" t="s">
        <v>367</v>
      </c>
      <c r="Y1" s="104" t="s">
        <v>368</v>
      </c>
      <c r="Z1" s="104" t="s">
        <v>369</v>
      </c>
      <c r="AA1" s="104" t="s">
        <v>370</v>
      </c>
      <c r="AB1" s="107" t="s">
        <v>371</v>
      </c>
      <c r="AC1" s="107" t="s">
        <v>372</v>
      </c>
      <c r="AD1" s="107" t="s">
        <v>373</v>
      </c>
      <c r="AE1" s="107" t="s">
        <v>374</v>
      </c>
      <c r="AF1" s="107" t="s">
        <v>375</v>
      </c>
      <c r="AG1" s="108" t="s">
        <v>376</v>
      </c>
      <c r="AH1" s="108" t="s">
        <v>377</v>
      </c>
      <c r="AI1" s="108" t="s">
        <v>378</v>
      </c>
      <c r="AJ1" s="108" t="s">
        <v>379</v>
      </c>
      <c r="AK1" s="108" t="s">
        <v>380</v>
      </c>
      <c r="AL1" s="108" t="s">
        <v>381</v>
      </c>
      <c r="AM1" s="109" t="s">
        <v>387</v>
      </c>
      <c r="AN1" s="109" t="s">
        <v>388</v>
      </c>
      <c r="AO1" s="109" t="s">
        <v>389</v>
      </c>
      <c r="AP1" s="109" t="s">
        <v>390</v>
      </c>
      <c r="AQ1" s="109" t="s">
        <v>391</v>
      </c>
      <c r="AR1" s="109" t="s">
        <v>392</v>
      </c>
      <c r="AS1" s="109" t="s">
        <v>393</v>
      </c>
      <c r="AT1" s="108" t="s">
        <v>394</v>
      </c>
      <c r="AU1" s="108" t="s">
        <v>395</v>
      </c>
      <c r="AV1" s="108" t="s">
        <v>396</v>
      </c>
      <c r="AW1" s="108" t="s">
        <v>397</v>
      </c>
      <c r="AX1" s="108" t="s">
        <v>398</v>
      </c>
      <c r="AY1" s="108" t="s">
        <v>399</v>
      </c>
      <c r="AZ1" s="108" t="s">
        <v>400</v>
      </c>
      <c r="BA1" s="109" t="s">
        <v>401</v>
      </c>
      <c r="BB1" s="109" t="s">
        <v>402</v>
      </c>
      <c r="BC1" s="109" t="s">
        <v>403</v>
      </c>
      <c r="BD1" s="109" t="s">
        <v>404</v>
      </c>
      <c r="BE1" s="109" t="s">
        <v>405</v>
      </c>
      <c r="BF1" s="109" t="s">
        <v>406</v>
      </c>
      <c r="BG1" s="109" t="s">
        <v>407</v>
      </c>
      <c r="BH1" s="108" t="s">
        <v>457</v>
      </c>
      <c r="BI1" s="108" t="s">
        <v>458</v>
      </c>
      <c r="BJ1" s="108" t="s">
        <v>459</v>
      </c>
      <c r="BK1" s="108" t="s">
        <v>460</v>
      </c>
      <c r="BL1" s="108" t="s">
        <v>461</v>
      </c>
      <c r="BM1" s="108" t="s">
        <v>462</v>
      </c>
      <c r="BN1" s="108" t="s">
        <v>463</v>
      </c>
      <c r="BO1" s="109" t="s">
        <v>302</v>
      </c>
      <c r="BP1" s="109" t="s">
        <v>303</v>
      </c>
      <c r="BQ1" s="109" t="s">
        <v>304</v>
      </c>
      <c r="BR1" s="109" t="s">
        <v>305</v>
      </c>
      <c r="BS1" s="109" t="s">
        <v>306</v>
      </c>
      <c r="BT1" s="109" t="s">
        <v>307</v>
      </c>
      <c r="BU1" s="109" t="s">
        <v>308</v>
      </c>
      <c r="BV1" s="110" t="s">
        <v>464</v>
      </c>
      <c r="BW1" s="110" t="s">
        <v>465</v>
      </c>
      <c r="BX1" s="110" t="s">
        <v>466</v>
      </c>
      <c r="BY1" s="110" t="s">
        <v>467</v>
      </c>
      <c r="BZ1" s="110" t="s">
        <v>468</v>
      </c>
      <c r="CA1" s="110" t="s">
        <v>469</v>
      </c>
      <c r="CB1" s="110" t="s">
        <v>470</v>
      </c>
      <c r="CC1" s="108" t="s">
        <v>309</v>
      </c>
      <c r="CD1" s="108" t="s">
        <v>310</v>
      </c>
      <c r="CE1" s="108" t="s">
        <v>311</v>
      </c>
      <c r="CF1" s="108" t="s">
        <v>312</v>
      </c>
      <c r="CG1" s="108" t="s">
        <v>408</v>
      </c>
      <c r="CH1" s="108" t="s">
        <v>313</v>
      </c>
      <c r="CI1" s="108" t="s">
        <v>314</v>
      </c>
      <c r="CJ1" s="109" t="s">
        <v>315</v>
      </c>
      <c r="CK1" s="109" t="s">
        <v>316</v>
      </c>
      <c r="CL1" s="109" t="s">
        <v>317</v>
      </c>
      <c r="CM1" s="109" t="s">
        <v>318</v>
      </c>
      <c r="CN1" s="109" t="s">
        <v>319</v>
      </c>
      <c r="CO1" s="109" t="s">
        <v>320</v>
      </c>
      <c r="CP1" s="109" t="s">
        <v>321</v>
      </c>
      <c r="CQ1" s="108" t="s">
        <v>322</v>
      </c>
      <c r="CR1" s="108" t="s">
        <v>323</v>
      </c>
      <c r="CS1" s="108" t="s">
        <v>324</v>
      </c>
      <c r="CT1" s="108" t="s">
        <v>325</v>
      </c>
      <c r="CU1" s="108" t="s">
        <v>326</v>
      </c>
      <c r="CV1" s="108" t="s">
        <v>327</v>
      </c>
      <c r="CW1" s="108" t="s">
        <v>328</v>
      </c>
      <c r="CX1" s="105" t="s">
        <v>329</v>
      </c>
      <c r="CY1" s="105" t="s">
        <v>330</v>
      </c>
      <c r="CZ1" s="105" t="s">
        <v>331</v>
      </c>
      <c r="DA1" s="105" t="s">
        <v>332</v>
      </c>
      <c r="DB1" s="105" t="s">
        <v>333</v>
      </c>
      <c r="DC1" s="105" t="s">
        <v>334</v>
      </c>
      <c r="DD1" s="111" t="s">
        <v>335</v>
      </c>
      <c r="DE1" s="111" t="s">
        <v>336</v>
      </c>
      <c r="DF1" s="111" t="s">
        <v>337</v>
      </c>
      <c r="DG1" s="111" t="s">
        <v>338</v>
      </c>
      <c r="DH1" s="111" t="s">
        <v>339</v>
      </c>
      <c r="DI1" s="111" t="s">
        <v>340</v>
      </c>
      <c r="DJ1" s="108" t="s">
        <v>341</v>
      </c>
      <c r="DK1" s="108" t="s">
        <v>342</v>
      </c>
      <c r="DL1" s="108" t="s">
        <v>343</v>
      </c>
      <c r="DM1" s="108" t="s">
        <v>344</v>
      </c>
      <c r="DN1" s="108" t="s">
        <v>345</v>
      </c>
      <c r="DO1" s="108" t="s">
        <v>346</v>
      </c>
      <c r="DP1" s="112" t="s">
        <v>347</v>
      </c>
      <c r="DQ1" s="112" t="s">
        <v>348</v>
      </c>
      <c r="DR1" s="112" t="s">
        <v>349</v>
      </c>
      <c r="DS1" s="112" t="s">
        <v>350</v>
      </c>
      <c r="DT1" s="112" t="s">
        <v>351</v>
      </c>
      <c r="DU1" s="113" t="s">
        <v>352</v>
      </c>
      <c r="DV1" s="113" t="s">
        <v>353</v>
      </c>
      <c r="DW1" s="113" t="s">
        <v>354</v>
      </c>
      <c r="DX1" s="113" t="s">
        <v>355</v>
      </c>
      <c r="DY1" s="113" t="s">
        <v>356</v>
      </c>
      <c r="DZ1" s="214" t="s">
        <v>949</v>
      </c>
      <c r="EA1" s="133" t="s">
        <v>422</v>
      </c>
      <c r="EB1" s="133" t="s">
        <v>423</v>
      </c>
      <c r="EC1" s="133" t="s">
        <v>424</v>
      </c>
      <c r="ED1" s="133" t="s">
        <v>425</v>
      </c>
      <c r="EE1" s="133" t="s">
        <v>426</v>
      </c>
      <c r="EF1" s="133" t="s">
        <v>427</v>
      </c>
      <c r="EG1" s="133" t="s">
        <v>456</v>
      </c>
      <c r="EH1" s="131" t="s">
        <v>730</v>
      </c>
      <c r="EI1" s="131" t="s">
        <v>428</v>
      </c>
      <c r="EJ1" s="131" t="s">
        <v>432</v>
      </c>
      <c r="EK1" s="131" t="s">
        <v>429</v>
      </c>
      <c r="EL1" s="131" t="s">
        <v>430</v>
      </c>
      <c r="EM1" s="131" t="s">
        <v>431</v>
      </c>
      <c r="EN1" s="132" t="s">
        <v>478</v>
      </c>
      <c r="EO1" s="132" t="s">
        <v>475</v>
      </c>
      <c r="EP1" s="132" t="s">
        <v>476</v>
      </c>
      <c r="EQ1" s="132" t="s">
        <v>477</v>
      </c>
    </row>
    <row r="2" spans="1:147" s="36" customFormat="1" ht="21.75" customHeight="1" x14ac:dyDescent="0.2">
      <c r="A2" s="150"/>
      <c r="B2" s="241"/>
      <c r="C2" s="241"/>
      <c r="D2" s="241"/>
      <c r="E2" s="241"/>
      <c r="F2" s="241"/>
      <c r="G2" s="241"/>
      <c r="H2" s="241"/>
      <c r="I2" s="241"/>
      <c r="J2" s="241" t="s">
        <v>1076</v>
      </c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 t="s">
        <v>1078</v>
      </c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1"/>
      <c r="BW2" s="241"/>
      <c r="BX2" s="241"/>
      <c r="BY2" s="241"/>
      <c r="BZ2" s="241"/>
      <c r="CA2" s="241"/>
      <c r="CB2" s="241"/>
      <c r="CC2" s="241"/>
      <c r="CD2" s="241"/>
      <c r="CE2" s="241"/>
      <c r="CF2" s="241"/>
      <c r="CG2" s="241"/>
      <c r="CH2" s="241"/>
      <c r="CI2" s="241"/>
      <c r="CJ2" s="241"/>
      <c r="CK2" s="241"/>
      <c r="CL2" s="241"/>
      <c r="CM2" s="241"/>
      <c r="CN2" s="241"/>
      <c r="CO2" s="241"/>
      <c r="CP2" s="241"/>
      <c r="CQ2" s="241"/>
      <c r="CR2" s="241"/>
      <c r="CS2" s="241"/>
      <c r="CT2" s="241"/>
      <c r="CU2" s="241"/>
      <c r="CV2" s="241"/>
      <c r="CW2" s="241"/>
      <c r="CX2" s="241"/>
      <c r="CY2" s="241"/>
      <c r="CZ2" s="241"/>
      <c r="DA2" s="241"/>
      <c r="DB2" s="241"/>
      <c r="DC2" s="241"/>
      <c r="DD2" s="241"/>
      <c r="DE2" s="241"/>
      <c r="DF2" s="241"/>
      <c r="DG2" s="241"/>
      <c r="DH2" s="241"/>
      <c r="DI2" s="241"/>
      <c r="DJ2" s="241"/>
      <c r="DK2" s="241"/>
      <c r="DL2" s="241"/>
      <c r="DM2" s="241"/>
      <c r="DN2" s="241"/>
      <c r="DO2" s="241"/>
      <c r="DP2" s="241"/>
      <c r="DQ2" s="241"/>
      <c r="DR2" s="241"/>
      <c r="DS2" s="241"/>
      <c r="DT2" s="241"/>
      <c r="DU2" s="241"/>
      <c r="DV2" s="241"/>
      <c r="DW2" s="241"/>
      <c r="DX2" s="241"/>
      <c r="DY2" s="241"/>
      <c r="DZ2" s="219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</row>
    <row r="3" spans="1:147" s="38" customFormat="1" ht="22.9" customHeight="1" x14ac:dyDescent="0.2">
      <c r="A3" s="139"/>
      <c r="B3" s="140"/>
      <c r="C3" s="141"/>
      <c r="D3" s="155"/>
      <c r="E3" s="156"/>
      <c r="F3" s="142" t="s">
        <v>283</v>
      </c>
      <c r="G3" s="143"/>
      <c r="H3" s="143">
        <f>'Rates Sheet'!D15</f>
        <v>140</v>
      </c>
      <c r="I3" s="143">
        <f>'Rates Sheet'!E15</f>
        <v>165</v>
      </c>
      <c r="J3" s="143">
        <f>'Rates Sheet'!F15</f>
        <v>180</v>
      </c>
      <c r="K3" s="143">
        <f>'Rates Sheet'!G15</f>
        <v>195</v>
      </c>
      <c r="L3" s="143">
        <f>'Rates Sheet'!H15</f>
        <v>220</v>
      </c>
      <c r="M3" s="143">
        <f>'Rates Sheet'!I15</f>
        <v>240</v>
      </c>
      <c r="N3" s="143">
        <f>'Rates Sheet'!C4</f>
        <v>60</v>
      </c>
      <c r="O3" s="143">
        <f>'Rates Sheet'!D4</f>
        <v>65</v>
      </c>
      <c r="P3" s="143">
        <f>'Rates Sheet'!E4</f>
        <v>80</v>
      </c>
      <c r="Q3" s="143">
        <f>'Rates Sheet'!F4</f>
        <v>95</v>
      </c>
      <c r="R3" s="143">
        <f>'Rates Sheet'!C5</f>
        <v>60</v>
      </c>
      <c r="S3" s="143">
        <f>'Rates Sheet'!D5</f>
        <v>65</v>
      </c>
      <c r="T3" s="143">
        <f>'Rates Sheet'!E5</f>
        <v>80</v>
      </c>
      <c r="U3" s="143">
        <f>'Rates Sheet'!F5</f>
        <v>100</v>
      </c>
      <c r="V3" s="143">
        <f>'Rates Sheet'!G5</f>
        <v>120</v>
      </c>
      <c r="W3" s="143">
        <f>'Rates Sheet'!C12</f>
        <v>115</v>
      </c>
      <c r="X3" s="143">
        <f>'Rates Sheet'!D12</f>
        <v>120</v>
      </c>
      <c r="Y3" s="143">
        <f>'Rates Sheet'!E12</f>
        <v>145</v>
      </c>
      <c r="Z3" s="143">
        <f>'Rates Sheet'!F12</f>
        <v>160</v>
      </c>
      <c r="AA3" s="143">
        <f>'Rates Sheet'!G12</f>
        <v>180</v>
      </c>
      <c r="AB3" s="143">
        <f>'Rates Sheet'!C11</f>
        <v>105</v>
      </c>
      <c r="AC3" s="143">
        <f>'Rates Sheet'!D11</f>
        <v>115</v>
      </c>
      <c r="AD3" s="143">
        <f>'Rates Sheet'!E11</f>
        <v>130</v>
      </c>
      <c r="AE3" s="143">
        <f>'Rates Sheet'!F11</f>
        <v>140</v>
      </c>
      <c r="AF3" s="143">
        <f>'Rates Sheet'!G11</f>
        <v>150</v>
      </c>
      <c r="AG3" s="143">
        <f>'Rates Sheet'!C6</f>
        <v>75</v>
      </c>
      <c r="AH3" s="143">
        <f>'Rates Sheet'!D6</f>
        <v>110</v>
      </c>
      <c r="AI3" s="143">
        <f>'Rates Sheet'!E6</f>
        <v>130</v>
      </c>
      <c r="AJ3" s="143">
        <f>'Rates Sheet'!F6</f>
        <v>140</v>
      </c>
      <c r="AK3" s="143">
        <f>'Rates Sheet'!G6</f>
        <v>150</v>
      </c>
      <c r="AL3" s="143">
        <f>'Rates Sheet'!H6</f>
        <v>160</v>
      </c>
      <c r="AM3" s="143">
        <f>'Rates Sheet'!C7</f>
        <v>110</v>
      </c>
      <c r="AN3" s="143">
        <f>'Rates Sheet'!D7</f>
        <v>115</v>
      </c>
      <c r="AO3" s="143">
        <f>'Rates Sheet'!E7</f>
        <v>140</v>
      </c>
      <c r="AP3" s="143">
        <f>'Rates Sheet'!F7</f>
        <v>155</v>
      </c>
      <c r="AQ3" s="143">
        <f>'Rates Sheet'!G7</f>
        <v>175</v>
      </c>
      <c r="AR3" s="143">
        <f>'Rates Sheet'!H7</f>
        <v>195</v>
      </c>
      <c r="AS3" s="143">
        <f>'Rates Sheet'!I7</f>
        <v>230</v>
      </c>
      <c r="AT3" s="143">
        <f>'Rates Sheet'!C7</f>
        <v>110</v>
      </c>
      <c r="AU3" s="143">
        <f>'Rates Sheet'!D7</f>
        <v>115</v>
      </c>
      <c r="AV3" s="143">
        <f>'Rates Sheet'!E7</f>
        <v>140</v>
      </c>
      <c r="AW3" s="143">
        <f>'Rates Sheet'!F7</f>
        <v>155</v>
      </c>
      <c r="AX3" s="143">
        <f>'Rates Sheet'!G7</f>
        <v>175</v>
      </c>
      <c r="AY3" s="143">
        <f>'Rates Sheet'!H7</f>
        <v>195</v>
      </c>
      <c r="AZ3" s="143">
        <f>'Rates Sheet'!I7</f>
        <v>230</v>
      </c>
      <c r="BA3" s="143">
        <f>'Rates Sheet'!C7</f>
        <v>110</v>
      </c>
      <c r="BB3" s="143">
        <f>'Rates Sheet'!D7</f>
        <v>115</v>
      </c>
      <c r="BC3" s="143">
        <f>'Rates Sheet'!E7</f>
        <v>140</v>
      </c>
      <c r="BD3" s="143">
        <f>'Rates Sheet'!F7</f>
        <v>155</v>
      </c>
      <c r="BE3" s="143">
        <f>'Rates Sheet'!G7</f>
        <v>175</v>
      </c>
      <c r="BF3" s="143">
        <f>'Rates Sheet'!H7</f>
        <v>195</v>
      </c>
      <c r="BG3" s="143">
        <f>'Rates Sheet'!I7</f>
        <v>230</v>
      </c>
      <c r="BH3" s="143">
        <f>'Rates Sheet'!C7</f>
        <v>110</v>
      </c>
      <c r="BI3" s="143">
        <f>'Rates Sheet'!D7</f>
        <v>115</v>
      </c>
      <c r="BJ3" s="143">
        <f>'Rates Sheet'!E7</f>
        <v>140</v>
      </c>
      <c r="BK3" s="143">
        <f>'Rates Sheet'!F7</f>
        <v>155</v>
      </c>
      <c r="BL3" s="143">
        <f>'Rates Sheet'!G7</f>
        <v>175</v>
      </c>
      <c r="BM3" s="143">
        <f>'Rates Sheet'!H7</f>
        <v>195</v>
      </c>
      <c r="BN3" s="143">
        <f>'Rates Sheet'!I7</f>
        <v>230</v>
      </c>
      <c r="BO3" s="143">
        <f>'Rates Sheet'!C7</f>
        <v>110</v>
      </c>
      <c r="BP3" s="143">
        <f>'Rates Sheet'!D7</f>
        <v>115</v>
      </c>
      <c r="BQ3" s="143">
        <f>'Rates Sheet'!E7</f>
        <v>140</v>
      </c>
      <c r="BR3" s="143">
        <f>'Rates Sheet'!F7</f>
        <v>155</v>
      </c>
      <c r="BS3" s="143">
        <f>'Rates Sheet'!G7</f>
        <v>175</v>
      </c>
      <c r="BT3" s="143">
        <f>'Rates Sheet'!H7</f>
        <v>195</v>
      </c>
      <c r="BU3" s="143">
        <f>'Rates Sheet'!I7</f>
        <v>230</v>
      </c>
      <c r="BV3" s="143">
        <v>110</v>
      </c>
      <c r="BW3" s="143">
        <f>'Rates Sheet'!D7</f>
        <v>115</v>
      </c>
      <c r="BX3" s="143">
        <f>'Rates Sheet'!E7</f>
        <v>140</v>
      </c>
      <c r="BY3" s="143">
        <f>'Rates Sheet'!F7</f>
        <v>155</v>
      </c>
      <c r="BZ3" s="143">
        <f>'Rates Sheet'!G7</f>
        <v>175</v>
      </c>
      <c r="CA3" s="143">
        <f>'Rates Sheet'!H7</f>
        <v>195</v>
      </c>
      <c r="CB3" s="143">
        <f>'Rates Sheet'!I7</f>
        <v>230</v>
      </c>
      <c r="CC3" s="143">
        <f>'Rates Sheet'!C8</f>
        <v>105</v>
      </c>
      <c r="CD3" s="143">
        <f>'Rates Sheet'!D8</f>
        <v>110</v>
      </c>
      <c r="CE3" s="143">
        <f>'Rates Sheet'!E8</f>
        <v>135</v>
      </c>
      <c r="CF3" s="143">
        <f>'Rates Sheet'!F8</f>
        <v>150</v>
      </c>
      <c r="CG3" s="143">
        <f>'Rates Sheet'!G8</f>
        <v>170</v>
      </c>
      <c r="CH3" s="143">
        <f>'Rates Sheet'!H8</f>
        <v>185</v>
      </c>
      <c r="CI3" s="143">
        <f>'Rates Sheet'!I8</f>
        <v>220</v>
      </c>
      <c r="CJ3" s="143">
        <f>'Rates Sheet'!C8</f>
        <v>105</v>
      </c>
      <c r="CK3" s="143">
        <f>'Rates Sheet'!D8</f>
        <v>110</v>
      </c>
      <c r="CL3" s="143">
        <f>'Rates Sheet'!E8</f>
        <v>135</v>
      </c>
      <c r="CM3" s="143">
        <f>'Rates Sheet'!F8</f>
        <v>150</v>
      </c>
      <c r="CN3" s="143">
        <f>'Rates Sheet'!G8</f>
        <v>170</v>
      </c>
      <c r="CO3" s="143">
        <f>'Rates Sheet'!H8</f>
        <v>185</v>
      </c>
      <c r="CP3" s="143">
        <f>'Rates Sheet'!I8</f>
        <v>220</v>
      </c>
      <c r="CQ3" s="143">
        <f>'Rates Sheet'!C8</f>
        <v>105</v>
      </c>
      <c r="CR3" s="143">
        <f>'Rates Sheet'!D8</f>
        <v>110</v>
      </c>
      <c r="CS3" s="143">
        <f>'Rates Sheet'!E8</f>
        <v>135</v>
      </c>
      <c r="CT3" s="143">
        <f>'Rates Sheet'!F8</f>
        <v>150</v>
      </c>
      <c r="CU3" s="143">
        <f>'Rates Sheet'!G8</f>
        <v>170</v>
      </c>
      <c r="CV3" s="143">
        <f>'Rates Sheet'!H8</f>
        <v>185</v>
      </c>
      <c r="CW3" s="143">
        <f>'Rates Sheet'!I8</f>
        <v>220</v>
      </c>
      <c r="CX3" s="143">
        <f>'Rates Sheet'!C9</f>
        <v>90</v>
      </c>
      <c r="CY3" s="143">
        <f>'Rates Sheet'!D9</f>
        <v>105</v>
      </c>
      <c r="CZ3" s="143">
        <f>'Rates Sheet'!E9</f>
        <v>115</v>
      </c>
      <c r="DA3" s="143">
        <f>'Rates Sheet'!F9</f>
        <v>140</v>
      </c>
      <c r="DB3" s="143">
        <f>'Rates Sheet'!G9</f>
        <v>155</v>
      </c>
      <c r="DC3" s="143">
        <f>'Rates Sheet'!H9</f>
        <v>160</v>
      </c>
      <c r="DD3" s="143">
        <f>'Rates Sheet'!C9</f>
        <v>90</v>
      </c>
      <c r="DE3" s="143">
        <f>'Rates Sheet'!D9</f>
        <v>105</v>
      </c>
      <c r="DF3" s="143">
        <f>'Rates Sheet'!E9</f>
        <v>115</v>
      </c>
      <c r="DG3" s="143">
        <f>'Rates Sheet'!F9</f>
        <v>140</v>
      </c>
      <c r="DH3" s="143">
        <f>'Rates Sheet'!G9</f>
        <v>155</v>
      </c>
      <c r="DI3" s="143">
        <f>'Rates Sheet'!H9</f>
        <v>160</v>
      </c>
      <c r="DJ3" s="143">
        <f>'Rates Sheet'!C9</f>
        <v>90</v>
      </c>
      <c r="DK3" s="143">
        <f>'Rates Sheet'!D9</f>
        <v>105</v>
      </c>
      <c r="DL3" s="143">
        <f>'Rates Sheet'!E9</f>
        <v>115</v>
      </c>
      <c r="DM3" s="143">
        <f>'Rates Sheet'!F9</f>
        <v>140</v>
      </c>
      <c r="DN3" s="143">
        <f>'Rates Sheet'!G9</f>
        <v>155</v>
      </c>
      <c r="DO3" s="143">
        <f>'Rates Sheet'!H9</f>
        <v>160</v>
      </c>
      <c r="DP3" s="143">
        <f>'Rates Sheet'!C10</f>
        <v>80</v>
      </c>
      <c r="DQ3" s="143">
        <f>'Rates Sheet'!D10</f>
        <v>100</v>
      </c>
      <c r="DR3" s="143">
        <f>'Rates Sheet'!E10</f>
        <v>120</v>
      </c>
      <c r="DS3" s="143">
        <f>'Rates Sheet'!F10</f>
        <v>140</v>
      </c>
      <c r="DT3" s="143">
        <f>'Rates Sheet'!G10</f>
        <v>155</v>
      </c>
      <c r="DU3" s="143">
        <v>80</v>
      </c>
      <c r="DV3" s="143">
        <v>100</v>
      </c>
      <c r="DW3" s="143">
        <v>120</v>
      </c>
      <c r="DX3" s="143">
        <v>140</v>
      </c>
      <c r="DY3" s="143">
        <v>155</v>
      </c>
      <c r="DZ3" s="215"/>
      <c r="EA3" s="238">
        <v>1</v>
      </c>
      <c r="EB3" s="144">
        <v>1</v>
      </c>
      <c r="EC3" s="144">
        <v>1</v>
      </c>
      <c r="ED3" s="144">
        <v>150</v>
      </c>
      <c r="EE3" s="144">
        <v>50</v>
      </c>
      <c r="EF3" s="144">
        <v>1</v>
      </c>
      <c r="EG3" s="144">
        <v>1</v>
      </c>
      <c r="EH3" s="144">
        <v>20</v>
      </c>
      <c r="EI3" s="144">
        <v>20</v>
      </c>
      <c r="EJ3" s="144">
        <v>20</v>
      </c>
      <c r="EK3" s="144">
        <v>15</v>
      </c>
      <c r="EL3" s="144">
        <v>65</v>
      </c>
      <c r="EM3" s="144">
        <v>12</v>
      </c>
      <c r="EN3" s="144">
        <v>140</v>
      </c>
      <c r="EO3" s="144">
        <v>140</v>
      </c>
      <c r="EP3" s="144">
        <v>140</v>
      </c>
      <c r="EQ3" s="144">
        <v>140</v>
      </c>
    </row>
    <row r="4" spans="1:147" s="39" customFormat="1" ht="22.9" customHeight="1" x14ac:dyDescent="0.2">
      <c r="A4" s="145" t="s">
        <v>287</v>
      </c>
      <c r="B4" s="37" t="str">
        <f>REFERENCE!B21</f>
        <v>Test Project</v>
      </c>
      <c r="C4" s="97"/>
      <c r="D4" s="157"/>
      <c r="E4" s="158"/>
      <c r="F4" s="134" t="s">
        <v>299</v>
      </c>
      <c r="G4" s="116">
        <f>SUM(Table1[[#This Row],[PM JR]:[19.36 TPSC CSA]])</f>
        <v>98</v>
      </c>
      <c r="H4" s="135" cm="1">
        <f t="array" ref="H4">SumByColor(H7:H277,REFERENCE!$G$4)</f>
        <v>40</v>
      </c>
      <c r="I4" s="135" cm="1">
        <f t="array" ref="I4">SumByColor(I7:I277,REFERENCE!$G$4)</f>
        <v>0</v>
      </c>
      <c r="J4" s="135" cm="1">
        <f t="array" ref="J4">SumByColor(J7:J277,REFERENCE!$G$4)</f>
        <v>0</v>
      </c>
      <c r="K4" s="135" cm="1">
        <f t="array" ref="K4">SumByColor(K7:K277,REFERENCE!$G$4)</f>
        <v>0</v>
      </c>
      <c r="L4" s="135" cm="1">
        <f t="array" ref="L4">SumByColor(L7:L277,REFERENCE!$G$4)</f>
        <v>0</v>
      </c>
      <c r="M4" s="135" cm="1">
        <f t="array" ref="M4">SumByColor(M7:M277,REFERENCE!$G$4)</f>
        <v>0</v>
      </c>
      <c r="N4" s="135" cm="1">
        <f t="array" ref="N4">SumByColor(N7:N277,REFERENCE!$G$4)</f>
        <v>0</v>
      </c>
      <c r="O4" s="135" cm="1">
        <f t="array" ref="O4">SumByColor(O7:O277,REFERENCE!$G$4)</f>
        <v>0</v>
      </c>
      <c r="P4" s="135" cm="1">
        <f t="array" ref="P4">SumByColor(P7:P277,REFERENCE!$G$4)</f>
        <v>12</v>
      </c>
      <c r="Q4" s="135" cm="1">
        <f t="array" ref="Q4">SumByColor(Q7:Q277,REFERENCE!$G$4)</f>
        <v>22</v>
      </c>
      <c r="R4" s="135" cm="1">
        <f t="array" ref="R4">SumByColor(R7:R277,REFERENCE!$G$4)</f>
        <v>0</v>
      </c>
      <c r="S4" s="135" cm="1">
        <f t="array" ref="S4">SumByColor(S7:S277,REFERENCE!$G$4)</f>
        <v>12</v>
      </c>
      <c r="T4" s="135" cm="1">
        <f t="array" ref="T4">SumByColor(T7:T277,REFERENCE!$G$4)</f>
        <v>12</v>
      </c>
      <c r="U4" s="135" cm="1">
        <f t="array" ref="U4">SumByColor(U7:U277,REFERENCE!$G$4)</f>
        <v>0</v>
      </c>
      <c r="V4" s="135" cm="1">
        <f t="array" ref="V4">SumByColor(V7:V277,REFERENCE!$G$4)</f>
        <v>0</v>
      </c>
      <c r="W4" s="135" cm="1">
        <f t="array" ref="W4">SumByColor(W7:W277,REFERENCE!$G$4)</f>
        <v>0</v>
      </c>
      <c r="X4" s="135" cm="1">
        <f t="array" ref="X4">SumByColor(X7:X277,REFERENCE!$G$4)</f>
        <v>0</v>
      </c>
      <c r="Y4" s="135" cm="1">
        <f t="array" ref="Y4">SumByColor(Y7:Y277,REFERENCE!$G$4)</f>
        <v>0</v>
      </c>
      <c r="Z4" s="135" cm="1">
        <f t="array" ref="Z4">SumByColor(Z7:Z277,REFERENCE!$G$4)</f>
        <v>0</v>
      </c>
      <c r="AA4" s="135" cm="1">
        <f t="array" ref="AA4">SumByColor(AA7:AA277,REFERENCE!$G$4)</f>
        <v>0</v>
      </c>
      <c r="AB4" s="135" cm="1">
        <f t="array" ref="AB4">SumByColor(AB7:AB277,REFERENCE!$G$4)</f>
        <v>0</v>
      </c>
      <c r="AC4" s="135" cm="1">
        <f t="array" ref="AC4">SumByColor(AC7:AC277,REFERENCE!$G$4)</f>
        <v>0</v>
      </c>
      <c r="AD4" s="135" cm="1">
        <f t="array" ref="AD4">SumByColor(AD7:AD277,REFERENCE!$G$4)</f>
        <v>0</v>
      </c>
      <c r="AE4" s="135" cm="1">
        <f t="array" ref="AE4">SumByColor(AE7:AE277,REFERENCE!$G$4)</f>
        <v>0</v>
      </c>
      <c r="AF4" s="135" cm="1">
        <f t="array" ref="AF4">SumByColor(AF7:AF277,REFERENCE!$G$4)</f>
        <v>0</v>
      </c>
      <c r="AG4" s="135" cm="1">
        <f t="array" ref="AG4">SumByColor(AG7:AG277,REFERENCE!$G$4)</f>
        <v>0</v>
      </c>
      <c r="AH4" s="135" cm="1">
        <f t="array" ref="AH4">SumByColor(AH7:AH277,REFERENCE!$G$4)</f>
        <v>0</v>
      </c>
      <c r="AI4" s="135" cm="1">
        <f t="array" ref="AI4">SumByColor(AI7:AI277,REFERENCE!$G$4)</f>
        <v>0</v>
      </c>
      <c r="AJ4" s="135" cm="1">
        <f t="array" ref="AJ4">SumByColor(AJ7:AJ277,REFERENCE!$G$4)</f>
        <v>0</v>
      </c>
      <c r="AK4" s="135" cm="1">
        <f t="array" ref="AK4">SumByColor(AK7:AK277,REFERENCE!$G$4)</f>
        <v>0</v>
      </c>
      <c r="AL4" s="135" cm="1">
        <f t="array" ref="AL4">SumByColor(AL7:AL277,REFERENCE!$G$4)</f>
        <v>0</v>
      </c>
      <c r="AM4" s="135" cm="1">
        <f t="array" ref="AM4">SumByColor(AM7:AM277,REFERENCE!$G$4)</f>
        <v>0</v>
      </c>
      <c r="AN4" s="135" cm="1">
        <f t="array" ref="AN4">SumByColor(AN7:AN277,REFERENCE!$G$4)</f>
        <v>0</v>
      </c>
      <c r="AO4" s="135" cm="1">
        <f t="array" ref="AO4">SumByColor(AO7:AO277,REFERENCE!$G$4)</f>
        <v>0</v>
      </c>
      <c r="AP4" s="135" cm="1">
        <f t="array" ref="AP4">SumByColor(AP7:AP277,REFERENCE!$G$4)</f>
        <v>0</v>
      </c>
      <c r="AQ4" s="135" cm="1">
        <f t="array" ref="AQ4">SumByColor(AQ7:AQ277,REFERENCE!$G$4)</f>
        <v>0</v>
      </c>
      <c r="AR4" s="135" cm="1">
        <f t="array" ref="AR4">SumByColor(AR7:AR277,REFERENCE!$G$4)</f>
        <v>0</v>
      </c>
      <c r="AS4" s="135" cm="1">
        <f t="array" ref="AS4">SumByColor(AS7:AS277,REFERENCE!$G$4)</f>
        <v>0</v>
      </c>
      <c r="AT4" s="135" cm="1">
        <f t="array" ref="AT4">SumByColor(AT7:AT277,REFERENCE!$G$4)</f>
        <v>0</v>
      </c>
      <c r="AU4" s="135" cm="1">
        <f t="array" ref="AU4">SumByColor(AU7:AU277,REFERENCE!$G$4)</f>
        <v>0</v>
      </c>
      <c r="AV4" s="135" cm="1">
        <f t="array" ref="AV4">SumByColor(AV7:AV277,REFERENCE!$G$4)</f>
        <v>0</v>
      </c>
      <c r="AW4" s="135" cm="1">
        <f t="array" ref="AW4">SumByColor(AW7:AW277,REFERENCE!$G$4)</f>
        <v>0</v>
      </c>
      <c r="AX4" s="135" cm="1">
        <f t="array" ref="AX4">SumByColor(AX7:AX277,REFERENCE!$G$4)</f>
        <v>0</v>
      </c>
      <c r="AY4" s="135" cm="1">
        <f t="array" ref="AY4">SumByColor(AY7:AY277,REFERENCE!$G$4)</f>
        <v>0</v>
      </c>
      <c r="AZ4" s="135" cm="1">
        <f t="array" ref="AZ4">SumByColor(AZ7:AZ277,REFERENCE!$G$4)</f>
        <v>0</v>
      </c>
      <c r="BA4" s="135" cm="1">
        <f t="array" ref="BA4">SumByColor(BA7:BA277,REFERENCE!$G$4)</f>
        <v>0</v>
      </c>
      <c r="BB4" s="135" cm="1">
        <f t="array" ref="BB4">SumByColor(BB7:BB277,REFERENCE!$G$4)</f>
        <v>0</v>
      </c>
      <c r="BC4" s="135" cm="1">
        <f t="array" ref="BC4">SumByColor(BC7:BC277,REFERENCE!$G$4)</f>
        <v>0</v>
      </c>
      <c r="BD4" s="135" cm="1">
        <f t="array" ref="BD4">SumByColor(BD7:BD277,REFERENCE!$G$4)</f>
        <v>0</v>
      </c>
      <c r="BE4" s="135" cm="1">
        <f t="array" ref="BE4">SumByColor(BE7:BE277,REFERENCE!$G$4)</f>
        <v>0</v>
      </c>
      <c r="BF4" s="135" cm="1">
        <f t="array" ref="BF4">SumByColor(BF7:BF277,REFERENCE!$G$4)</f>
        <v>0</v>
      </c>
      <c r="BG4" s="135" cm="1">
        <f t="array" ref="BG4">SumByColor(BG7:BG277,REFERENCE!$G$4)</f>
        <v>0</v>
      </c>
      <c r="BH4" s="135" cm="1">
        <f t="array" ref="BH4">SumByColor(BH7:BH277,REFERENCE!$G$4)</f>
        <v>0</v>
      </c>
      <c r="BI4" s="135" cm="1">
        <f t="array" ref="BI4">SumByColor(BI7:BI277,REFERENCE!$G$4)</f>
        <v>0</v>
      </c>
      <c r="BJ4" s="135" cm="1">
        <f t="array" ref="BJ4">SumByColor(BJ7:BJ277,REFERENCE!$G$4)</f>
        <v>0</v>
      </c>
      <c r="BK4" s="135" cm="1">
        <f t="array" ref="BK4">SumByColor(BK7:BK277,REFERENCE!$G$4)</f>
        <v>0</v>
      </c>
      <c r="BL4" s="135" cm="1">
        <f t="array" ref="BL4">SumByColor(BL7:BL277,REFERENCE!$G$4)</f>
        <v>0</v>
      </c>
      <c r="BM4" s="135" cm="1">
        <f t="array" ref="BM4">SumByColor(BM7:BM277,REFERENCE!$G$4)</f>
        <v>0</v>
      </c>
      <c r="BN4" s="135" cm="1">
        <f t="array" ref="BN4">SumByColor(BN7:BN277,REFERENCE!$G$4)</f>
        <v>0</v>
      </c>
      <c r="BO4" s="135" cm="1">
        <f t="array" ref="BO4">SumByColor(BO7:BO277,REFERENCE!$G$4)</f>
        <v>0</v>
      </c>
      <c r="BP4" s="135" cm="1">
        <f t="array" ref="BP4">SumByColor(BP7:BP277,REFERENCE!$G$4)</f>
        <v>0</v>
      </c>
      <c r="BQ4" s="135" cm="1">
        <f t="array" ref="BQ4">SumByColor(BQ7:BQ277,REFERENCE!$G$4)</f>
        <v>0</v>
      </c>
      <c r="BR4" s="135" cm="1">
        <f t="array" ref="BR4">SumByColor(BR7:BR277,REFERENCE!$G$4)</f>
        <v>0</v>
      </c>
      <c r="BS4" s="135" cm="1">
        <f t="array" ref="BS4">SumByColor(BS7:BS277,REFERENCE!$G$4)</f>
        <v>0</v>
      </c>
      <c r="BT4" s="135" cm="1">
        <f t="array" ref="BT4">SumByColor(BT7:BT277,REFERENCE!$G$4)</f>
        <v>0</v>
      </c>
      <c r="BU4" s="135" cm="1">
        <f t="array" ref="BU4">SumByColor(BU7:BU277,REFERENCE!$G$4)</f>
        <v>0</v>
      </c>
      <c r="BV4" s="135" cm="1">
        <f t="array" ref="BV4">SumByColor(BV7:BV277,REFERENCE!$G$4)</f>
        <v>0</v>
      </c>
      <c r="BW4" s="135" cm="1">
        <f t="array" ref="BW4">SumByColor(BW7:BW277,REFERENCE!$G$4)</f>
        <v>0</v>
      </c>
      <c r="BX4" s="135" cm="1">
        <f t="array" ref="BX4">SumByColor(BX7:BX277,REFERENCE!$G$4)</f>
        <v>0</v>
      </c>
      <c r="BY4" s="135" cm="1">
        <f t="array" ref="BY4">SumByColor(BY7:BY277,REFERENCE!$G$4)</f>
        <v>0</v>
      </c>
      <c r="BZ4" s="135" cm="1">
        <f t="array" ref="BZ4">SumByColor(BZ7:BZ277,REFERENCE!$G$4)</f>
        <v>0</v>
      </c>
      <c r="CA4" s="135" cm="1">
        <f t="array" ref="CA4">SumByColor(CA7:CA277,REFERENCE!$G$4)</f>
        <v>0</v>
      </c>
      <c r="CB4" s="135" cm="1">
        <f t="array" ref="CB4">SumByColor(CB7:CB277,REFERENCE!$G$4)</f>
        <v>0</v>
      </c>
      <c r="CC4" s="135" cm="1">
        <f t="array" ref="CC4">SumByColor(CC7:CC277,REFERENCE!$G$4)</f>
        <v>0</v>
      </c>
      <c r="CD4" s="135" cm="1">
        <f t="array" ref="CD4">SumByColor(CD7:CD277,REFERENCE!$G$4)</f>
        <v>0</v>
      </c>
      <c r="CE4" s="135" cm="1">
        <f t="array" ref="CE4">SumByColor(CE7:CE277,REFERENCE!$G$4)</f>
        <v>0</v>
      </c>
      <c r="CF4" s="135" cm="1">
        <f t="array" ref="CF4">SumByColor(CF7:CF277,REFERENCE!$G$4)</f>
        <v>0</v>
      </c>
      <c r="CG4" s="135" cm="1">
        <f t="array" ref="CG4">SumByColor(CG7:CG277,REFERENCE!$G$4)</f>
        <v>0</v>
      </c>
      <c r="CH4" s="135" cm="1">
        <f t="array" ref="CH4">SumByColor(CH7:CH277,REFERENCE!$G$4)</f>
        <v>0</v>
      </c>
      <c r="CI4" s="135" cm="1">
        <f t="array" ref="CI4">SumByColor(CI7:CI277,REFERENCE!$G$4)</f>
        <v>0</v>
      </c>
      <c r="CJ4" s="135" cm="1">
        <f t="array" ref="CJ4">SumByColor(CJ7:CJ277,REFERENCE!$G$4)</f>
        <v>0</v>
      </c>
      <c r="CK4" s="135" cm="1">
        <f t="array" ref="CK4">SumByColor(CK7:CK277,REFERENCE!$G$4)</f>
        <v>0</v>
      </c>
      <c r="CL4" s="135" cm="1">
        <f t="array" ref="CL4">SumByColor(CL7:CL277,REFERENCE!$G$4)</f>
        <v>0</v>
      </c>
      <c r="CM4" s="135" cm="1">
        <f t="array" ref="CM4">SumByColor(CM7:CM277,REFERENCE!$G$4)</f>
        <v>0</v>
      </c>
      <c r="CN4" s="135" cm="1">
        <f t="array" ref="CN4">SumByColor(CN7:CN277,REFERENCE!$G$4)</f>
        <v>0</v>
      </c>
      <c r="CO4" s="135" cm="1">
        <f t="array" ref="CO4">SumByColor(CO7:CO277,REFERENCE!$G$4)</f>
        <v>0</v>
      </c>
      <c r="CP4" s="135" cm="1">
        <f t="array" ref="CP4">SumByColor(CP7:CP277,REFERENCE!$G$4)</f>
        <v>0</v>
      </c>
      <c r="CQ4" s="135" cm="1">
        <f t="array" ref="CQ4">SumByColor(CQ7:CQ277,REFERENCE!$G$4)</f>
        <v>0</v>
      </c>
      <c r="CR4" s="135" cm="1">
        <f t="array" ref="CR4">SumByColor(CR7:CR277,REFERENCE!$G$4)</f>
        <v>0</v>
      </c>
      <c r="CS4" s="135" cm="1">
        <f t="array" ref="CS4">SumByColor(CS7:CS277,REFERENCE!$G$4)</f>
        <v>0</v>
      </c>
      <c r="CT4" s="135" cm="1">
        <f t="array" ref="CT4">SumByColor(CT7:CT277,REFERENCE!$G$4)</f>
        <v>0</v>
      </c>
      <c r="CU4" s="135" cm="1">
        <f t="array" ref="CU4">SumByColor(CU7:CU277,REFERENCE!$G$4)</f>
        <v>0</v>
      </c>
      <c r="CV4" s="135" cm="1">
        <f t="array" ref="CV4">SumByColor(CV7:CV277,REFERENCE!$G$4)</f>
        <v>0</v>
      </c>
      <c r="CW4" s="135" cm="1">
        <f t="array" ref="CW4">SumByColor(CW7:CW277,REFERENCE!$G$4)</f>
        <v>0</v>
      </c>
      <c r="CX4" s="135" cm="1">
        <f t="array" ref="CX4">SumByColor(CX7:CX277,REFERENCE!$G$4)</f>
        <v>0</v>
      </c>
      <c r="CY4" s="135" cm="1">
        <f t="array" ref="CY4">SumByColor(CY7:CY277,REFERENCE!$G$4)</f>
        <v>0</v>
      </c>
      <c r="CZ4" s="135" cm="1">
        <f t="array" ref="CZ4">SumByColor(CZ7:CZ277,REFERENCE!$G$4)</f>
        <v>0</v>
      </c>
      <c r="DA4" s="135" cm="1">
        <f t="array" ref="DA4">SumByColor(DA7:DA277,REFERENCE!$G$4)</f>
        <v>0</v>
      </c>
      <c r="DB4" s="135" cm="1">
        <f t="array" ref="DB4">SumByColor(DB7:DB277,REFERENCE!$G$4)</f>
        <v>0</v>
      </c>
      <c r="DC4" s="135" cm="1">
        <f t="array" ref="DC4">SumByColor(DC7:DC277,REFERENCE!$G$4)</f>
        <v>0</v>
      </c>
      <c r="DD4" s="135" cm="1">
        <f t="array" ref="DD4">SumByColor(DD7:DD277,REFERENCE!$G$4)</f>
        <v>0</v>
      </c>
      <c r="DE4" s="135" cm="1">
        <f t="array" ref="DE4">SumByColor(DE7:DE277,REFERENCE!$G$4)</f>
        <v>0</v>
      </c>
      <c r="DF4" s="135" cm="1">
        <f t="array" ref="DF4">SumByColor(DF7:DF277,REFERENCE!$G$4)</f>
        <v>0</v>
      </c>
      <c r="DG4" s="135" cm="1">
        <f t="array" ref="DG4">SumByColor(DG7:DG277,REFERENCE!$G$4)</f>
        <v>0</v>
      </c>
      <c r="DH4" s="135" cm="1">
        <f t="array" ref="DH4">SumByColor(DH7:DH277,REFERENCE!$G$4)</f>
        <v>0</v>
      </c>
      <c r="DI4" s="135" cm="1">
        <f t="array" ref="DI4">SumByColor(DI7:DI277,REFERENCE!$G$4)</f>
        <v>0</v>
      </c>
      <c r="DJ4" s="135" cm="1">
        <f t="array" ref="DJ4">SumByColor(DJ7:DJ277,REFERENCE!$G$4)</f>
        <v>0</v>
      </c>
      <c r="DK4" s="135" cm="1">
        <f t="array" ref="DK4">SumByColor(DK7:DK277,REFERENCE!$G$4)</f>
        <v>0</v>
      </c>
      <c r="DL4" s="135" cm="1">
        <f t="array" ref="DL4">SumByColor(DL7:DL277,REFERENCE!$G$4)</f>
        <v>0</v>
      </c>
      <c r="DM4" s="135" cm="1">
        <f t="array" ref="DM4">SumByColor(DM7:DM277,REFERENCE!$G$4)</f>
        <v>0</v>
      </c>
      <c r="DN4" s="135" cm="1">
        <f t="array" ref="DN4">SumByColor(DN7:DN277,REFERENCE!$G$4)</f>
        <v>0</v>
      </c>
      <c r="DO4" s="135" cm="1">
        <f t="array" ref="DO4">SumByColor(DO7:DO277,REFERENCE!$G$4)</f>
        <v>0</v>
      </c>
      <c r="DP4" s="135" cm="1">
        <f t="array" ref="DP4">SumByColor(DP7:DP277,REFERENCE!$G$4)</f>
        <v>0</v>
      </c>
      <c r="DQ4" s="135" cm="1">
        <f t="array" ref="DQ4">SumByColor(DQ7:DQ277,REFERENCE!$G$4)</f>
        <v>0</v>
      </c>
      <c r="DR4" s="135" cm="1">
        <f t="array" ref="DR4">SumByColor(DR7:DR277,REFERENCE!$G$4)</f>
        <v>0</v>
      </c>
      <c r="DS4" s="135" cm="1">
        <f t="array" ref="DS4">SumByColor(DS7:DS277,REFERENCE!$G$4)</f>
        <v>0</v>
      </c>
      <c r="DT4" s="135" cm="1">
        <f t="array" ref="DT4">SumByColor(DT7:DT277,REFERENCE!$G$4)</f>
        <v>0</v>
      </c>
      <c r="DU4" s="135" cm="1">
        <f t="array" ref="DU4">SumByColor(DU7:DU277,REFERENCE!$G$4)</f>
        <v>0</v>
      </c>
      <c r="DV4" s="135" cm="1">
        <f t="array" ref="DV4">SumByColor(DV7:DV277,REFERENCE!$G$4)</f>
        <v>0</v>
      </c>
      <c r="DW4" s="135" cm="1">
        <f t="array" ref="DW4">SumByColor(DW7:DW277,REFERENCE!$G$4)</f>
        <v>0</v>
      </c>
      <c r="DX4" s="135" cm="1">
        <f t="array" ref="DX4">SumByColor(DX7:DX277,REFERENCE!$G$4)</f>
        <v>0</v>
      </c>
      <c r="DY4" s="135" cm="1">
        <f t="array" ref="DY4">SumByColor(DY7:DY277,REFERENCE!$G$4)</f>
        <v>0</v>
      </c>
      <c r="DZ4" s="216"/>
      <c r="EA4" s="239" cm="1">
        <f t="array" ref="EA4">SumByColor(EA7:EA277,REFERENCE!$G$4)</f>
        <v>0</v>
      </c>
      <c r="EB4" s="236" cm="1">
        <f t="array" ref="EB4">SumByColor(EB7:EB277,REFERENCE!$G$4)</f>
        <v>0</v>
      </c>
      <c r="EC4" s="236" cm="1">
        <f t="array" ref="EC4">SumByColor(EC7:EC277,REFERENCE!$G$4)</f>
        <v>0</v>
      </c>
      <c r="ED4" s="236" cm="1">
        <f t="array" ref="ED4">SumByColor(ED7:ED277,REFERENCE!$G$4)</f>
        <v>0</v>
      </c>
      <c r="EE4" s="236" cm="1">
        <f t="array" ref="EE4">SumByColor(EE7:EE277,REFERENCE!$G$4)</f>
        <v>0</v>
      </c>
      <c r="EF4" s="236" cm="1">
        <f t="array" ref="EF4">SumByColor(EF7:EF277,REFERENCE!$G$4)</f>
        <v>0</v>
      </c>
      <c r="EG4" s="236" cm="1">
        <f t="array" ref="EG4">SumByColor(EG7:EG277,REFERENCE!$G$4)</f>
        <v>0</v>
      </c>
      <c r="EH4" s="236" cm="1">
        <f t="array" ref="EH4">SumByColor(EH7:EH277,REFERENCE!$G$4)</f>
        <v>0</v>
      </c>
      <c r="EI4" s="236" cm="1">
        <f t="array" ref="EI4">SumByColor(EI7:EI277,REFERENCE!$G$4)</f>
        <v>0</v>
      </c>
      <c r="EJ4" s="236" cm="1">
        <f t="array" ref="EJ4">SumByColor(EJ7:EJ277,REFERENCE!$G$4)</f>
        <v>0</v>
      </c>
      <c r="EK4" s="236" cm="1">
        <f t="array" ref="EK4">SumByColor(EK7:EK277,REFERENCE!$G$4)</f>
        <v>0</v>
      </c>
      <c r="EL4" s="236" cm="1">
        <f t="array" ref="EL4">SumByColor(EL7:EL277,REFERENCE!$G$4)</f>
        <v>0</v>
      </c>
      <c r="EM4" s="236" cm="1">
        <f t="array" ref="EM4">SumByColor(EM7:EM277,REFERENCE!$G$4)</f>
        <v>0</v>
      </c>
      <c r="EN4" s="236" cm="1">
        <f t="array" ref="EN4">SumByColor(EN7:EN277,REFERENCE!$G$4)</f>
        <v>0</v>
      </c>
      <c r="EO4" s="236" cm="1">
        <f t="array" ref="EO4">SumByColor(EO7:EO277,REFERENCE!$G$4)</f>
        <v>0</v>
      </c>
      <c r="EP4" s="236" cm="1">
        <f t="array" ref="EP4">SumByColor(EP7:EP277,REFERENCE!$G$4)</f>
        <v>0</v>
      </c>
      <c r="EQ4" s="236" cm="1">
        <f t="array" ref="EQ4">SumByColor(EQ7:EQ277,REFERENCE!$G$4)</f>
        <v>0</v>
      </c>
    </row>
    <row r="5" spans="1:147" s="41" customFormat="1" ht="22.9" customHeight="1" x14ac:dyDescent="0.2">
      <c r="A5" s="146" t="s">
        <v>2</v>
      </c>
      <c r="B5" s="117" t="s">
        <v>144</v>
      </c>
      <c r="C5" s="118"/>
      <c r="D5" s="159"/>
      <c r="E5" s="157"/>
      <c r="F5" s="94" t="s">
        <v>228</v>
      </c>
      <c r="G5" s="119">
        <f>SUM(H5:EQ5)</f>
        <v>10390</v>
      </c>
      <c r="H5" s="120">
        <f>H4*H3</f>
        <v>5600</v>
      </c>
      <c r="I5" s="120">
        <f t="shared" ref="I5:AM5" si="0">I4*I3</f>
        <v>0</v>
      </c>
      <c r="J5" s="120">
        <f t="shared" si="0"/>
        <v>0</v>
      </c>
      <c r="K5" s="120">
        <f t="shared" si="0"/>
        <v>0</v>
      </c>
      <c r="L5" s="120">
        <f t="shared" si="0"/>
        <v>0</v>
      </c>
      <c r="M5" s="120">
        <f t="shared" si="0"/>
        <v>0</v>
      </c>
      <c r="N5" s="120">
        <f t="shared" si="0"/>
        <v>0</v>
      </c>
      <c r="O5" s="120">
        <f t="shared" si="0"/>
        <v>0</v>
      </c>
      <c r="P5" s="120">
        <f t="shared" si="0"/>
        <v>960</v>
      </c>
      <c r="Q5" s="120">
        <f t="shared" si="0"/>
        <v>2090</v>
      </c>
      <c r="R5" s="120">
        <f t="shared" si="0"/>
        <v>0</v>
      </c>
      <c r="S5" s="120">
        <f t="shared" si="0"/>
        <v>780</v>
      </c>
      <c r="T5" s="120">
        <f t="shared" si="0"/>
        <v>960</v>
      </c>
      <c r="U5" s="120">
        <f>U4*U3</f>
        <v>0</v>
      </c>
      <c r="V5" s="120">
        <f t="shared" si="0"/>
        <v>0</v>
      </c>
      <c r="W5" s="120">
        <f t="shared" si="0"/>
        <v>0</v>
      </c>
      <c r="X5" s="120">
        <f t="shared" si="0"/>
        <v>0</v>
      </c>
      <c r="Y5" s="120">
        <f t="shared" si="0"/>
        <v>0</v>
      </c>
      <c r="Z5" s="120">
        <f t="shared" si="0"/>
        <v>0</v>
      </c>
      <c r="AA5" s="120">
        <f t="shared" si="0"/>
        <v>0</v>
      </c>
      <c r="AB5" s="120">
        <f t="shared" si="0"/>
        <v>0</v>
      </c>
      <c r="AC5" s="120">
        <f t="shared" si="0"/>
        <v>0</v>
      </c>
      <c r="AD5" s="120">
        <f t="shared" si="0"/>
        <v>0</v>
      </c>
      <c r="AE5" s="120">
        <f t="shared" si="0"/>
        <v>0</v>
      </c>
      <c r="AF5" s="120">
        <f t="shared" si="0"/>
        <v>0</v>
      </c>
      <c r="AG5" s="120">
        <f t="shared" si="0"/>
        <v>0</v>
      </c>
      <c r="AH5" s="120">
        <f t="shared" si="0"/>
        <v>0</v>
      </c>
      <c r="AI5" s="120">
        <f t="shared" si="0"/>
        <v>0</v>
      </c>
      <c r="AJ5" s="120">
        <f t="shared" si="0"/>
        <v>0</v>
      </c>
      <c r="AK5" s="120">
        <f t="shared" si="0"/>
        <v>0</v>
      </c>
      <c r="AL5" s="120">
        <f t="shared" si="0"/>
        <v>0</v>
      </c>
      <c r="AM5" s="120">
        <f t="shared" si="0"/>
        <v>0</v>
      </c>
      <c r="AN5" s="120">
        <f t="shared" ref="AN5:BS5" si="1">AN4*AN3</f>
        <v>0</v>
      </c>
      <c r="AO5" s="120">
        <f t="shared" si="1"/>
        <v>0</v>
      </c>
      <c r="AP5" s="120">
        <f t="shared" si="1"/>
        <v>0</v>
      </c>
      <c r="AQ5" s="120">
        <f t="shared" si="1"/>
        <v>0</v>
      </c>
      <c r="AR5" s="120">
        <f t="shared" si="1"/>
        <v>0</v>
      </c>
      <c r="AS5" s="120">
        <f t="shared" si="1"/>
        <v>0</v>
      </c>
      <c r="AT5" s="120">
        <f t="shared" si="1"/>
        <v>0</v>
      </c>
      <c r="AU5" s="120">
        <f t="shared" si="1"/>
        <v>0</v>
      </c>
      <c r="AV5" s="120">
        <f t="shared" si="1"/>
        <v>0</v>
      </c>
      <c r="AW5" s="120">
        <f t="shared" si="1"/>
        <v>0</v>
      </c>
      <c r="AX5" s="120">
        <f t="shared" si="1"/>
        <v>0</v>
      </c>
      <c r="AY5" s="120">
        <f t="shared" si="1"/>
        <v>0</v>
      </c>
      <c r="AZ5" s="120">
        <f t="shared" si="1"/>
        <v>0</v>
      </c>
      <c r="BA5" s="120">
        <f t="shared" si="1"/>
        <v>0</v>
      </c>
      <c r="BB5" s="120">
        <f t="shared" si="1"/>
        <v>0</v>
      </c>
      <c r="BC5" s="120">
        <f t="shared" si="1"/>
        <v>0</v>
      </c>
      <c r="BD5" s="120">
        <f t="shared" si="1"/>
        <v>0</v>
      </c>
      <c r="BE5" s="120">
        <f t="shared" si="1"/>
        <v>0</v>
      </c>
      <c r="BF5" s="120">
        <f t="shared" si="1"/>
        <v>0</v>
      </c>
      <c r="BG5" s="120">
        <f t="shared" si="1"/>
        <v>0</v>
      </c>
      <c r="BH5" s="120">
        <f t="shared" si="1"/>
        <v>0</v>
      </c>
      <c r="BI5" s="120">
        <f t="shared" si="1"/>
        <v>0</v>
      </c>
      <c r="BJ5" s="120">
        <f t="shared" si="1"/>
        <v>0</v>
      </c>
      <c r="BK5" s="120">
        <f t="shared" si="1"/>
        <v>0</v>
      </c>
      <c r="BL5" s="120">
        <f t="shared" si="1"/>
        <v>0</v>
      </c>
      <c r="BM5" s="120">
        <f t="shared" si="1"/>
        <v>0</v>
      </c>
      <c r="BN5" s="120">
        <f t="shared" si="1"/>
        <v>0</v>
      </c>
      <c r="BO5" s="120">
        <f t="shared" si="1"/>
        <v>0</v>
      </c>
      <c r="BP5" s="120">
        <f t="shared" si="1"/>
        <v>0</v>
      </c>
      <c r="BQ5" s="120">
        <f t="shared" si="1"/>
        <v>0</v>
      </c>
      <c r="BR5" s="120">
        <f t="shared" si="1"/>
        <v>0</v>
      </c>
      <c r="BS5" s="120">
        <f t="shared" si="1"/>
        <v>0</v>
      </c>
      <c r="BT5" s="120">
        <f t="shared" ref="BT5:CY5" si="2">BT4*BT3</f>
        <v>0</v>
      </c>
      <c r="BU5" s="120">
        <f t="shared" si="2"/>
        <v>0</v>
      </c>
      <c r="BV5" s="120">
        <f t="shared" si="2"/>
        <v>0</v>
      </c>
      <c r="BW5" s="120">
        <f t="shared" si="2"/>
        <v>0</v>
      </c>
      <c r="BX5" s="120">
        <f t="shared" si="2"/>
        <v>0</v>
      </c>
      <c r="BY5" s="120">
        <f t="shared" si="2"/>
        <v>0</v>
      </c>
      <c r="BZ5" s="120">
        <f t="shared" si="2"/>
        <v>0</v>
      </c>
      <c r="CA5" s="120">
        <f t="shared" si="2"/>
        <v>0</v>
      </c>
      <c r="CB5" s="120">
        <f t="shared" si="2"/>
        <v>0</v>
      </c>
      <c r="CC5" s="120">
        <f t="shared" si="2"/>
        <v>0</v>
      </c>
      <c r="CD5" s="120">
        <f t="shared" si="2"/>
        <v>0</v>
      </c>
      <c r="CE5" s="120">
        <f t="shared" si="2"/>
        <v>0</v>
      </c>
      <c r="CF5" s="120">
        <f t="shared" si="2"/>
        <v>0</v>
      </c>
      <c r="CG5" s="120">
        <f t="shared" si="2"/>
        <v>0</v>
      </c>
      <c r="CH5" s="120">
        <f t="shared" si="2"/>
        <v>0</v>
      </c>
      <c r="CI5" s="120">
        <f t="shared" si="2"/>
        <v>0</v>
      </c>
      <c r="CJ5" s="120">
        <f t="shared" si="2"/>
        <v>0</v>
      </c>
      <c r="CK5" s="120">
        <f t="shared" si="2"/>
        <v>0</v>
      </c>
      <c r="CL5" s="120">
        <f t="shared" si="2"/>
        <v>0</v>
      </c>
      <c r="CM5" s="120">
        <f t="shared" si="2"/>
        <v>0</v>
      </c>
      <c r="CN5" s="120">
        <f t="shared" si="2"/>
        <v>0</v>
      </c>
      <c r="CO5" s="120">
        <f t="shared" si="2"/>
        <v>0</v>
      </c>
      <c r="CP5" s="120">
        <f t="shared" si="2"/>
        <v>0</v>
      </c>
      <c r="CQ5" s="120">
        <f t="shared" si="2"/>
        <v>0</v>
      </c>
      <c r="CR5" s="120">
        <f t="shared" si="2"/>
        <v>0</v>
      </c>
      <c r="CS5" s="120">
        <f t="shared" si="2"/>
        <v>0</v>
      </c>
      <c r="CT5" s="120">
        <f t="shared" si="2"/>
        <v>0</v>
      </c>
      <c r="CU5" s="120">
        <f t="shared" si="2"/>
        <v>0</v>
      </c>
      <c r="CV5" s="120">
        <f t="shared" si="2"/>
        <v>0</v>
      </c>
      <c r="CW5" s="120">
        <f t="shared" si="2"/>
        <v>0</v>
      </c>
      <c r="CX5" s="120">
        <f t="shared" si="2"/>
        <v>0</v>
      </c>
      <c r="CY5" s="120">
        <f t="shared" si="2"/>
        <v>0</v>
      </c>
      <c r="CZ5" s="120">
        <f t="shared" ref="CZ5:DY5" si="3">CZ4*CZ3</f>
        <v>0</v>
      </c>
      <c r="DA5" s="120">
        <f t="shared" si="3"/>
        <v>0</v>
      </c>
      <c r="DB5" s="120">
        <f t="shared" si="3"/>
        <v>0</v>
      </c>
      <c r="DC5" s="120">
        <f t="shared" si="3"/>
        <v>0</v>
      </c>
      <c r="DD5" s="120">
        <f t="shared" si="3"/>
        <v>0</v>
      </c>
      <c r="DE5" s="120">
        <f t="shared" si="3"/>
        <v>0</v>
      </c>
      <c r="DF5" s="120">
        <f t="shared" si="3"/>
        <v>0</v>
      </c>
      <c r="DG5" s="120">
        <f t="shared" si="3"/>
        <v>0</v>
      </c>
      <c r="DH5" s="120">
        <f t="shared" si="3"/>
        <v>0</v>
      </c>
      <c r="DI5" s="120">
        <f t="shared" si="3"/>
        <v>0</v>
      </c>
      <c r="DJ5" s="120">
        <f t="shared" si="3"/>
        <v>0</v>
      </c>
      <c r="DK5" s="120">
        <f t="shared" si="3"/>
        <v>0</v>
      </c>
      <c r="DL5" s="120">
        <f t="shared" si="3"/>
        <v>0</v>
      </c>
      <c r="DM5" s="120">
        <f t="shared" si="3"/>
        <v>0</v>
      </c>
      <c r="DN5" s="120">
        <f t="shared" si="3"/>
        <v>0</v>
      </c>
      <c r="DO5" s="120">
        <f t="shared" si="3"/>
        <v>0</v>
      </c>
      <c r="DP5" s="120">
        <f t="shared" si="3"/>
        <v>0</v>
      </c>
      <c r="DQ5" s="120">
        <f t="shared" si="3"/>
        <v>0</v>
      </c>
      <c r="DR5" s="120">
        <f t="shared" si="3"/>
        <v>0</v>
      </c>
      <c r="DS5" s="120">
        <f t="shared" si="3"/>
        <v>0</v>
      </c>
      <c r="DT5" s="120">
        <f t="shared" si="3"/>
        <v>0</v>
      </c>
      <c r="DU5" s="120">
        <f t="shared" si="3"/>
        <v>0</v>
      </c>
      <c r="DV5" s="120">
        <f t="shared" si="3"/>
        <v>0</v>
      </c>
      <c r="DW5" s="120">
        <f t="shared" si="3"/>
        <v>0</v>
      </c>
      <c r="DX5" s="120">
        <f t="shared" si="3"/>
        <v>0</v>
      </c>
      <c r="DY5" s="120">
        <f t="shared" si="3"/>
        <v>0</v>
      </c>
      <c r="DZ5" s="217"/>
      <c r="EA5" s="240">
        <f t="shared" ref="EA5:EG5" si="4">EA46*1.05</f>
        <v>0</v>
      </c>
      <c r="EB5" s="237">
        <f t="shared" si="4"/>
        <v>0</v>
      </c>
      <c r="EC5" s="237">
        <f t="shared" si="4"/>
        <v>0</v>
      </c>
      <c r="ED5" s="237">
        <f t="shared" si="4"/>
        <v>0</v>
      </c>
      <c r="EE5" s="237">
        <f t="shared" si="4"/>
        <v>0</v>
      </c>
      <c r="EF5" s="237">
        <f t="shared" si="4"/>
        <v>0</v>
      </c>
      <c r="EG5" s="237">
        <f t="shared" si="4"/>
        <v>0</v>
      </c>
      <c r="EH5" s="237">
        <f t="shared" ref="EH5:EQ5" si="5">EH4*EH3</f>
        <v>0</v>
      </c>
      <c r="EI5" s="237">
        <f t="shared" si="5"/>
        <v>0</v>
      </c>
      <c r="EJ5" s="237">
        <f t="shared" si="5"/>
        <v>0</v>
      </c>
      <c r="EK5" s="237">
        <f t="shared" si="5"/>
        <v>0</v>
      </c>
      <c r="EL5" s="237">
        <f t="shared" si="5"/>
        <v>0</v>
      </c>
      <c r="EM5" s="237">
        <f t="shared" si="5"/>
        <v>0</v>
      </c>
      <c r="EN5" s="237">
        <f t="shared" si="5"/>
        <v>0</v>
      </c>
      <c r="EO5" s="237">
        <f t="shared" si="5"/>
        <v>0</v>
      </c>
      <c r="EP5" s="237">
        <f t="shared" si="5"/>
        <v>0</v>
      </c>
      <c r="EQ5" s="237">
        <f t="shared" si="5"/>
        <v>0</v>
      </c>
    </row>
    <row r="6" spans="1:147" s="41" customFormat="1" ht="22.9" customHeight="1" x14ac:dyDescent="0.2">
      <c r="A6" s="147" t="s">
        <v>454</v>
      </c>
      <c r="B6" s="98" t="s">
        <v>152</v>
      </c>
      <c r="C6" s="99" t="s">
        <v>299</v>
      </c>
      <c r="D6" s="160" t="s">
        <v>452</v>
      </c>
      <c r="E6" s="161" t="s">
        <v>98</v>
      </c>
      <c r="F6" s="127" t="s">
        <v>299</v>
      </c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  <c r="DV6" s="100"/>
      <c r="DW6" s="100"/>
      <c r="DX6" s="100"/>
      <c r="DY6" s="100"/>
      <c r="DZ6" s="217"/>
      <c r="EA6" s="231"/>
      <c r="EB6" s="231"/>
      <c r="EC6" s="231"/>
      <c r="ED6" s="231"/>
      <c r="EE6" s="231"/>
      <c r="EF6" s="231"/>
      <c r="EG6" s="231"/>
      <c r="EH6" s="231"/>
      <c r="EI6" s="231"/>
      <c r="EJ6" s="231"/>
      <c r="EK6" s="231"/>
      <c r="EL6" s="231"/>
      <c r="EM6" s="231"/>
      <c r="EN6" s="231"/>
      <c r="EO6" s="231"/>
      <c r="EP6" s="231"/>
      <c r="EQ6" s="231"/>
    </row>
    <row r="7" spans="1:147" s="40" customFormat="1" ht="22.9" customHeight="1" x14ac:dyDescent="0.2">
      <c r="A7" s="148" t="s">
        <v>496</v>
      </c>
      <c r="B7" s="48" t="s">
        <v>725</v>
      </c>
      <c r="C7" s="33" t="s">
        <v>495</v>
      </c>
      <c r="D7" s="162"/>
      <c r="E7" s="163" t="s">
        <v>149</v>
      </c>
      <c r="F7" s="31" cm="1">
        <f t="array" ref="F7">SumByColor(F8:F32,REFERENCE!$G$2)</f>
        <v>76</v>
      </c>
      <c r="G7" s="31" cm="1">
        <f t="array" ref="G7">SumByColor(G8:G32,REFERENCE!$G$2)</f>
        <v>8300</v>
      </c>
      <c r="H7" s="31" cm="1">
        <f t="array" ref="H7">SumByColor(H8:H32,REFERENCE!$G$2)</f>
        <v>40</v>
      </c>
      <c r="I7" s="31" cm="1">
        <f t="array" ref="I7">SumByColor(I8:I32,REFERENCE!$G$2)</f>
        <v>0</v>
      </c>
      <c r="J7" s="31" cm="1">
        <f t="array" ref="J7">SumByColor(J8:J32,REFERENCE!$G$2)</f>
        <v>0</v>
      </c>
      <c r="K7" s="31" cm="1">
        <f t="array" ref="K7">SumByColor(K8:K32,REFERENCE!$G$2)</f>
        <v>0</v>
      </c>
      <c r="L7" s="31" cm="1">
        <f t="array" ref="L7">SumByColor(L8:L32,REFERENCE!$G$2)</f>
        <v>0</v>
      </c>
      <c r="M7" s="31" cm="1">
        <f t="array" ref="M7">SumByColor(M8:M32,REFERENCE!$G$2)</f>
        <v>0</v>
      </c>
      <c r="N7" s="31" cm="1">
        <f t="array" ref="N7">SumByColor(N8:N32,REFERENCE!$G$2)</f>
        <v>0</v>
      </c>
      <c r="O7" s="31" cm="1">
        <f t="array" ref="O7">SumByColor(O8:O32,REFERENCE!$G$2)</f>
        <v>0</v>
      </c>
      <c r="P7" s="31" cm="1">
        <f t="array" ref="P7">SumByColor(P8:P32,REFERENCE!$G$2)</f>
        <v>12</v>
      </c>
      <c r="Q7" s="31" cm="1">
        <f t="array" ref="Q7">SumByColor(Q8:Q32,REFERENCE!$G$2)</f>
        <v>0</v>
      </c>
      <c r="R7" s="31" cm="1">
        <f t="array" ref="R7">SumByColor(R8:R32,REFERENCE!$G$2)</f>
        <v>0</v>
      </c>
      <c r="S7" s="31" cm="1">
        <f t="array" ref="S7">SumByColor(S8:S32,REFERENCE!$G$2)</f>
        <v>12</v>
      </c>
      <c r="T7" s="31" cm="1">
        <f t="array" ref="T7">SumByColor(T8:T32,REFERENCE!$G$2)</f>
        <v>12</v>
      </c>
      <c r="U7" s="31" cm="1">
        <f t="array" ref="U7">SumByColor(U8:U32,REFERENCE!$G$2)</f>
        <v>0</v>
      </c>
      <c r="V7" s="31" cm="1">
        <f t="array" ref="V7">SumByColor(V8:V32,REFERENCE!$G$2)</f>
        <v>0</v>
      </c>
      <c r="W7" s="31" cm="1">
        <f t="array" ref="W7">SumByColor(W8:W32,REFERENCE!$G$2)</f>
        <v>0</v>
      </c>
      <c r="X7" s="31" cm="1">
        <f t="array" ref="X7">SumByColor(X8:X32,REFERENCE!$G$2)</f>
        <v>0</v>
      </c>
      <c r="Y7" s="31" cm="1">
        <f t="array" ref="Y7">SumByColor(Y8:Y32,REFERENCE!$G$2)</f>
        <v>0</v>
      </c>
      <c r="Z7" s="31" cm="1">
        <f t="array" ref="Z7">SumByColor(Z8:Z32,REFERENCE!$G$2)</f>
        <v>0</v>
      </c>
      <c r="AA7" s="31" cm="1">
        <f t="array" ref="AA7">SumByColor(AA8:AA32,REFERENCE!$G$2)</f>
        <v>0</v>
      </c>
      <c r="AB7" s="31" cm="1">
        <f t="array" ref="AB7">SumByColor(AB8:AB32,REFERENCE!$G$2)</f>
        <v>0</v>
      </c>
      <c r="AC7" s="31" cm="1">
        <f t="array" ref="AC7">SumByColor(AC8:AC32,REFERENCE!$G$2)</f>
        <v>0</v>
      </c>
      <c r="AD7" s="31" cm="1">
        <f t="array" ref="AD7">SumByColor(AD8:AD32,REFERENCE!$G$2)</f>
        <v>0</v>
      </c>
      <c r="AE7" s="31" cm="1">
        <f t="array" ref="AE7">SumByColor(AE8:AE32,REFERENCE!$G$2)</f>
        <v>0</v>
      </c>
      <c r="AF7" s="31" cm="1">
        <f t="array" ref="AF7">SumByColor(AF8:AF32,REFERENCE!$G$2)</f>
        <v>0</v>
      </c>
      <c r="AG7" s="31" cm="1">
        <f t="array" ref="AG7">SumByColor(AG8:AG32,REFERENCE!$G$2)</f>
        <v>0</v>
      </c>
      <c r="AH7" s="31" cm="1">
        <f t="array" ref="AH7">SumByColor(AH8:AH32,REFERENCE!$G$2)</f>
        <v>0</v>
      </c>
      <c r="AI7" s="31" cm="1">
        <f t="array" ref="AI7">SumByColor(AI8:AI32,REFERENCE!$G$2)</f>
        <v>0</v>
      </c>
      <c r="AJ7" s="31" cm="1">
        <f t="array" ref="AJ7">SumByColor(AJ8:AJ32,REFERENCE!$G$2)</f>
        <v>0</v>
      </c>
      <c r="AK7" s="31" cm="1">
        <f t="array" ref="AK7">SumByColor(AK8:AK32,REFERENCE!$G$2)</f>
        <v>0</v>
      </c>
      <c r="AL7" s="31" cm="1">
        <f t="array" ref="AL7">SumByColor(AL8:AL32,REFERENCE!$G$2)</f>
        <v>0</v>
      </c>
      <c r="AM7" s="31" cm="1">
        <f t="array" ref="AM7">SumByColor(AM8:AM32,REFERENCE!$G$2)</f>
        <v>0</v>
      </c>
      <c r="AN7" s="31" cm="1">
        <f t="array" ref="AN7">SumByColor(AN8:AN32,REFERENCE!$G$2)</f>
        <v>0</v>
      </c>
      <c r="AO7" s="31" cm="1">
        <f t="array" ref="AO7">SumByColor(AO8:AO32,REFERENCE!$G$2)</f>
        <v>0</v>
      </c>
      <c r="AP7" s="31" cm="1">
        <f t="array" ref="AP7">SumByColor(AP8:AP32,REFERENCE!$G$2)</f>
        <v>0</v>
      </c>
      <c r="AQ7" s="31" cm="1">
        <f t="array" ref="AQ7">SumByColor(AQ8:AQ32,REFERENCE!$G$2)</f>
        <v>0</v>
      </c>
      <c r="AR7" s="31" cm="1">
        <f t="array" ref="AR7">SumByColor(AR8:AR32,REFERENCE!$G$2)</f>
        <v>0</v>
      </c>
      <c r="AS7" s="31" cm="1">
        <f t="array" ref="AS7">SumByColor(AS8:AS32,REFERENCE!$G$2)</f>
        <v>0</v>
      </c>
      <c r="AT7" s="31" cm="1">
        <f t="array" ref="AT7">SumByColor(AT8:AT32,REFERENCE!$G$2)</f>
        <v>0</v>
      </c>
      <c r="AU7" s="31" cm="1">
        <f t="array" ref="AU7">SumByColor(AU8:AU32,REFERENCE!$G$2)</f>
        <v>0</v>
      </c>
      <c r="AV7" s="31" cm="1">
        <f t="array" ref="AV7">SumByColor(AV8:AV32,REFERENCE!$G$2)</f>
        <v>0</v>
      </c>
      <c r="AW7" s="31" cm="1">
        <f t="array" ref="AW7">SumByColor(AW8:AW32,REFERENCE!$G$2)</f>
        <v>0</v>
      </c>
      <c r="AX7" s="31" cm="1">
        <f t="array" ref="AX7">SumByColor(AX8:AX32,REFERENCE!$G$2)</f>
        <v>0</v>
      </c>
      <c r="AY7" s="31" cm="1">
        <f t="array" ref="AY7">SumByColor(AY8:AY32,REFERENCE!$G$2)</f>
        <v>0</v>
      </c>
      <c r="AZ7" s="31" cm="1">
        <f t="array" ref="AZ7">SumByColor(AZ8:AZ32,REFERENCE!$G$2)</f>
        <v>0</v>
      </c>
      <c r="BA7" s="31" cm="1">
        <f t="array" ref="BA7">SumByColor(BA8:BA32,REFERENCE!$G$2)</f>
        <v>0</v>
      </c>
      <c r="BB7" s="31" cm="1">
        <f t="array" ref="BB7">SumByColor(BB8:BB32,REFERENCE!$G$2)</f>
        <v>0</v>
      </c>
      <c r="BC7" s="31" cm="1">
        <f t="array" ref="BC7">SumByColor(BC8:BC32,REFERENCE!$G$2)</f>
        <v>0</v>
      </c>
      <c r="BD7" s="31" cm="1">
        <f t="array" ref="BD7">SumByColor(BD8:BD32,REFERENCE!$G$2)</f>
        <v>0</v>
      </c>
      <c r="BE7" s="31" cm="1">
        <f t="array" ref="BE7">SumByColor(BE8:BE32,REFERENCE!$G$2)</f>
        <v>0</v>
      </c>
      <c r="BF7" s="31" cm="1">
        <f t="array" ref="BF7">SumByColor(BF8:BF32,REFERENCE!$G$2)</f>
        <v>0</v>
      </c>
      <c r="BG7" s="31" cm="1">
        <f t="array" ref="BG7">SumByColor(BG8:BG32,REFERENCE!$G$2)</f>
        <v>0</v>
      </c>
      <c r="BH7" s="31" cm="1">
        <f t="array" ref="BH7">SumByColor(BH8:BH32,REFERENCE!$G$2)</f>
        <v>0</v>
      </c>
      <c r="BI7" s="31" cm="1">
        <f t="array" ref="BI7">SumByColor(BI8:BI32,REFERENCE!$G$2)</f>
        <v>0</v>
      </c>
      <c r="BJ7" s="31" cm="1">
        <f t="array" ref="BJ7">SumByColor(BJ8:BJ32,REFERENCE!$G$2)</f>
        <v>0</v>
      </c>
      <c r="BK7" s="31" cm="1">
        <f t="array" ref="BK7">SumByColor(BK8:BK32,REFERENCE!$G$2)</f>
        <v>0</v>
      </c>
      <c r="BL7" s="31" cm="1">
        <f t="array" ref="BL7">SumByColor(BL8:BL32,REFERENCE!$G$2)</f>
        <v>0</v>
      </c>
      <c r="BM7" s="31" cm="1">
        <f t="array" ref="BM7">SumByColor(BM8:BM32,REFERENCE!$G$2)</f>
        <v>0</v>
      </c>
      <c r="BN7" s="31" cm="1">
        <f t="array" ref="BN7">SumByColor(BN8:BN32,REFERENCE!$G$2)</f>
        <v>0</v>
      </c>
      <c r="BO7" s="31" cm="1">
        <f t="array" ref="BO7">SumByColor(BO8:BO32,REFERENCE!$G$2)</f>
        <v>0</v>
      </c>
      <c r="BP7" s="31" cm="1">
        <f t="array" ref="BP7">SumByColor(BP8:BP32,REFERENCE!$G$2)</f>
        <v>0</v>
      </c>
      <c r="BQ7" s="31" cm="1">
        <f t="array" ref="BQ7">SumByColor(BQ8:BQ32,REFERENCE!$G$2)</f>
        <v>0</v>
      </c>
      <c r="BR7" s="31" cm="1">
        <f t="array" ref="BR7">SumByColor(BR8:BR32,REFERENCE!$G$2)</f>
        <v>0</v>
      </c>
      <c r="BS7" s="31" cm="1">
        <f t="array" ref="BS7">SumByColor(BS8:BS32,REFERENCE!$G$2)</f>
        <v>0</v>
      </c>
      <c r="BT7" s="31" cm="1">
        <f t="array" ref="BT7">SumByColor(BT8:BT32,REFERENCE!$G$2)</f>
        <v>0</v>
      </c>
      <c r="BU7" s="31" cm="1">
        <f t="array" ref="BU7">SumByColor(BU8:BU32,REFERENCE!$G$2)</f>
        <v>0</v>
      </c>
      <c r="BV7" s="31" cm="1">
        <f t="array" ref="BV7">SumByColor(BV8:BV32,REFERENCE!$G$2)</f>
        <v>0</v>
      </c>
      <c r="BW7" s="31" cm="1">
        <f t="array" ref="BW7">SumByColor(BW8:BW32,REFERENCE!$G$2)</f>
        <v>0</v>
      </c>
      <c r="BX7" s="31" cm="1">
        <f t="array" ref="BX7">SumByColor(BX8:BX32,REFERENCE!$G$2)</f>
        <v>0</v>
      </c>
      <c r="BY7" s="31" cm="1">
        <f t="array" ref="BY7">SumByColor(BY8:BY32,REFERENCE!$G$2)</f>
        <v>0</v>
      </c>
      <c r="BZ7" s="31" cm="1">
        <f t="array" ref="BZ7">SumByColor(BZ8:BZ32,REFERENCE!$G$2)</f>
        <v>0</v>
      </c>
      <c r="CA7" s="31" cm="1">
        <f t="array" ref="CA7">SumByColor(CA8:CA32,REFERENCE!$G$2)</f>
        <v>0</v>
      </c>
      <c r="CB7" s="31" cm="1">
        <f t="array" ref="CB7">SumByColor(CB8:CB32,REFERENCE!$G$2)</f>
        <v>0</v>
      </c>
      <c r="CC7" s="31" cm="1">
        <f t="array" ref="CC7">SumByColor(CC8:CC32,REFERENCE!$G$2)</f>
        <v>0</v>
      </c>
      <c r="CD7" s="31" cm="1">
        <f t="array" ref="CD7">SumByColor(CD8:CD32,REFERENCE!$G$2)</f>
        <v>0</v>
      </c>
      <c r="CE7" s="31" cm="1">
        <f t="array" ref="CE7">SumByColor(CE8:CE32,REFERENCE!$G$2)</f>
        <v>0</v>
      </c>
      <c r="CF7" s="31" cm="1">
        <f t="array" ref="CF7">SumByColor(CF8:CF32,REFERENCE!$G$2)</f>
        <v>0</v>
      </c>
      <c r="CG7" s="31" cm="1">
        <f t="array" ref="CG7">SumByColor(CG8:CG32,REFERENCE!$G$2)</f>
        <v>0</v>
      </c>
      <c r="CH7" s="31" cm="1">
        <f t="array" ref="CH7">SumByColor(CH8:CH32,REFERENCE!$G$2)</f>
        <v>0</v>
      </c>
      <c r="CI7" s="31" cm="1">
        <f t="array" ref="CI7">SumByColor(CI8:CI32,REFERENCE!$G$2)</f>
        <v>0</v>
      </c>
      <c r="CJ7" s="31" cm="1">
        <f t="array" ref="CJ7">SumByColor(CJ8:CJ32,REFERENCE!$G$2)</f>
        <v>0</v>
      </c>
      <c r="CK7" s="31" cm="1">
        <f t="array" ref="CK7">SumByColor(CK8:CK32,REFERENCE!$G$2)</f>
        <v>0</v>
      </c>
      <c r="CL7" s="31" cm="1">
        <f t="array" ref="CL7">SumByColor(CL8:CL32,REFERENCE!$G$2)</f>
        <v>0</v>
      </c>
      <c r="CM7" s="31" cm="1">
        <f t="array" ref="CM7">SumByColor(CM8:CM32,REFERENCE!$G$2)</f>
        <v>0</v>
      </c>
      <c r="CN7" s="31" cm="1">
        <f t="array" ref="CN7">SumByColor(CN8:CN32,REFERENCE!$G$2)</f>
        <v>0</v>
      </c>
      <c r="CO7" s="31" cm="1">
        <f t="array" ref="CO7">SumByColor(CO8:CO32,REFERENCE!$G$2)</f>
        <v>0</v>
      </c>
      <c r="CP7" s="31" cm="1">
        <f t="array" ref="CP7">SumByColor(CP8:CP32,REFERENCE!$G$2)</f>
        <v>0</v>
      </c>
      <c r="CQ7" s="31" cm="1">
        <f t="array" ref="CQ7">SumByColor(CQ8:CQ32,REFERENCE!$G$2)</f>
        <v>0</v>
      </c>
      <c r="CR7" s="31" cm="1">
        <f t="array" ref="CR7">SumByColor(CR8:CR32,REFERENCE!$G$2)</f>
        <v>0</v>
      </c>
      <c r="CS7" s="31" cm="1">
        <f t="array" ref="CS7">SumByColor(CS8:CS32,REFERENCE!$G$2)</f>
        <v>0</v>
      </c>
      <c r="CT7" s="31" cm="1">
        <f t="array" ref="CT7">SumByColor(CT8:CT32,REFERENCE!$G$2)</f>
        <v>0</v>
      </c>
      <c r="CU7" s="31" cm="1">
        <f t="array" ref="CU7">SumByColor(CU8:CU32,REFERENCE!$G$2)</f>
        <v>0</v>
      </c>
      <c r="CV7" s="31" cm="1">
        <f t="array" ref="CV7">SumByColor(CV8:CV32,REFERENCE!$G$2)</f>
        <v>0</v>
      </c>
      <c r="CW7" s="31" cm="1">
        <f t="array" ref="CW7">SumByColor(CW8:CW32,REFERENCE!$G$2)</f>
        <v>0</v>
      </c>
      <c r="CX7" s="31" cm="1">
        <f t="array" ref="CX7">SumByColor(CX8:CX32,REFERENCE!$G$2)</f>
        <v>0</v>
      </c>
      <c r="CY7" s="31" cm="1">
        <f t="array" ref="CY7">SumByColor(CY8:CY32,REFERENCE!$G$2)</f>
        <v>0</v>
      </c>
      <c r="CZ7" s="31" cm="1">
        <f t="array" ref="CZ7">SumByColor(CZ8:CZ32,REFERENCE!$G$2)</f>
        <v>0</v>
      </c>
      <c r="DA7" s="31" cm="1">
        <f t="array" ref="DA7">SumByColor(DA8:DA32,REFERENCE!$G$2)</f>
        <v>0</v>
      </c>
      <c r="DB7" s="31" cm="1">
        <f t="array" ref="DB7">SumByColor(DB8:DB32,REFERENCE!$G$2)</f>
        <v>0</v>
      </c>
      <c r="DC7" s="31" cm="1">
        <f t="array" ref="DC7">SumByColor(DC8:DC32,REFERENCE!$G$2)</f>
        <v>0</v>
      </c>
      <c r="DD7" s="31" cm="1">
        <f t="array" ref="DD7">SumByColor(DD8:DD32,REFERENCE!$G$2)</f>
        <v>0</v>
      </c>
      <c r="DE7" s="31" cm="1">
        <f t="array" ref="DE7">SumByColor(DE8:DE32,REFERENCE!$G$2)</f>
        <v>0</v>
      </c>
      <c r="DF7" s="31" cm="1">
        <f t="array" ref="DF7">SumByColor(DF8:DF32,REFERENCE!$G$2)</f>
        <v>0</v>
      </c>
      <c r="DG7" s="31" cm="1">
        <f t="array" ref="DG7">SumByColor(DG8:DG32,REFERENCE!$G$2)</f>
        <v>0</v>
      </c>
      <c r="DH7" s="31" cm="1">
        <f t="array" ref="DH7">SumByColor(DH8:DH32,REFERENCE!$G$2)</f>
        <v>0</v>
      </c>
      <c r="DI7" s="31" cm="1">
        <f t="array" ref="DI7">SumByColor(DI8:DI32,REFERENCE!$G$2)</f>
        <v>0</v>
      </c>
      <c r="DJ7" s="31" cm="1">
        <f t="array" ref="DJ7">SumByColor(DJ8:DJ32,REFERENCE!$G$2)</f>
        <v>0</v>
      </c>
      <c r="DK7" s="31" cm="1">
        <f t="array" ref="DK7">SumByColor(DK8:DK32,REFERENCE!$G$2)</f>
        <v>0</v>
      </c>
      <c r="DL7" s="31" cm="1">
        <f t="array" ref="DL7">SumByColor(DL8:DL32,REFERENCE!$G$2)</f>
        <v>0</v>
      </c>
      <c r="DM7" s="31" cm="1">
        <f t="array" ref="DM7">SumByColor(DM8:DM32,REFERENCE!$G$2)</f>
        <v>0</v>
      </c>
      <c r="DN7" s="31" cm="1">
        <f t="array" ref="DN7">SumByColor(DN8:DN32,REFERENCE!$G$2)</f>
        <v>0</v>
      </c>
      <c r="DO7" s="31" cm="1">
        <f t="array" ref="DO7">SumByColor(DO8:DO32,REFERENCE!$G$2)</f>
        <v>0</v>
      </c>
      <c r="DP7" s="31" cm="1">
        <f t="array" ref="DP7">SumByColor(DP8:DP32,REFERENCE!$G$2)</f>
        <v>0</v>
      </c>
      <c r="DQ7" s="31" cm="1">
        <f t="array" ref="DQ7">SumByColor(DQ8:DQ32,REFERENCE!$G$2)</f>
        <v>0</v>
      </c>
      <c r="DR7" s="31" cm="1">
        <f t="array" ref="DR7">SumByColor(DR8:DR32,REFERENCE!$G$2)</f>
        <v>0</v>
      </c>
      <c r="DS7" s="31" cm="1">
        <f t="array" ref="DS7">SumByColor(DS8:DS32,REFERENCE!$G$2)</f>
        <v>0</v>
      </c>
      <c r="DT7" s="31" cm="1">
        <f t="array" ref="DT7">SumByColor(DT8:DT32,REFERENCE!$G$2)</f>
        <v>0</v>
      </c>
      <c r="DU7" s="31" cm="1">
        <f t="array" ref="DU7">SumByColor(DU8:DU32,REFERENCE!$G$2)</f>
        <v>0</v>
      </c>
      <c r="DV7" s="31" cm="1">
        <f t="array" ref="DV7">SumByColor(DV8:DV32,REFERENCE!$G$2)</f>
        <v>0</v>
      </c>
      <c r="DW7" s="31" cm="1">
        <f t="array" ref="DW7">SumByColor(DW8:DW32,REFERENCE!$G$2)</f>
        <v>0</v>
      </c>
      <c r="DX7" s="31" cm="1">
        <f t="array" ref="DX7">SumByColor(DX8:DX32,REFERENCE!$G$2)</f>
        <v>0</v>
      </c>
      <c r="DY7" s="31" cm="1">
        <f t="array" ref="DY7">SumByColor(DY8:DY32,REFERENCE!$G$2)</f>
        <v>0</v>
      </c>
      <c r="DZ7" s="218"/>
      <c r="EA7" s="232"/>
      <c r="EB7" s="232"/>
      <c r="EC7" s="232"/>
      <c r="ED7" s="232"/>
      <c r="EE7" s="232"/>
      <c r="EF7" s="232"/>
      <c r="EG7" s="232"/>
      <c r="EH7" s="232"/>
      <c r="EI7" s="232"/>
      <c r="EJ7" s="232"/>
      <c r="EK7" s="232"/>
      <c r="EL7" s="232"/>
      <c r="EM7" s="232"/>
      <c r="EN7" s="232"/>
      <c r="EO7" s="232"/>
      <c r="EP7" s="232"/>
      <c r="EQ7" s="232"/>
    </row>
    <row r="8" spans="1:147" s="40" customFormat="1" ht="22.9" customHeight="1" outlineLevel="1" collapsed="1" x14ac:dyDescent="0.2">
      <c r="A8" s="149" t="s">
        <v>474</v>
      </c>
      <c r="B8" s="34" t="s">
        <v>4</v>
      </c>
      <c r="C8" s="30" t="s">
        <v>100</v>
      </c>
      <c r="D8" s="164"/>
      <c r="E8" s="164"/>
      <c r="F8" s="43">
        <f>SUM(F9:F14)</f>
        <v>52</v>
      </c>
      <c r="G8" s="44">
        <f>SUM(G9:G14)</f>
        <v>6560</v>
      </c>
      <c r="H8" s="45">
        <f>SUMPRODUCT($E$9:$E$14,H9:H14,$D$9:$D$14)</f>
        <v>40</v>
      </c>
      <c r="I8" s="45">
        <f t="shared" ref="I8:BT8" si="6">SUMPRODUCT($E$9:$E$14,I9:I14,$D$9:$D$14)</f>
        <v>0</v>
      </c>
      <c r="J8" s="45">
        <f t="shared" si="6"/>
        <v>0</v>
      </c>
      <c r="K8" s="45">
        <f t="shared" si="6"/>
        <v>0</v>
      </c>
      <c r="L8" s="45">
        <f t="shared" si="6"/>
        <v>0</v>
      </c>
      <c r="M8" s="45">
        <f t="shared" si="6"/>
        <v>0</v>
      </c>
      <c r="N8" s="45">
        <f t="shared" si="6"/>
        <v>0</v>
      </c>
      <c r="O8" s="45">
        <f t="shared" si="6"/>
        <v>0</v>
      </c>
      <c r="P8" s="45">
        <f t="shared" si="6"/>
        <v>12</v>
      </c>
      <c r="Q8" s="45">
        <f t="shared" si="6"/>
        <v>0</v>
      </c>
      <c r="R8" s="45">
        <f t="shared" si="6"/>
        <v>0</v>
      </c>
      <c r="S8" s="45">
        <f t="shared" si="6"/>
        <v>0</v>
      </c>
      <c r="T8" s="45">
        <f t="shared" si="6"/>
        <v>0</v>
      </c>
      <c r="U8" s="45">
        <f t="shared" si="6"/>
        <v>0</v>
      </c>
      <c r="V8" s="45">
        <f t="shared" si="6"/>
        <v>0</v>
      </c>
      <c r="W8" s="45">
        <f t="shared" si="6"/>
        <v>0</v>
      </c>
      <c r="X8" s="45">
        <f t="shared" si="6"/>
        <v>0</v>
      </c>
      <c r="Y8" s="45">
        <f t="shared" si="6"/>
        <v>0</v>
      </c>
      <c r="Z8" s="45">
        <f t="shared" si="6"/>
        <v>0</v>
      </c>
      <c r="AA8" s="45">
        <f t="shared" si="6"/>
        <v>0</v>
      </c>
      <c r="AB8" s="45">
        <f t="shared" si="6"/>
        <v>0</v>
      </c>
      <c r="AC8" s="45">
        <f t="shared" si="6"/>
        <v>0</v>
      </c>
      <c r="AD8" s="45">
        <f t="shared" si="6"/>
        <v>0</v>
      </c>
      <c r="AE8" s="45">
        <f t="shared" si="6"/>
        <v>0</v>
      </c>
      <c r="AF8" s="45">
        <f t="shared" si="6"/>
        <v>0</v>
      </c>
      <c r="AG8" s="45">
        <f t="shared" si="6"/>
        <v>0</v>
      </c>
      <c r="AH8" s="45">
        <f t="shared" si="6"/>
        <v>0</v>
      </c>
      <c r="AI8" s="45">
        <f t="shared" si="6"/>
        <v>0</v>
      </c>
      <c r="AJ8" s="45">
        <f t="shared" si="6"/>
        <v>0</v>
      </c>
      <c r="AK8" s="45">
        <f t="shared" si="6"/>
        <v>0</v>
      </c>
      <c r="AL8" s="45">
        <f t="shared" si="6"/>
        <v>0</v>
      </c>
      <c r="AM8" s="45">
        <f t="shared" si="6"/>
        <v>0</v>
      </c>
      <c r="AN8" s="45">
        <f t="shared" si="6"/>
        <v>0</v>
      </c>
      <c r="AO8" s="45">
        <f t="shared" si="6"/>
        <v>0</v>
      </c>
      <c r="AP8" s="45">
        <f t="shared" si="6"/>
        <v>0</v>
      </c>
      <c r="AQ8" s="45">
        <f t="shared" si="6"/>
        <v>0</v>
      </c>
      <c r="AR8" s="45">
        <f t="shared" si="6"/>
        <v>0</v>
      </c>
      <c r="AS8" s="45">
        <f t="shared" si="6"/>
        <v>0</v>
      </c>
      <c r="AT8" s="45">
        <f t="shared" si="6"/>
        <v>0</v>
      </c>
      <c r="AU8" s="45">
        <f t="shared" si="6"/>
        <v>0</v>
      </c>
      <c r="AV8" s="45">
        <f t="shared" si="6"/>
        <v>0</v>
      </c>
      <c r="AW8" s="45">
        <f t="shared" si="6"/>
        <v>0</v>
      </c>
      <c r="AX8" s="45">
        <f t="shared" si="6"/>
        <v>0</v>
      </c>
      <c r="AY8" s="45">
        <f t="shared" si="6"/>
        <v>0</v>
      </c>
      <c r="AZ8" s="45">
        <f t="shared" si="6"/>
        <v>0</v>
      </c>
      <c r="BA8" s="45">
        <f t="shared" si="6"/>
        <v>0</v>
      </c>
      <c r="BB8" s="45">
        <f t="shared" si="6"/>
        <v>0</v>
      </c>
      <c r="BC8" s="45">
        <f t="shared" si="6"/>
        <v>0</v>
      </c>
      <c r="BD8" s="45">
        <f t="shared" si="6"/>
        <v>0</v>
      </c>
      <c r="BE8" s="45">
        <f t="shared" si="6"/>
        <v>0</v>
      </c>
      <c r="BF8" s="45">
        <f t="shared" si="6"/>
        <v>0</v>
      </c>
      <c r="BG8" s="45">
        <f t="shared" si="6"/>
        <v>0</v>
      </c>
      <c r="BH8" s="45">
        <f t="shared" si="6"/>
        <v>0</v>
      </c>
      <c r="BI8" s="45">
        <f t="shared" si="6"/>
        <v>0</v>
      </c>
      <c r="BJ8" s="45">
        <f t="shared" si="6"/>
        <v>0</v>
      </c>
      <c r="BK8" s="45">
        <f t="shared" si="6"/>
        <v>0</v>
      </c>
      <c r="BL8" s="45">
        <f t="shared" si="6"/>
        <v>0</v>
      </c>
      <c r="BM8" s="45">
        <f t="shared" si="6"/>
        <v>0</v>
      </c>
      <c r="BN8" s="45">
        <f t="shared" si="6"/>
        <v>0</v>
      </c>
      <c r="BO8" s="45">
        <f t="shared" si="6"/>
        <v>0</v>
      </c>
      <c r="BP8" s="45">
        <f t="shared" si="6"/>
        <v>0</v>
      </c>
      <c r="BQ8" s="45">
        <f t="shared" si="6"/>
        <v>0</v>
      </c>
      <c r="BR8" s="45">
        <f t="shared" si="6"/>
        <v>0</v>
      </c>
      <c r="BS8" s="45">
        <f t="shared" si="6"/>
        <v>0</v>
      </c>
      <c r="BT8" s="45">
        <f t="shared" si="6"/>
        <v>0</v>
      </c>
      <c r="BU8" s="45">
        <f t="shared" ref="BU8:DX8" si="7">SUMPRODUCT($E$9:$E$14,BU9:BU14,$D$9:$D$14)</f>
        <v>0</v>
      </c>
      <c r="BV8" s="45">
        <f t="shared" si="7"/>
        <v>0</v>
      </c>
      <c r="BW8" s="45">
        <f t="shared" si="7"/>
        <v>0</v>
      </c>
      <c r="BX8" s="45">
        <f t="shared" si="7"/>
        <v>0</v>
      </c>
      <c r="BY8" s="45">
        <f t="shared" si="7"/>
        <v>0</v>
      </c>
      <c r="BZ8" s="45">
        <f t="shared" si="7"/>
        <v>0</v>
      </c>
      <c r="CA8" s="45">
        <f t="shared" si="7"/>
        <v>0</v>
      </c>
      <c r="CB8" s="45">
        <f t="shared" si="7"/>
        <v>0</v>
      </c>
      <c r="CC8" s="45">
        <f t="shared" si="7"/>
        <v>0</v>
      </c>
      <c r="CD8" s="45">
        <f t="shared" si="7"/>
        <v>0</v>
      </c>
      <c r="CE8" s="45">
        <f t="shared" si="7"/>
        <v>0</v>
      </c>
      <c r="CF8" s="45">
        <f t="shared" si="7"/>
        <v>0</v>
      </c>
      <c r="CG8" s="45">
        <f t="shared" si="7"/>
        <v>0</v>
      </c>
      <c r="CH8" s="45">
        <f t="shared" si="7"/>
        <v>0</v>
      </c>
      <c r="CI8" s="45">
        <f t="shared" si="7"/>
        <v>0</v>
      </c>
      <c r="CJ8" s="45">
        <f t="shared" si="7"/>
        <v>0</v>
      </c>
      <c r="CK8" s="45">
        <f t="shared" si="7"/>
        <v>0</v>
      </c>
      <c r="CL8" s="45">
        <f t="shared" si="7"/>
        <v>0</v>
      </c>
      <c r="CM8" s="45">
        <f t="shared" si="7"/>
        <v>0</v>
      </c>
      <c r="CN8" s="45">
        <f t="shared" si="7"/>
        <v>0</v>
      </c>
      <c r="CO8" s="45">
        <f t="shared" si="7"/>
        <v>0</v>
      </c>
      <c r="CP8" s="45">
        <f t="shared" si="7"/>
        <v>0</v>
      </c>
      <c r="CQ8" s="45">
        <f t="shared" si="7"/>
        <v>0</v>
      </c>
      <c r="CR8" s="45">
        <f t="shared" si="7"/>
        <v>0</v>
      </c>
      <c r="CS8" s="45">
        <f t="shared" si="7"/>
        <v>0</v>
      </c>
      <c r="CT8" s="45">
        <f t="shared" si="7"/>
        <v>0</v>
      </c>
      <c r="CU8" s="45">
        <f t="shared" si="7"/>
        <v>0</v>
      </c>
      <c r="CV8" s="45">
        <f t="shared" si="7"/>
        <v>0</v>
      </c>
      <c r="CW8" s="45">
        <f t="shared" si="7"/>
        <v>0</v>
      </c>
      <c r="CX8" s="45">
        <f t="shared" si="7"/>
        <v>0</v>
      </c>
      <c r="CY8" s="45">
        <f t="shared" si="7"/>
        <v>0</v>
      </c>
      <c r="CZ8" s="45">
        <f t="shared" si="7"/>
        <v>0</v>
      </c>
      <c r="DA8" s="45">
        <f t="shared" si="7"/>
        <v>0</v>
      </c>
      <c r="DB8" s="45">
        <f t="shared" si="7"/>
        <v>0</v>
      </c>
      <c r="DC8" s="45">
        <f t="shared" si="7"/>
        <v>0</v>
      </c>
      <c r="DD8" s="45">
        <f t="shared" si="7"/>
        <v>0</v>
      </c>
      <c r="DE8" s="45">
        <f t="shared" si="7"/>
        <v>0</v>
      </c>
      <c r="DF8" s="45">
        <f t="shared" si="7"/>
        <v>0</v>
      </c>
      <c r="DG8" s="45">
        <f t="shared" si="7"/>
        <v>0</v>
      </c>
      <c r="DH8" s="45">
        <f t="shared" si="7"/>
        <v>0</v>
      </c>
      <c r="DI8" s="45">
        <f t="shared" si="7"/>
        <v>0</v>
      </c>
      <c r="DJ8" s="45">
        <f t="shared" si="7"/>
        <v>0</v>
      </c>
      <c r="DK8" s="45">
        <f t="shared" si="7"/>
        <v>0</v>
      </c>
      <c r="DL8" s="45">
        <f t="shared" si="7"/>
        <v>0</v>
      </c>
      <c r="DM8" s="45">
        <f t="shared" si="7"/>
        <v>0</v>
      </c>
      <c r="DN8" s="45">
        <f t="shared" si="7"/>
        <v>0</v>
      </c>
      <c r="DO8" s="45">
        <f t="shared" si="7"/>
        <v>0</v>
      </c>
      <c r="DP8" s="45">
        <f t="shared" si="7"/>
        <v>0</v>
      </c>
      <c r="DQ8" s="45">
        <f t="shared" si="7"/>
        <v>0</v>
      </c>
      <c r="DR8" s="45">
        <f t="shared" si="7"/>
        <v>0</v>
      </c>
      <c r="DS8" s="45">
        <f t="shared" si="7"/>
        <v>0</v>
      </c>
      <c r="DT8" s="45">
        <f t="shared" si="7"/>
        <v>0</v>
      </c>
      <c r="DU8" s="45">
        <f t="shared" si="7"/>
        <v>0</v>
      </c>
      <c r="DV8" s="45">
        <f t="shared" si="7"/>
        <v>0</v>
      </c>
      <c r="DW8" s="45">
        <f t="shared" si="7"/>
        <v>0</v>
      </c>
      <c r="DX8" s="45">
        <f t="shared" si="7"/>
        <v>0</v>
      </c>
      <c r="DY8" s="45">
        <f>SUMPRODUCT($E$9:$E$14,DY9:DY14,$D$9:$D$14)</f>
        <v>0</v>
      </c>
      <c r="DZ8" s="218"/>
      <c r="EA8" s="231"/>
      <c r="EB8" s="231"/>
      <c r="EC8" s="231"/>
      <c r="ED8" s="231"/>
      <c r="EE8" s="231"/>
      <c r="EF8" s="231"/>
      <c r="EG8" s="231"/>
      <c r="EH8" s="231"/>
      <c r="EI8" s="231"/>
      <c r="EJ8" s="231"/>
      <c r="EK8" s="231"/>
      <c r="EL8" s="231"/>
      <c r="EM8" s="231"/>
      <c r="EN8" s="231"/>
      <c r="EO8" s="231"/>
      <c r="EP8" s="231"/>
      <c r="EQ8" s="231"/>
    </row>
    <row r="9" spans="1:147" ht="22.9" hidden="1" customHeight="1" outlineLevel="2" x14ac:dyDescent="0.2">
      <c r="A9" s="146" t="s">
        <v>497</v>
      </c>
      <c r="B9" s="53" t="s">
        <v>124</v>
      </c>
      <c r="C9" s="50" t="s">
        <v>133</v>
      </c>
      <c r="D9" s="165">
        <f>VALUE(REFERENCE!$Q$2)</f>
        <v>10</v>
      </c>
      <c r="E9" s="158">
        <v>1</v>
      </c>
      <c r="F9" s="52">
        <f>SUM(H9:DY9)*E9*Table1[[#This Row],[Cycles]]</f>
        <v>20</v>
      </c>
      <c r="G9" s="46">
        <f t="shared" ref="G9:G14" si="8">SUMPRODUCT($H$3:$DY$3,$H9:$DY9)*E9*D9</f>
        <v>2800</v>
      </c>
      <c r="H9" s="47">
        <v>2</v>
      </c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219"/>
      <c r="EA9" s="231"/>
      <c r="EB9" s="231"/>
      <c r="EC9" s="231"/>
      <c r="ED9" s="231"/>
      <c r="EE9" s="231"/>
      <c r="EF9" s="231"/>
      <c r="EG9" s="231"/>
      <c r="EH9" s="231"/>
      <c r="EI9" s="231"/>
      <c r="EJ9" s="231"/>
      <c r="EK9" s="231"/>
      <c r="EL9" s="231"/>
      <c r="EM9" s="231"/>
      <c r="EN9" s="231"/>
      <c r="EO9" s="231"/>
      <c r="EP9" s="231"/>
      <c r="EQ9" s="231"/>
    </row>
    <row r="10" spans="1:147" ht="22.9" hidden="1" customHeight="1" outlineLevel="2" x14ac:dyDescent="0.2">
      <c r="A10" s="146" t="s">
        <v>498</v>
      </c>
      <c r="B10" s="53" t="s">
        <v>264</v>
      </c>
      <c r="C10" s="50" t="s">
        <v>133</v>
      </c>
      <c r="D10" s="165">
        <f>VALUE(REFERENCE!$Q$2)</f>
        <v>10</v>
      </c>
      <c r="E10" s="158">
        <v>1</v>
      </c>
      <c r="F10" s="52">
        <f>SUM(H10:DY10)*E10*Table1[[#This Row],[Cycles]]</f>
        <v>0</v>
      </c>
      <c r="G10" s="46">
        <f t="shared" si="8"/>
        <v>0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219"/>
      <c r="EA10" s="231"/>
      <c r="EB10" s="231"/>
      <c r="EC10" s="231"/>
      <c r="ED10" s="231"/>
      <c r="EE10" s="231"/>
      <c r="EF10" s="231"/>
      <c r="EG10" s="231"/>
      <c r="EH10" s="231"/>
      <c r="EI10" s="231"/>
      <c r="EJ10" s="231"/>
      <c r="EK10" s="231"/>
      <c r="EL10" s="231"/>
      <c r="EM10" s="231"/>
      <c r="EN10" s="231"/>
      <c r="EO10" s="231"/>
      <c r="EP10" s="231"/>
      <c r="EQ10" s="231"/>
    </row>
    <row r="11" spans="1:147" ht="22.9" hidden="1" customHeight="1" outlineLevel="2" x14ac:dyDescent="0.2">
      <c r="A11" s="146" t="s">
        <v>499</v>
      </c>
      <c r="B11" s="53" t="s">
        <v>5</v>
      </c>
      <c r="C11" s="50" t="s">
        <v>133</v>
      </c>
      <c r="D11" s="165">
        <f>VALUE(REFERENCE!$Q$2 * REFERENCE!$P$3)</f>
        <v>5</v>
      </c>
      <c r="E11" s="158">
        <v>2</v>
      </c>
      <c r="F11" s="52">
        <f>SUM(H11:DY11)*E11*Table1[[#This Row],[Cycles]]</f>
        <v>20</v>
      </c>
      <c r="G11" s="46">
        <f t="shared" si="8"/>
        <v>2800</v>
      </c>
      <c r="H11" s="47">
        <v>2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47"/>
      <c r="DP11" s="47"/>
      <c r="DQ11" s="47"/>
      <c r="DR11" s="47"/>
      <c r="DS11" s="47"/>
      <c r="DT11" s="47"/>
      <c r="DU11" s="47"/>
      <c r="DV11" s="47"/>
      <c r="DW11" s="47"/>
      <c r="DX11" s="47"/>
      <c r="DY11" s="47"/>
      <c r="DZ11" s="219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</row>
    <row r="12" spans="1:147" ht="22.9" hidden="1" customHeight="1" outlineLevel="2" x14ac:dyDescent="0.2">
      <c r="A12" s="146" t="s">
        <v>500</v>
      </c>
      <c r="B12" s="53" t="s">
        <v>122</v>
      </c>
      <c r="C12" s="50" t="s">
        <v>133</v>
      </c>
      <c r="D12" s="165">
        <v>2</v>
      </c>
      <c r="E12" s="158">
        <v>2</v>
      </c>
      <c r="F12" s="52">
        <f>SUM(H12:DY12)*E12*Table1[[#This Row],[Cycles]]</f>
        <v>12</v>
      </c>
      <c r="G12" s="46">
        <f t="shared" si="8"/>
        <v>960</v>
      </c>
      <c r="H12" s="47"/>
      <c r="I12" s="47"/>
      <c r="J12" s="47"/>
      <c r="K12" s="47"/>
      <c r="L12" s="47"/>
      <c r="M12" s="47"/>
      <c r="N12" s="47"/>
      <c r="O12" s="47"/>
      <c r="P12" s="47">
        <v>3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219"/>
      <c r="EA12" s="231"/>
      <c r="EB12" s="231"/>
      <c r="EC12" s="231"/>
      <c r="ED12" s="231"/>
      <c r="EE12" s="231"/>
      <c r="EF12" s="231"/>
      <c r="EG12" s="231"/>
      <c r="EH12" s="231"/>
      <c r="EI12" s="231"/>
      <c r="EJ12" s="231"/>
      <c r="EK12" s="231"/>
      <c r="EL12" s="231"/>
      <c r="EM12" s="231"/>
      <c r="EN12" s="231"/>
      <c r="EO12" s="231"/>
      <c r="EP12" s="231"/>
      <c r="EQ12" s="231"/>
    </row>
    <row r="13" spans="1:147" ht="22.9" hidden="1" customHeight="1" outlineLevel="2" x14ac:dyDescent="0.2">
      <c r="A13" s="146" t="s">
        <v>501</v>
      </c>
      <c r="B13" s="53" t="s">
        <v>792</v>
      </c>
      <c r="C13" s="50" t="s">
        <v>133</v>
      </c>
      <c r="D13" s="165">
        <f>VALUE(REFERENCE!$Q$2)</f>
        <v>10</v>
      </c>
      <c r="E13" s="158">
        <v>1</v>
      </c>
      <c r="F13" s="52">
        <f>SUM(H13:DY13)*E13*Table1[[#This Row],[Cycles]]</f>
        <v>0</v>
      </c>
      <c r="G13" s="46">
        <f t="shared" si="8"/>
        <v>0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219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</row>
    <row r="14" spans="1:147" ht="22.9" hidden="1" customHeight="1" outlineLevel="2" x14ac:dyDescent="0.2">
      <c r="A14" s="146" t="s">
        <v>502</v>
      </c>
      <c r="B14" s="53" t="s">
        <v>226</v>
      </c>
      <c r="C14" s="50" t="s">
        <v>209</v>
      </c>
      <c r="D14" s="165">
        <v>1</v>
      </c>
      <c r="E14" s="158">
        <v>1</v>
      </c>
      <c r="F14" s="52">
        <f>SUM(H14:DY14)*E14*Table1[[#This Row],[Cycles]]</f>
        <v>0</v>
      </c>
      <c r="G14" s="46">
        <f t="shared" si="8"/>
        <v>0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219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</row>
    <row r="15" spans="1:147" ht="22.9" customHeight="1" outlineLevel="1" collapsed="1" x14ac:dyDescent="0.2">
      <c r="A15" s="149" t="s">
        <v>453</v>
      </c>
      <c r="B15" s="34" t="s">
        <v>17</v>
      </c>
      <c r="C15" s="30" t="s">
        <v>100</v>
      </c>
      <c r="D15" s="164"/>
      <c r="E15" s="164"/>
      <c r="F15" s="45">
        <f>SUM(F16:F21)</f>
        <v>24</v>
      </c>
      <c r="G15" s="44">
        <f>SUM(G16:G21)</f>
        <v>1740</v>
      </c>
      <c r="H15" s="45">
        <f>SUMPRODUCT($E$16:$E$21,H16:H21,$D$16:$D$21)</f>
        <v>0</v>
      </c>
      <c r="I15" s="45">
        <f t="shared" ref="I15:BO15" si="9">SUMPRODUCT($E$16:$E$21,I16:I21,$D$16:$D$21)</f>
        <v>0</v>
      </c>
      <c r="J15" s="45">
        <f t="shared" si="9"/>
        <v>0</v>
      </c>
      <c r="K15" s="45">
        <f t="shared" si="9"/>
        <v>0</v>
      </c>
      <c r="L15" s="45">
        <f t="shared" si="9"/>
        <v>0</v>
      </c>
      <c r="M15" s="45">
        <f t="shared" si="9"/>
        <v>0</v>
      </c>
      <c r="N15" s="45">
        <f t="shared" si="9"/>
        <v>0</v>
      </c>
      <c r="O15" s="45">
        <f t="shared" si="9"/>
        <v>0</v>
      </c>
      <c r="P15" s="45">
        <f t="shared" si="9"/>
        <v>0</v>
      </c>
      <c r="Q15" s="45">
        <f t="shared" si="9"/>
        <v>0</v>
      </c>
      <c r="R15" s="45">
        <f t="shared" si="9"/>
        <v>0</v>
      </c>
      <c r="S15" s="45">
        <f t="shared" si="9"/>
        <v>12</v>
      </c>
      <c r="T15" s="45">
        <f t="shared" si="9"/>
        <v>12</v>
      </c>
      <c r="U15" s="45">
        <f t="shared" si="9"/>
        <v>0</v>
      </c>
      <c r="V15" s="45">
        <f t="shared" si="9"/>
        <v>0</v>
      </c>
      <c r="W15" s="45">
        <f t="shared" si="9"/>
        <v>0</v>
      </c>
      <c r="X15" s="45">
        <f t="shared" si="9"/>
        <v>0</v>
      </c>
      <c r="Y15" s="45">
        <f t="shared" si="9"/>
        <v>0</v>
      </c>
      <c r="Z15" s="45">
        <f t="shared" si="9"/>
        <v>0</v>
      </c>
      <c r="AA15" s="45">
        <f t="shared" si="9"/>
        <v>0</v>
      </c>
      <c r="AB15" s="45">
        <f t="shared" si="9"/>
        <v>0</v>
      </c>
      <c r="AC15" s="45">
        <f t="shared" si="9"/>
        <v>0</v>
      </c>
      <c r="AD15" s="45">
        <f t="shared" si="9"/>
        <v>0</v>
      </c>
      <c r="AE15" s="45">
        <f t="shared" si="9"/>
        <v>0</v>
      </c>
      <c r="AF15" s="45">
        <f t="shared" si="9"/>
        <v>0</v>
      </c>
      <c r="AG15" s="45">
        <f t="shared" si="9"/>
        <v>0</v>
      </c>
      <c r="AH15" s="45">
        <f t="shared" si="9"/>
        <v>0</v>
      </c>
      <c r="AI15" s="45">
        <f t="shared" si="9"/>
        <v>0</v>
      </c>
      <c r="AJ15" s="45">
        <f t="shared" si="9"/>
        <v>0</v>
      </c>
      <c r="AK15" s="45">
        <f t="shared" si="9"/>
        <v>0</v>
      </c>
      <c r="AL15" s="45">
        <f t="shared" si="9"/>
        <v>0</v>
      </c>
      <c r="AM15" s="45">
        <f t="shared" si="9"/>
        <v>0</v>
      </c>
      <c r="AN15" s="45">
        <f t="shared" si="9"/>
        <v>0</v>
      </c>
      <c r="AO15" s="45">
        <f t="shared" si="9"/>
        <v>0</v>
      </c>
      <c r="AP15" s="45">
        <f t="shared" si="9"/>
        <v>0</v>
      </c>
      <c r="AQ15" s="45">
        <f t="shared" si="9"/>
        <v>0</v>
      </c>
      <c r="AR15" s="45">
        <f t="shared" si="9"/>
        <v>0</v>
      </c>
      <c r="AS15" s="45">
        <f t="shared" si="9"/>
        <v>0</v>
      </c>
      <c r="AT15" s="45">
        <f t="shared" si="9"/>
        <v>0</v>
      </c>
      <c r="AU15" s="45">
        <f t="shared" si="9"/>
        <v>0</v>
      </c>
      <c r="AV15" s="45">
        <f t="shared" si="9"/>
        <v>0</v>
      </c>
      <c r="AW15" s="45">
        <f t="shared" si="9"/>
        <v>0</v>
      </c>
      <c r="AX15" s="45">
        <f t="shared" si="9"/>
        <v>0</v>
      </c>
      <c r="AY15" s="45">
        <f t="shared" si="9"/>
        <v>0</v>
      </c>
      <c r="AZ15" s="45">
        <f t="shared" si="9"/>
        <v>0</v>
      </c>
      <c r="BA15" s="45">
        <f t="shared" si="9"/>
        <v>0</v>
      </c>
      <c r="BB15" s="45">
        <f t="shared" si="9"/>
        <v>0</v>
      </c>
      <c r="BC15" s="45">
        <f t="shared" si="9"/>
        <v>0</v>
      </c>
      <c r="BD15" s="45">
        <f t="shared" si="9"/>
        <v>0</v>
      </c>
      <c r="BE15" s="45">
        <f t="shared" si="9"/>
        <v>0</v>
      </c>
      <c r="BF15" s="45">
        <f t="shared" si="9"/>
        <v>0</v>
      </c>
      <c r="BG15" s="45">
        <f t="shared" si="9"/>
        <v>0</v>
      </c>
      <c r="BH15" s="45">
        <f t="shared" si="9"/>
        <v>0</v>
      </c>
      <c r="BI15" s="45">
        <f t="shared" si="9"/>
        <v>0</v>
      </c>
      <c r="BJ15" s="45">
        <f t="shared" si="9"/>
        <v>0</v>
      </c>
      <c r="BK15" s="45">
        <f t="shared" si="9"/>
        <v>0</v>
      </c>
      <c r="BL15" s="45">
        <f t="shared" si="9"/>
        <v>0</v>
      </c>
      <c r="BM15" s="45">
        <f t="shared" si="9"/>
        <v>0</v>
      </c>
      <c r="BN15" s="45">
        <f t="shared" si="9"/>
        <v>0</v>
      </c>
      <c r="BO15" s="45">
        <f t="shared" si="9"/>
        <v>0</v>
      </c>
      <c r="BP15" s="45">
        <f t="shared" ref="BP15:BU15" si="10">SUMPRODUCT($E$16:$E$21,BP16:BP21,$D$16:$D$21)</f>
        <v>0</v>
      </c>
      <c r="BQ15" s="45">
        <f t="shared" si="10"/>
        <v>0</v>
      </c>
      <c r="BR15" s="45">
        <f t="shared" si="10"/>
        <v>0</v>
      </c>
      <c r="BS15" s="45">
        <f t="shared" si="10"/>
        <v>0</v>
      </c>
      <c r="BT15" s="45">
        <f t="shared" si="10"/>
        <v>0</v>
      </c>
      <c r="BU15" s="45">
        <f t="shared" si="10"/>
        <v>0</v>
      </c>
      <c r="BV15" s="45">
        <f t="shared" ref="BV15:DY15" si="11">SUMPRODUCT($E$16:$E$21,BV16:BV21,$D$16:$D$21)</f>
        <v>0</v>
      </c>
      <c r="BW15" s="45">
        <f t="shared" si="11"/>
        <v>0</v>
      </c>
      <c r="BX15" s="45">
        <f t="shared" si="11"/>
        <v>0</v>
      </c>
      <c r="BY15" s="45">
        <f t="shared" si="11"/>
        <v>0</v>
      </c>
      <c r="BZ15" s="45">
        <f t="shared" si="11"/>
        <v>0</v>
      </c>
      <c r="CA15" s="45">
        <f t="shared" si="11"/>
        <v>0</v>
      </c>
      <c r="CB15" s="45">
        <f t="shared" si="11"/>
        <v>0</v>
      </c>
      <c r="CC15" s="45">
        <f t="shared" si="11"/>
        <v>0</v>
      </c>
      <c r="CD15" s="45">
        <f t="shared" si="11"/>
        <v>0</v>
      </c>
      <c r="CE15" s="45">
        <f t="shared" si="11"/>
        <v>0</v>
      </c>
      <c r="CF15" s="45">
        <f t="shared" si="11"/>
        <v>0</v>
      </c>
      <c r="CG15" s="45">
        <f t="shared" si="11"/>
        <v>0</v>
      </c>
      <c r="CH15" s="45">
        <f t="shared" si="11"/>
        <v>0</v>
      </c>
      <c r="CI15" s="45">
        <f t="shared" si="11"/>
        <v>0</v>
      </c>
      <c r="CJ15" s="45">
        <f t="shared" si="11"/>
        <v>0</v>
      </c>
      <c r="CK15" s="45">
        <f t="shared" si="11"/>
        <v>0</v>
      </c>
      <c r="CL15" s="45">
        <f t="shared" si="11"/>
        <v>0</v>
      </c>
      <c r="CM15" s="45">
        <f t="shared" si="11"/>
        <v>0</v>
      </c>
      <c r="CN15" s="45">
        <f t="shared" si="11"/>
        <v>0</v>
      </c>
      <c r="CO15" s="45">
        <f t="shared" si="11"/>
        <v>0</v>
      </c>
      <c r="CP15" s="45">
        <f t="shared" si="11"/>
        <v>0</v>
      </c>
      <c r="CQ15" s="45">
        <f t="shared" si="11"/>
        <v>0</v>
      </c>
      <c r="CR15" s="45">
        <f t="shared" si="11"/>
        <v>0</v>
      </c>
      <c r="CS15" s="45">
        <f t="shared" si="11"/>
        <v>0</v>
      </c>
      <c r="CT15" s="45">
        <f t="shared" si="11"/>
        <v>0</v>
      </c>
      <c r="CU15" s="45">
        <f t="shared" si="11"/>
        <v>0</v>
      </c>
      <c r="CV15" s="45">
        <f t="shared" si="11"/>
        <v>0</v>
      </c>
      <c r="CW15" s="45">
        <f t="shared" si="11"/>
        <v>0</v>
      </c>
      <c r="CX15" s="45">
        <f t="shared" si="11"/>
        <v>0</v>
      </c>
      <c r="CY15" s="45">
        <f t="shared" si="11"/>
        <v>0</v>
      </c>
      <c r="CZ15" s="45">
        <f t="shared" si="11"/>
        <v>0</v>
      </c>
      <c r="DA15" s="45">
        <f t="shared" si="11"/>
        <v>0</v>
      </c>
      <c r="DB15" s="45">
        <f t="shared" si="11"/>
        <v>0</v>
      </c>
      <c r="DC15" s="45">
        <f t="shared" si="11"/>
        <v>0</v>
      </c>
      <c r="DD15" s="45">
        <f t="shared" si="11"/>
        <v>0</v>
      </c>
      <c r="DE15" s="45">
        <f t="shared" si="11"/>
        <v>0</v>
      </c>
      <c r="DF15" s="45">
        <f t="shared" si="11"/>
        <v>0</v>
      </c>
      <c r="DG15" s="45">
        <f t="shared" si="11"/>
        <v>0</v>
      </c>
      <c r="DH15" s="45">
        <f t="shared" si="11"/>
        <v>0</v>
      </c>
      <c r="DI15" s="45">
        <f t="shared" si="11"/>
        <v>0</v>
      </c>
      <c r="DJ15" s="45">
        <f t="shared" si="11"/>
        <v>0</v>
      </c>
      <c r="DK15" s="45">
        <f t="shared" si="11"/>
        <v>0</v>
      </c>
      <c r="DL15" s="45">
        <f t="shared" si="11"/>
        <v>0</v>
      </c>
      <c r="DM15" s="45">
        <f t="shared" si="11"/>
        <v>0</v>
      </c>
      <c r="DN15" s="45">
        <f t="shared" si="11"/>
        <v>0</v>
      </c>
      <c r="DO15" s="45">
        <f t="shared" si="11"/>
        <v>0</v>
      </c>
      <c r="DP15" s="45">
        <f t="shared" si="11"/>
        <v>0</v>
      </c>
      <c r="DQ15" s="45">
        <f t="shared" si="11"/>
        <v>0</v>
      </c>
      <c r="DR15" s="45">
        <f t="shared" si="11"/>
        <v>0</v>
      </c>
      <c r="DS15" s="45">
        <f t="shared" si="11"/>
        <v>0</v>
      </c>
      <c r="DT15" s="45">
        <f t="shared" si="11"/>
        <v>0</v>
      </c>
      <c r="DU15" s="45">
        <f t="shared" si="11"/>
        <v>0</v>
      </c>
      <c r="DV15" s="45">
        <f t="shared" si="11"/>
        <v>0</v>
      </c>
      <c r="DW15" s="45">
        <f t="shared" si="11"/>
        <v>0</v>
      </c>
      <c r="DX15" s="45">
        <f t="shared" si="11"/>
        <v>0</v>
      </c>
      <c r="DY15" s="45">
        <f t="shared" si="11"/>
        <v>0</v>
      </c>
      <c r="DZ15" s="218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</row>
    <row r="16" spans="1:147" ht="22.9" hidden="1" customHeight="1" outlineLevel="2" x14ac:dyDescent="0.2">
      <c r="A16" s="146" t="s">
        <v>503</v>
      </c>
      <c r="B16" s="53" t="s">
        <v>731</v>
      </c>
      <c r="C16" s="50" t="s">
        <v>133</v>
      </c>
      <c r="D16" s="165" t="s">
        <v>454</v>
      </c>
      <c r="E16" s="158" t="s">
        <v>454</v>
      </c>
      <c r="F16" s="52">
        <f>SUM(H16:DY16)*E16*Table1[[#This Row],[Cycles]]</f>
        <v>0</v>
      </c>
      <c r="G16" s="46">
        <f t="shared" ref="G16:G21" si="12">SUMPRODUCT($H$3:$DY$3,$H16:$DY16)*E16*D16</f>
        <v>0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219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</row>
    <row r="17" spans="1:147" ht="22.9" hidden="1" customHeight="1" outlineLevel="2" x14ac:dyDescent="0.2">
      <c r="A17" s="146" t="s">
        <v>504</v>
      </c>
      <c r="B17" s="53" t="s">
        <v>480</v>
      </c>
      <c r="C17" s="50" t="s">
        <v>133</v>
      </c>
      <c r="D17" s="165">
        <v>1</v>
      </c>
      <c r="E17" s="158">
        <v>1</v>
      </c>
      <c r="F17" s="52">
        <f>SUM(H17:DY17)*E17*Table1[[#This Row],[Cycles]]</f>
        <v>0</v>
      </c>
      <c r="G17" s="46">
        <f t="shared" si="12"/>
        <v>0</v>
      </c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219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</row>
    <row r="18" spans="1:147" ht="22.9" hidden="1" customHeight="1" outlineLevel="2" x14ac:dyDescent="0.2">
      <c r="A18" s="146" t="s">
        <v>505</v>
      </c>
      <c r="B18" s="53" t="s">
        <v>18</v>
      </c>
      <c r="C18" s="50" t="s">
        <v>133</v>
      </c>
      <c r="D18" s="165">
        <v>1</v>
      </c>
      <c r="E18" s="158">
        <v>1</v>
      </c>
      <c r="F18" s="52">
        <f>SUM(H18:DY18)*E18*Table1[[#This Row],[Cycles]]</f>
        <v>0</v>
      </c>
      <c r="G18" s="46">
        <f t="shared" si="12"/>
        <v>0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219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</row>
    <row r="19" spans="1:147" ht="22.9" hidden="1" customHeight="1" outlineLevel="2" x14ac:dyDescent="0.2">
      <c r="A19" s="146" t="s">
        <v>506</v>
      </c>
      <c r="B19" s="53" t="s">
        <v>19</v>
      </c>
      <c r="C19" s="50" t="s">
        <v>133</v>
      </c>
      <c r="D19" s="165" t="s">
        <v>454</v>
      </c>
      <c r="E19" s="158">
        <v>1</v>
      </c>
      <c r="F19" s="52">
        <f>SUM(H19:DY19)*E19*Table1[[#This Row],[Cycles]]</f>
        <v>0</v>
      </c>
      <c r="G19" s="46">
        <f t="shared" si="12"/>
        <v>0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219"/>
      <c r="EA19" s="231"/>
      <c r="EB19" s="231"/>
      <c r="EC19" s="231"/>
      <c r="ED19" s="231"/>
      <c r="EE19" s="231"/>
      <c r="EF19" s="231"/>
      <c r="EG19" s="231"/>
      <c r="EH19" s="231"/>
      <c r="EI19" s="231"/>
      <c r="EJ19" s="231"/>
      <c r="EK19" s="231"/>
      <c r="EL19" s="231"/>
      <c r="EM19" s="231"/>
      <c r="EN19" s="231"/>
      <c r="EO19" s="231"/>
      <c r="EP19" s="231"/>
      <c r="EQ19" s="231"/>
    </row>
    <row r="20" spans="1:147" ht="22.9" hidden="1" customHeight="1" outlineLevel="2" x14ac:dyDescent="0.2">
      <c r="A20" s="146" t="s">
        <v>507</v>
      </c>
      <c r="B20" s="53" t="s">
        <v>20</v>
      </c>
      <c r="C20" s="50" t="s">
        <v>133</v>
      </c>
      <c r="D20" s="165">
        <v>3</v>
      </c>
      <c r="E20" s="158">
        <v>1</v>
      </c>
      <c r="F20" s="52">
        <f>SUM(H20:DY20)*E20*Table1[[#This Row],[Cycles]]</f>
        <v>24</v>
      </c>
      <c r="G20" s="46">
        <f t="shared" si="12"/>
        <v>1740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>
        <v>4</v>
      </c>
      <c r="T20" s="47">
        <v>4</v>
      </c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219"/>
      <c r="EA20" s="231"/>
      <c r="EB20" s="231"/>
      <c r="EC20" s="231"/>
      <c r="ED20" s="231"/>
      <c r="EE20" s="231"/>
      <c r="EF20" s="231"/>
      <c r="EG20" s="231"/>
      <c r="EH20" s="231"/>
      <c r="EI20" s="231"/>
      <c r="EJ20" s="231"/>
      <c r="EK20" s="231"/>
      <c r="EL20" s="231"/>
      <c r="EM20" s="231"/>
      <c r="EN20" s="231"/>
      <c r="EO20" s="231"/>
      <c r="EP20" s="231"/>
      <c r="EQ20" s="231"/>
    </row>
    <row r="21" spans="1:147" ht="22.9" hidden="1" customHeight="1" outlineLevel="2" x14ac:dyDescent="0.2">
      <c r="A21" s="146" t="s">
        <v>508</v>
      </c>
      <c r="B21" s="53" t="s">
        <v>21</v>
      </c>
      <c r="C21" s="50" t="s">
        <v>133</v>
      </c>
      <c r="D21" s="165" t="s">
        <v>454</v>
      </c>
      <c r="E21" s="158">
        <v>1</v>
      </c>
      <c r="F21" s="52">
        <f>SUM(H21:DY21)*E21*Table1[[#This Row],[Cycles]]</f>
        <v>0</v>
      </c>
      <c r="G21" s="46">
        <f t="shared" si="12"/>
        <v>0</v>
      </c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219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</row>
    <row r="22" spans="1:147" ht="22.9" customHeight="1" outlineLevel="1" collapsed="1" x14ac:dyDescent="0.2">
      <c r="A22" s="149" t="s">
        <v>509</v>
      </c>
      <c r="B22" s="34" t="s">
        <v>22</v>
      </c>
      <c r="C22" s="30" t="s">
        <v>100</v>
      </c>
      <c r="D22" s="164"/>
      <c r="E22" s="164"/>
      <c r="F22" s="45">
        <f>SUM(F23:F25)</f>
        <v>0</v>
      </c>
      <c r="G22" s="44">
        <f>SUM(G23:G25)</f>
        <v>0</v>
      </c>
      <c r="H22" s="45">
        <f>SUMPRODUCT($E$23:$E$25,$D$23:$D$25,H23:H25)</f>
        <v>0</v>
      </c>
      <c r="I22" s="45">
        <f>SUMPRODUCT($E$23:$E$25,I23:I25,$D$23:$D$25)</f>
        <v>0</v>
      </c>
      <c r="J22" s="45">
        <f t="shared" ref="J22:BT22" si="13">SUMPRODUCT($E$23:$E$25,$D$23:$D$25,J23:J25)</f>
        <v>0</v>
      </c>
      <c r="K22" s="45">
        <f t="shared" si="13"/>
        <v>0</v>
      </c>
      <c r="L22" s="45">
        <f t="shared" si="13"/>
        <v>0</v>
      </c>
      <c r="M22" s="45">
        <f t="shared" si="13"/>
        <v>0</v>
      </c>
      <c r="N22" s="45">
        <f t="shared" si="13"/>
        <v>0</v>
      </c>
      <c r="O22" s="45">
        <f t="shared" si="13"/>
        <v>0</v>
      </c>
      <c r="P22" s="45">
        <f t="shared" si="13"/>
        <v>0</v>
      </c>
      <c r="Q22" s="45">
        <f t="shared" si="13"/>
        <v>0</v>
      </c>
      <c r="R22" s="45">
        <f t="shared" si="13"/>
        <v>0</v>
      </c>
      <c r="S22" s="45">
        <f t="shared" si="13"/>
        <v>0</v>
      </c>
      <c r="T22" s="45">
        <f t="shared" si="13"/>
        <v>0</v>
      </c>
      <c r="U22" s="45">
        <f t="shared" si="13"/>
        <v>0</v>
      </c>
      <c r="V22" s="45">
        <f t="shared" si="13"/>
        <v>0</v>
      </c>
      <c r="W22" s="45">
        <f t="shared" si="13"/>
        <v>0</v>
      </c>
      <c r="X22" s="45">
        <f t="shared" si="13"/>
        <v>0</v>
      </c>
      <c r="Y22" s="45">
        <f t="shared" si="13"/>
        <v>0</v>
      </c>
      <c r="Z22" s="45">
        <f t="shared" si="13"/>
        <v>0</v>
      </c>
      <c r="AA22" s="45">
        <f t="shared" si="13"/>
        <v>0</v>
      </c>
      <c r="AB22" s="45">
        <f t="shared" si="13"/>
        <v>0</v>
      </c>
      <c r="AC22" s="45">
        <f t="shared" si="13"/>
        <v>0</v>
      </c>
      <c r="AD22" s="45">
        <f t="shared" si="13"/>
        <v>0</v>
      </c>
      <c r="AE22" s="45">
        <f t="shared" si="13"/>
        <v>0</v>
      </c>
      <c r="AF22" s="45">
        <f t="shared" si="13"/>
        <v>0</v>
      </c>
      <c r="AG22" s="45">
        <f t="shared" si="13"/>
        <v>0</v>
      </c>
      <c r="AH22" s="45">
        <f t="shared" si="13"/>
        <v>0</v>
      </c>
      <c r="AI22" s="45">
        <f t="shared" si="13"/>
        <v>0</v>
      </c>
      <c r="AJ22" s="45">
        <f t="shared" si="13"/>
        <v>0</v>
      </c>
      <c r="AK22" s="45">
        <f t="shared" si="13"/>
        <v>0</v>
      </c>
      <c r="AL22" s="45">
        <f t="shared" si="13"/>
        <v>0</v>
      </c>
      <c r="AM22" s="45">
        <f t="shared" si="13"/>
        <v>0</v>
      </c>
      <c r="AN22" s="45">
        <f t="shared" si="13"/>
        <v>0</v>
      </c>
      <c r="AO22" s="45">
        <f t="shared" si="13"/>
        <v>0</v>
      </c>
      <c r="AP22" s="45">
        <f t="shared" si="13"/>
        <v>0</v>
      </c>
      <c r="AQ22" s="45">
        <f t="shared" si="13"/>
        <v>0</v>
      </c>
      <c r="AR22" s="45">
        <f t="shared" si="13"/>
        <v>0</v>
      </c>
      <c r="AS22" s="45">
        <f t="shared" si="13"/>
        <v>0</v>
      </c>
      <c r="AT22" s="45">
        <f t="shared" si="13"/>
        <v>0</v>
      </c>
      <c r="AU22" s="45">
        <f t="shared" si="13"/>
        <v>0</v>
      </c>
      <c r="AV22" s="45">
        <f t="shared" si="13"/>
        <v>0</v>
      </c>
      <c r="AW22" s="45">
        <f t="shared" si="13"/>
        <v>0</v>
      </c>
      <c r="AX22" s="45">
        <f t="shared" si="13"/>
        <v>0</v>
      </c>
      <c r="AY22" s="45">
        <f t="shared" si="13"/>
        <v>0</v>
      </c>
      <c r="AZ22" s="45">
        <f t="shared" si="13"/>
        <v>0</v>
      </c>
      <c r="BA22" s="45">
        <f t="shared" si="13"/>
        <v>0</v>
      </c>
      <c r="BB22" s="45">
        <f t="shared" si="13"/>
        <v>0</v>
      </c>
      <c r="BC22" s="45">
        <f t="shared" si="13"/>
        <v>0</v>
      </c>
      <c r="BD22" s="45">
        <f t="shared" si="13"/>
        <v>0</v>
      </c>
      <c r="BE22" s="45">
        <f t="shared" si="13"/>
        <v>0</v>
      </c>
      <c r="BF22" s="45">
        <f t="shared" si="13"/>
        <v>0</v>
      </c>
      <c r="BG22" s="45">
        <f t="shared" si="13"/>
        <v>0</v>
      </c>
      <c r="BH22" s="45">
        <f t="shared" si="13"/>
        <v>0</v>
      </c>
      <c r="BI22" s="45">
        <f t="shared" si="13"/>
        <v>0</v>
      </c>
      <c r="BJ22" s="45">
        <f t="shared" si="13"/>
        <v>0</v>
      </c>
      <c r="BK22" s="45">
        <f t="shared" si="13"/>
        <v>0</v>
      </c>
      <c r="BL22" s="45">
        <f t="shared" si="13"/>
        <v>0</v>
      </c>
      <c r="BM22" s="45">
        <f t="shared" si="13"/>
        <v>0</v>
      </c>
      <c r="BN22" s="45">
        <f t="shared" si="13"/>
        <v>0</v>
      </c>
      <c r="BO22" s="45">
        <f t="shared" si="13"/>
        <v>0</v>
      </c>
      <c r="BP22" s="45">
        <f>SUMPRODUCT($E$23:$E$25,$D$23:$D$25,BP23:BP25)</f>
        <v>0</v>
      </c>
      <c r="BQ22" s="45">
        <f t="shared" si="13"/>
        <v>0</v>
      </c>
      <c r="BR22" s="45">
        <f t="shared" si="13"/>
        <v>0</v>
      </c>
      <c r="BS22" s="45">
        <f t="shared" si="13"/>
        <v>0</v>
      </c>
      <c r="BT22" s="45">
        <f t="shared" si="13"/>
        <v>0</v>
      </c>
      <c r="BU22" s="45">
        <f t="shared" ref="BU22:DY22" si="14">SUMPRODUCT($E$23:$E$25,$D$23:$D$25,BU23:BU25)</f>
        <v>0</v>
      </c>
      <c r="BV22" s="45">
        <f t="shared" si="14"/>
        <v>0</v>
      </c>
      <c r="BW22" s="45">
        <f t="shared" si="14"/>
        <v>0</v>
      </c>
      <c r="BX22" s="45">
        <f t="shared" si="14"/>
        <v>0</v>
      </c>
      <c r="BY22" s="45">
        <f t="shared" si="14"/>
        <v>0</v>
      </c>
      <c r="BZ22" s="45">
        <f t="shared" si="14"/>
        <v>0</v>
      </c>
      <c r="CA22" s="45">
        <f t="shared" si="14"/>
        <v>0</v>
      </c>
      <c r="CB22" s="45">
        <f t="shared" si="14"/>
        <v>0</v>
      </c>
      <c r="CC22" s="45">
        <f t="shared" si="14"/>
        <v>0</v>
      </c>
      <c r="CD22" s="45">
        <f t="shared" si="14"/>
        <v>0</v>
      </c>
      <c r="CE22" s="45">
        <f t="shared" si="14"/>
        <v>0</v>
      </c>
      <c r="CF22" s="45">
        <f t="shared" si="14"/>
        <v>0</v>
      </c>
      <c r="CG22" s="45">
        <f t="shared" si="14"/>
        <v>0</v>
      </c>
      <c r="CH22" s="45">
        <f t="shared" si="14"/>
        <v>0</v>
      </c>
      <c r="CI22" s="45">
        <f t="shared" si="14"/>
        <v>0</v>
      </c>
      <c r="CJ22" s="45">
        <f t="shared" si="14"/>
        <v>0</v>
      </c>
      <c r="CK22" s="45">
        <f t="shared" si="14"/>
        <v>0</v>
      </c>
      <c r="CL22" s="45">
        <f t="shared" si="14"/>
        <v>0</v>
      </c>
      <c r="CM22" s="45">
        <f t="shared" si="14"/>
        <v>0</v>
      </c>
      <c r="CN22" s="45">
        <f t="shared" si="14"/>
        <v>0</v>
      </c>
      <c r="CO22" s="45">
        <f t="shared" si="14"/>
        <v>0</v>
      </c>
      <c r="CP22" s="45">
        <f t="shared" si="14"/>
        <v>0</v>
      </c>
      <c r="CQ22" s="45">
        <f t="shared" si="14"/>
        <v>0</v>
      </c>
      <c r="CR22" s="45">
        <f t="shared" si="14"/>
        <v>0</v>
      </c>
      <c r="CS22" s="45">
        <f t="shared" si="14"/>
        <v>0</v>
      </c>
      <c r="CT22" s="45">
        <f t="shared" si="14"/>
        <v>0</v>
      </c>
      <c r="CU22" s="45">
        <f t="shared" si="14"/>
        <v>0</v>
      </c>
      <c r="CV22" s="45">
        <f t="shared" si="14"/>
        <v>0</v>
      </c>
      <c r="CW22" s="45">
        <f t="shared" si="14"/>
        <v>0</v>
      </c>
      <c r="CX22" s="45">
        <f t="shared" si="14"/>
        <v>0</v>
      </c>
      <c r="CY22" s="45">
        <f t="shared" si="14"/>
        <v>0</v>
      </c>
      <c r="CZ22" s="45">
        <f t="shared" si="14"/>
        <v>0</v>
      </c>
      <c r="DA22" s="45">
        <f t="shared" si="14"/>
        <v>0</v>
      </c>
      <c r="DB22" s="45">
        <f t="shared" si="14"/>
        <v>0</v>
      </c>
      <c r="DC22" s="45">
        <f t="shared" si="14"/>
        <v>0</v>
      </c>
      <c r="DD22" s="45">
        <f t="shared" si="14"/>
        <v>0</v>
      </c>
      <c r="DE22" s="45">
        <f t="shared" si="14"/>
        <v>0</v>
      </c>
      <c r="DF22" s="45">
        <f t="shared" si="14"/>
        <v>0</v>
      </c>
      <c r="DG22" s="45">
        <f t="shared" si="14"/>
        <v>0</v>
      </c>
      <c r="DH22" s="45">
        <f t="shared" si="14"/>
        <v>0</v>
      </c>
      <c r="DI22" s="45">
        <f t="shared" si="14"/>
        <v>0</v>
      </c>
      <c r="DJ22" s="45">
        <f t="shared" si="14"/>
        <v>0</v>
      </c>
      <c r="DK22" s="45">
        <f t="shared" si="14"/>
        <v>0</v>
      </c>
      <c r="DL22" s="45">
        <f t="shared" si="14"/>
        <v>0</v>
      </c>
      <c r="DM22" s="45">
        <f t="shared" si="14"/>
        <v>0</v>
      </c>
      <c r="DN22" s="45">
        <f t="shared" si="14"/>
        <v>0</v>
      </c>
      <c r="DO22" s="45">
        <f t="shared" si="14"/>
        <v>0</v>
      </c>
      <c r="DP22" s="45">
        <f t="shared" si="14"/>
        <v>0</v>
      </c>
      <c r="DQ22" s="45">
        <f t="shared" si="14"/>
        <v>0</v>
      </c>
      <c r="DR22" s="45">
        <f t="shared" si="14"/>
        <v>0</v>
      </c>
      <c r="DS22" s="45">
        <f t="shared" si="14"/>
        <v>0</v>
      </c>
      <c r="DT22" s="45">
        <f t="shared" si="14"/>
        <v>0</v>
      </c>
      <c r="DU22" s="45">
        <f t="shared" si="14"/>
        <v>0</v>
      </c>
      <c r="DV22" s="45">
        <f t="shared" si="14"/>
        <v>0</v>
      </c>
      <c r="DW22" s="45">
        <f t="shared" si="14"/>
        <v>0</v>
      </c>
      <c r="DX22" s="45">
        <f t="shared" si="14"/>
        <v>0</v>
      </c>
      <c r="DY22" s="45">
        <f t="shared" si="14"/>
        <v>0</v>
      </c>
      <c r="DZ22" s="218"/>
      <c r="EA22" s="231"/>
      <c r="EB22" s="231"/>
      <c r="EC22" s="231"/>
      <c r="ED22" s="231"/>
      <c r="EE22" s="231"/>
      <c r="EF22" s="231"/>
      <c r="EG22" s="231"/>
      <c r="EH22" s="231"/>
      <c r="EI22" s="231"/>
      <c r="EJ22" s="231"/>
      <c r="EK22" s="231"/>
      <c r="EL22" s="231"/>
      <c r="EM22" s="231"/>
      <c r="EN22" s="231"/>
      <c r="EO22" s="231"/>
      <c r="EP22" s="231"/>
      <c r="EQ22" s="231"/>
    </row>
    <row r="23" spans="1:147" ht="22.9" hidden="1" customHeight="1" outlineLevel="2" x14ac:dyDescent="0.2">
      <c r="A23" s="146" t="s">
        <v>510</v>
      </c>
      <c r="B23" s="53" t="s">
        <v>23</v>
      </c>
      <c r="C23" s="50" t="s">
        <v>133</v>
      </c>
      <c r="D23" s="165">
        <v>1</v>
      </c>
      <c r="E23" s="158">
        <v>1</v>
      </c>
      <c r="F23" s="52">
        <f>SUM(H23:DY23)*E23*Table1[[#This Row],[Cycles]]</f>
        <v>0</v>
      </c>
      <c r="G23" s="46">
        <f>SUMPRODUCT($H$3:$DY$3,$H23:$DY23)*E23*D23</f>
        <v>0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219"/>
      <c r="EA23" s="231"/>
      <c r="EB23" s="231"/>
      <c r="EC23" s="231"/>
      <c r="ED23" s="231"/>
      <c r="EE23" s="231"/>
      <c r="EF23" s="231"/>
      <c r="EG23" s="231"/>
      <c r="EH23" s="231"/>
      <c r="EI23" s="231"/>
      <c r="EJ23" s="231"/>
      <c r="EK23" s="231"/>
      <c r="EL23" s="231"/>
      <c r="EM23" s="231"/>
      <c r="EN23" s="231"/>
      <c r="EO23" s="231"/>
      <c r="EP23" s="231"/>
      <c r="EQ23" s="231"/>
    </row>
    <row r="24" spans="1:147" ht="22.9" hidden="1" customHeight="1" outlineLevel="2" x14ac:dyDescent="0.2">
      <c r="A24" s="146" t="s">
        <v>511</v>
      </c>
      <c r="B24" s="53" t="s">
        <v>24</v>
      </c>
      <c r="C24" s="50" t="s">
        <v>133</v>
      </c>
      <c r="D24" s="165">
        <v>1</v>
      </c>
      <c r="E24" s="158">
        <v>1</v>
      </c>
      <c r="F24" s="52">
        <f>SUM(H24:DY24)*E24*Table1[[#This Row],[Cycles]]</f>
        <v>0</v>
      </c>
      <c r="G24" s="46">
        <f>SUMPRODUCT($H$3:$DY$3,$H24:$DY24)*E24*D24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219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</row>
    <row r="25" spans="1:147" ht="22.9" hidden="1" customHeight="1" outlineLevel="2" x14ac:dyDescent="0.2">
      <c r="A25" s="146" t="s">
        <v>512</v>
      </c>
      <c r="B25" s="53" t="s">
        <v>793</v>
      </c>
      <c r="C25" s="50" t="s">
        <v>133</v>
      </c>
      <c r="D25" s="165">
        <v>1</v>
      </c>
      <c r="E25" s="158">
        <v>1</v>
      </c>
      <c r="F25" s="52">
        <f>SUM(H25:DY25)*E25*Table1[[#This Row],[Cycles]]</f>
        <v>0</v>
      </c>
      <c r="G25" s="46">
        <f>SUMPRODUCT($H$3:$DY$3,$H25:$DY25)*E25*D25</f>
        <v>0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219"/>
      <c r="EA25" s="231"/>
      <c r="EB25" s="231"/>
      <c r="EC25" s="231"/>
      <c r="ED25" s="231"/>
      <c r="EE25" s="231"/>
      <c r="EF25" s="231"/>
      <c r="EG25" s="231"/>
      <c r="EH25" s="231"/>
      <c r="EI25" s="231"/>
      <c r="EJ25" s="231"/>
      <c r="EK25" s="231"/>
      <c r="EL25" s="231"/>
      <c r="EM25" s="231"/>
      <c r="EN25" s="231"/>
      <c r="EO25" s="231"/>
      <c r="EP25" s="231"/>
      <c r="EQ25" s="231"/>
    </row>
    <row r="26" spans="1:147" ht="22.9" customHeight="1" outlineLevel="1" collapsed="1" x14ac:dyDescent="0.2">
      <c r="A26" s="149" t="s">
        <v>513</v>
      </c>
      <c r="B26" s="34" t="s">
        <v>482</v>
      </c>
      <c r="C26" s="30" t="s">
        <v>100</v>
      </c>
      <c r="D26" s="164"/>
      <c r="E26" s="164"/>
      <c r="F26" s="45">
        <f>SUM(F27:F32)</f>
        <v>0</v>
      </c>
      <c r="G26" s="44">
        <f>SUM(G27:G32)</f>
        <v>0</v>
      </c>
      <c r="H26" s="45">
        <f>SUMPRODUCT($E$27:$E$32,$D$27:$D$32,H27:H32)</f>
        <v>0</v>
      </c>
      <c r="I26" s="45">
        <f>SUMPRODUCT($E$27:$E$32,$D$27:$D$32,I27:I32)</f>
        <v>0</v>
      </c>
      <c r="J26" s="45">
        <f t="shared" ref="J26:BT26" si="15">SUMPRODUCT($E$27:$E$32,$D$27:$D$32,J27:J32)</f>
        <v>0</v>
      </c>
      <c r="K26" s="45">
        <f t="shared" si="15"/>
        <v>0</v>
      </c>
      <c r="L26" s="45">
        <f t="shared" si="15"/>
        <v>0</v>
      </c>
      <c r="M26" s="45">
        <f t="shared" si="15"/>
        <v>0</v>
      </c>
      <c r="N26" s="45">
        <f t="shared" si="15"/>
        <v>0</v>
      </c>
      <c r="O26" s="45">
        <f t="shared" si="15"/>
        <v>0</v>
      </c>
      <c r="P26" s="45">
        <f t="shared" si="15"/>
        <v>0</v>
      </c>
      <c r="Q26" s="45">
        <f t="shared" si="15"/>
        <v>0</v>
      </c>
      <c r="R26" s="45">
        <f t="shared" si="15"/>
        <v>0</v>
      </c>
      <c r="S26" s="45">
        <f t="shared" si="15"/>
        <v>0</v>
      </c>
      <c r="T26" s="45">
        <f t="shared" si="15"/>
        <v>0</v>
      </c>
      <c r="U26" s="45">
        <f t="shared" si="15"/>
        <v>0</v>
      </c>
      <c r="V26" s="45">
        <f t="shared" si="15"/>
        <v>0</v>
      </c>
      <c r="W26" s="45">
        <f t="shared" si="15"/>
        <v>0</v>
      </c>
      <c r="X26" s="45">
        <f t="shared" si="15"/>
        <v>0</v>
      </c>
      <c r="Y26" s="45">
        <f t="shared" si="15"/>
        <v>0</v>
      </c>
      <c r="Z26" s="45">
        <f t="shared" si="15"/>
        <v>0</v>
      </c>
      <c r="AA26" s="45">
        <f t="shared" si="15"/>
        <v>0</v>
      </c>
      <c r="AB26" s="45">
        <f t="shared" si="15"/>
        <v>0</v>
      </c>
      <c r="AC26" s="45">
        <f t="shared" si="15"/>
        <v>0</v>
      </c>
      <c r="AD26" s="45">
        <f t="shared" si="15"/>
        <v>0</v>
      </c>
      <c r="AE26" s="45">
        <f t="shared" si="15"/>
        <v>0</v>
      </c>
      <c r="AF26" s="45">
        <f t="shared" si="15"/>
        <v>0</v>
      </c>
      <c r="AG26" s="45">
        <f t="shared" si="15"/>
        <v>0</v>
      </c>
      <c r="AH26" s="45">
        <f t="shared" si="15"/>
        <v>0</v>
      </c>
      <c r="AI26" s="45">
        <f t="shared" si="15"/>
        <v>0</v>
      </c>
      <c r="AJ26" s="45">
        <f t="shared" si="15"/>
        <v>0</v>
      </c>
      <c r="AK26" s="45">
        <f t="shared" si="15"/>
        <v>0</v>
      </c>
      <c r="AL26" s="45">
        <f t="shared" si="15"/>
        <v>0</v>
      </c>
      <c r="AM26" s="45">
        <f t="shared" si="15"/>
        <v>0</v>
      </c>
      <c r="AN26" s="45">
        <f t="shared" si="15"/>
        <v>0</v>
      </c>
      <c r="AO26" s="45">
        <f t="shared" si="15"/>
        <v>0</v>
      </c>
      <c r="AP26" s="45">
        <f t="shared" si="15"/>
        <v>0</v>
      </c>
      <c r="AQ26" s="45">
        <f t="shared" si="15"/>
        <v>0</v>
      </c>
      <c r="AR26" s="45">
        <f t="shared" si="15"/>
        <v>0</v>
      </c>
      <c r="AS26" s="45">
        <f t="shared" si="15"/>
        <v>0</v>
      </c>
      <c r="AT26" s="45">
        <f t="shared" si="15"/>
        <v>0</v>
      </c>
      <c r="AU26" s="45">
        <f t="shared" si="15"/>
        <v>0</v>
      </c>
      <c r="AV26" s="45">
        <f t="shared" si="15"/>
        <v>0</v>
      </c>
      <c r="AW26" s="45">
        <f t="shared" si="15"/>
        <v>0</v>
      </c>
      <c r="AX26" s="45">
        <f t="shared" si="15"/>
        <v>0</v>
      </c>
      <c r="AY26" s="45">
        <f t="shared" si="15"/>
        <v>0</v>
      </c>
      <c r="AZ26" s="45">
        <f t="shared" si="15"/>
        <v>0</v>
      </c>
      <c r="BA26" s="45">
        <f t="shared" si="15"/>
        <v>0</v>
      </c>
      <c r="BB26" s="45">
        <f t="shared" si="15"/>
        <v>0</v>
      </c>
      <c r="BC26" s="45">
        <f t="shared" si="15"/>
        <v>0</v>
      </c>
      <c r="BD26" s="45">
        <f t="shared" si="15"/>
        <v>0</v>
      </c>
      <c r="BE26" s="45">
        <f t="shared" si="15"/>
        <v>0</v>
      </c>
      <c r="BF26" s="45">
        <f t="shared" si="15"/>
        <v>0</v>
      </c>
      <c r="BG26" s="45">
        <f t="shared" si="15"/>
        <v>0</v>
      </c>
      <c r="BH26" s="45">
        <f t="shared" si="15"/>
        <v>0</v>
      </c>
      <c r="BI26" s="45">
        <f t="shared" si="15"/>
        <v>0</v>
      </c>
      <c r="BJ26" s="45">
        <f t="shared" si="15"/>
        <v>0</v>
      </c>
      <c r="BK26" s="45">
        <f t="shared" si="15"/>
        <v>0</v>
      </c>
      <c r="BL26" s="45">
        <f t="shared" si="15"/>
        <v>0</v>
      </c>
      <c r="BM26" s="45">
        <f t="shared" si="15"/>
        <v>0</v>
      </c>
      <c r="BN26" s="45">
        <f t="shared" si="15"/>
        <v>0</v>
      </c>
      <c r="BO26" s="45">
        <f>SUMPRODUCT($E$27:$E$32,$D$27:$D$32,BO27:BO32)</f>
        <v>0</v>
      </c>
      <c r="BP26" s="45">
        <f>SUMPRODUCT($E$27:$E$32,$D$27:$D$32,BP27:BP32)</f>
        <v>0</v>
      </c>
      <c r="BQ26" s="45">
        <f t="shared" si="15"/>
        <v>0</v>
      </c>
      <c r="BR26" s="45">
        <f t="shared" si="15"/>
        <v>0</v>
      </c>
      <c r="BS26" s="45">
        <f t="shared" si="15"/>
        <v>0</v>
      </c>
      <c r="BT26" s="45">
        <f t="shared" si="15"/>
        <v>0</v>
      </c>
      <c r="BU26" s="45">
        <f t="shared" ref="BU26:DY26" si="16">SUMPRODUCT($E$27:$E$32,$D$27:$D$32,BU27:BU32)</f>
        <v>0</v>
      </c>
      <c r="BV26" s="45">
        <f t="shared" si="16"/>
        <v>0</v>
      </c>
      <c r="BW26" s="45">
        <f t="shared" si="16"/>
        <v>0</v>
      </c>
      <c r="BX26" s="45">
        <f t="shared" si="16"/>
        <v>0</v>
      </c>
      <c r="BY26" s="45">
        <f t="shared" si="16"/>
        <v>0</v>
      </c>
      <c r="BZ26" s="45">
        <f t="shared" si="16"/>
        <v>0</v>
      </c>
      <c r="CA26" s="45">
        <f t="shared" si="16"/>
        <v>0</v>
      </c>
      <c r="CB26" s="45">
        <f t="shared" si="16"/>
        <v>0</v>
      </c>
      <c r="CC26" s="45">
        <f t="shared" si="16"/>
        <v>0</v>
      </c>
      <c r="CD26" s="45">
        <f t="shared" si="16"/>
        <v>0</v>
      </c>
      <c r="CE26" s="45">
        <f t="shared" si="16"/>
        <v>0</v>
      </c>
      <c r="CF26" s="45">
        <f t="shared" si="16"/>
        <v>0</v>
      </c>
      <c r="CG26" s="45">
        <f t="shared" si="16"/>
        <v>0</v>
      </c>
      <c r="CH26" s="45">
        <f t="shared" si="16"/>
        <v>0</v>
      </c>
      <c r="CI26" s="45">
        <f t="shared" si="16"/>
        <v>0</v>
      </c>
      <c r="CJ26" s="45">
        <f t="shared" si="16"/>
        <v>0</v>
      </c>
      <c r="CK26" s="45">
        <f t="shared" si="16"/>
        <v>0</v>
      </c>
      <c r="CL26" s="45">
        <f t="shared" si="16"/>
        <v>0</v>
      </c>
      <c r="CM26" s="45">
        <f t="shared" si="16"/>
        <v>0</v>
      </c>
      <c r="CN26" s="45">
        <f t="shared" si="16"/>
        <v>0</v>
      </c>
      <c r="CO26" s="45">
        <f t="shared" si="16"/>
        <v>0</v>
      </c>
      <c r="CP26" s="45">
        <f t="shared" si="16"/>
        <v>0</v>
      </c>
      <c r="CQ26" s="45">
        <f t="shared" si="16"/>
        <v>0</v>
      </c>
      <c r="CR26" s="45">
        <f t="shared" si="16"/>
        <v>0</v>
      </c>
      <c r="CS26" s="45">
        <f t="shared" si="16"/>
        <v>0</v>
      </c>
      <c r="CT26" s="45">
        <f t="shared" si="16"/>
        <v>0</v>
      </c>
      <c r="CU26" s="45">
        <f t="shared" si="16"/>
        <v>0</v>
      </c>
      <c r="CV26" s="45">
        <f t="shared" si="16"/>
        <v>0</v>
      </c>
      <c r="CW26" s="45">
        <f t="shared" si="16"/>
        <v>0</v>
      </c>
      <c r="CX26" s="45">
        <f t="shared" si="16"/>
        <v>0</v>
      </c>
      <c r="CY26" s="45">
        <f t="shared" si="16"/>
        <v>0</v>
      </c>
      <c r="CZ26" s="45">
        <f t="shared" si="16"/>
        <v>0</v>
      </c>
      <c r="DA26" s="45">
        <f t="shared" si="16"/>
        <v>0</v>
      </c>
      <c r="DB26" s="45">
        <f t="shared" si="16"/>
        <v>0</v>
      </c>
      <c r="DC26" s="45">
        <f t="shared" si="16"/>
        <v>0</v>
      </c>
      <c r="DD26" s="45">
        <f t="shared" si="16"/>
        <v>0</v>
      </c>
      <c r="DE26" s="45">
        <f t="shared" si="16"/>
        <v>0</v>
      </c>
      <c r="DF26" s="45">
        <f t="shared" si="16"/>
        <v>0</v>
      </c>
      <c r="DG26" s="45">
        <f t="shared" si="16"/>
        <v>0</v>
      </c>
      <c r="DH26" s="45">
        <f t="shared" si="16"/>
        <v>0</v>
      </c>
      <c r="DI26" s="45">
        <f t="shared" si="16"/>
        <v>0</v>
      </c>
      <c r="DJ26" s="45">
        <f t="shared" si="16"/>
        <v>0</v>
      </c>
      <c r="DK26" s="45">
        <f t="shared" si="16"/>
        <v>0</v>
      </c>
      <c r="DL26" s="45">
        <f t="shared" si="16"/>
        <v>0</v>
      </c>
      <c r="DM26" s="45">
        <f t="shared" si="16"/>
        <v>0</v>
      </c>
      <c r="DN26" s="45">
        <f t="shared" si="16"/>
        <v>0</v>
      </c>
      <c r="DO26" s="45">
        <f t="shared" si="16"/>
        <v>0</v>
      </c>
      <c r="DP26" s="45">
        <f t="shared" si="16"/>
        <v>0</v>
      </c>
      <c r="DQ26" s="45">
        <f t="shared" si="16"/>
        <v>0</v>
      </c>
      <c r="DR26" s="45">
        <f t="shared" si="16"/>
        <v>0</v>
      </c>
      <c r="DS26" s="45">
        <f t="shared" si="16"/>
        <v>0</v>
      </c>
      <c r="DT26" s="45">
        <f t="shared" si="16"/>
        <v>0</v>
      </c>
      <c r="DU26" s="45">
        <f t="shared" si="16"/>
        <v>0</v>
      </c>
      <c r="DV26" s="45">
        <f t="shared" si="16"/>
        <v>0</v>
      </c>
      <c r="DW26" s="45">
        <f t="shared" si="16"/>
        <v>0</v>
      </c>
      <c r="DX26" s="45">
        <f t="shared" si="16"/>
        <v>0</v>
      </c>
      <c r="DY26" s="45">
        <f t="shared" si="16"/>
        <v>0</v>
      </c>
      <c r="DZ26" s="218"/>
      <c r="EA26" s="231"/>
      <c r="EB26" s="231"/>
      <c r="EC26" s="231"/>
      <c r="ED26" s="231"/>
      <c r="EE26" s="231"/>
      <c r="EF26" s="231"/>
      <c r="EG26" s="231"/>
      <c r="EH26" s="231"/>
      <c r="EI26" s="231"/>
      <c r="EJ26" s="231"/>
      <c r="EK26" s="231"/>
      <c r="EL26" s="231"/>
      <c r="EM26" s="231"/>
      <c r="EN26" s="231"/>
      <c r="EO26" s="231"/>
      <c r="EP26" s="231"/>
      <c r="EQ26" s="231"/>
    </row>
    <row r="27" spans="1:147" ht="22.9" hidden="1" customHeight="1" outlineLevel="2" x14ac:dyDescent="0.2">
      <c r="A27" s="146" t="s">
        <v>514</v>
      </c>
      <c r="B27" s="53" t="s">
        <v>7</v>
      </c>
      <c r="C27" s="50" t="s">
        <v>133</v>
      </c>
      <c r="D27" s="165">
        <v>1</v>
      </c>
      <c r="E27" s="158">
        <v>1</v>
      </c>
      <c r="F27" s="52">
        <f>SUM(H27:DY27)*E27*Table1[[#This Row],[Cycles]]</f>
        <v>0</v>
      </c>
      <c r="G27" s="46">
        <f t="shared" ref="G27:G32" si="17">SUMPRODUCT($H$3:$DY$3,$H27:$DY27)*E27*D27</f>
        <v>0</v>
      </c>
      <c r="H27" s="93"/>
      <c r="I27" s="93"/>
      <c r="J27" s="93"/>
      <c r="K27" s="93"/>
      <c r="L27" s="93"/>
      <c r="M27" s="93"/>
      <c r="N27" s="93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219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</row>
    <row r="28" spans="1:147" ht="22.9" hidden="1" customHeight="1" outlineLevel="2" x14ac:dyDescent="0.2">
      <c r="A28" s="146" t="s">
        <v>515</v>
      </c>
      <c r="B28" s="53" t="s">
        <v>8</v>
      </c>
      <c r="C28" s="50" t="s">
        <v>133</v>
      </c>
      <c r="D28" s="168">
        <v>1</v>
      </c>
      <c r="E28" s="158">
        <v>1</v>
      </c>
      <c r="F28" s="52">
        <f>SUM(H28:DY28)*E28*Table1[[#This Row],[Cycles]]</f>
        <v>0</v>
      </c>
      <c r="G28" s="46">
        <f t="shared" si="17"/>
        <v>0</v>
      </c>
      <c r="H28" s="93"/>
      <c r="I28" s="93"/>
      <c r="J28" s="93"/>
      <c r="K28" s="93"/>
      <c r="L28" s="93"/>
      <c r="M28" s="93"/>
      <c r="N28" s="93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47"/>
      <c r="DP28" s="47"/>
      <c r="DQ28" s="47"/>
      <c r="DR28" s="47"/>
      <c r="DS28" s="47"/>
      <c r="DT28" s="47"/>
      <c r="DU28" s="47"/>
      <c r="DV28" s="47"/>
      <c r="DW28" s="47"/>
      <c r="DX28" s="47"/>
      <c r="DY28" s="47"/>
      <c r="DZ28" s="219"/>
      <c r="EA28" s="231"/>
      <c r="EB28" s="231"/>
      <c r="EC28" s="231"/>
      <c r="ED28" s="231"/>
      <c r="EE28" s="231"/>
      <c r="EF28" s="231"/>
      <c r="EG28" s="231"/>
      <c r="EH28" s="231"/>
      <c r="EI28" s="231"/>
      <c r="EJ28" s="231"/>
      <c r="EK28" s="231"/>
      <c r="EL28" s="231"/>
      <c r="EM28" s="231"/>
      <c r="EN28" s="231"/>
      <c r="EO28" s="231"/>
      <c r="EP28" s="231"/>
      <c r="EQ28" s="231"/>
    </row>
    <row r="29" spans="1:147" ht="22.9" hidden="1" customHeight="1" outlineLevel="2" x14ac:dyDescent="0.2">
      <c r="A29" s="146" t="s">
        <v>516</v>
      </c>
      <c r="B29" s="53" t="s">
        <v>411</v>
      </c>
      <c r="C29" s="50" t="s">
        <v>133</v>
      </c>
      <c r="D29" s="165">
        <v>1</v>
      </c>
      <c r="E29" s="158">
        <v>1</v>
      </c>
      <c r="F29" s="52">
        <f>SUM(H29:DY29)*E29*Table1[[#This Row],[Cycles]]</f>
        <v>0</v>
      </c>
      <c r="G29" s="46">
        <f t="shared" si="17"/>
        <v>0</v>
      </c>
      <c r="H29" s="93"/>
      <c r="I29" s="93"/>
      <c r="J29" s="93"/>
      <c r="K29" s="93"/>
      <c r="L29" s="93"/>
      <c r="M29" s="93"/>
      <c r="N29" s="93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219"/>
      <c r="EA29" s="231"/>
      <c r="EB29" s="231"/>
      <c r="EC29" s="231"/>
      <c r="ED29" s="231"/>
      <c r="EE29" s="231"/>
      <c r="EF29" s="231"/>
      <c r="EG29" s="231"/>
      <c r="EH29" s="231"/>
      <c r="EI29" s="231"/>
      <c r="EJ29" s="231"/>
      <c r="EK29" s="231"/>
      <c r="EL29" s="231"/>
      <c r="EM29" s="231"/>
      <c r="EN29" s="231"/>
      <c r="EO29" s="231"/>
      <c r="EP29" s="231"/>
      <c r="EQ29" s="231"/>
    </row>
    <row r="30" spans="1:147" ht="22.9" hidden="1" customHeight="1" outlineLevel="2" x14ac:dyDescent="0.2">
      <c r="A30" s="146" t="s">
        <v>517</v>
      </c>
      <c r="B30" s="53" t="s">
        <v>6</v>
      </c>
      <c r="C30" s="50" t="s">
        <v>133</v>
      </c>
      <c r="D30" s="165">
        <v>1</v>
      </c>
      <c r="E30" s="158">
        <v>2</v>
      </c>
      <c r="F30" s="52">
        <f>SUM(H30:DY30)*E30*Table1[[#This Row],[Cycles]]</f>
        <v>0</v>
      </c>
      <c r="G30" s="46">
        <f t="shared" si="17"/>
        <v>0</v>
      </c>
      <c r="H30" s="93"/>
      <c r="I30" s="93"/>
      <c r="J30" s="93"/>
      <c r="K30" s="93"/>
      <c r="L30" s="93"/>
      <c r="M30" s="93"/>
      <c r="N30" s="93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7"/>
      <c r="CJ30" s="47"/>
      <c r="CK30" s="47"/>
      <c r="CL30" s="47"/>
      <c r="CM30" s="47"/>
      <c r="CN30" s="47"/>
      <c r="CO30" s="47"/>
      <c r="CP30" s="47"/>
      <c r="CQ30" s="47"/>
      <c r="CR30" s="47"/>
      <c r="CS30" s="47"/>
      <c r="CT30" s="47"/>
      <c r="CU30" s="47"/>
      <c r="CV30" s="47"/>
      <c r="CW30" s="47"/>
      <c r="CX30" s="47"/>
      <c r="CY30" s="47"/>
      <c r="CZ30" s="47"/>
      <c r="DA30" s="47"/>
      <c r="DB30" s="47"/>
      <c r="DC30" s="47"/>
      <c r="DD30" s="47"/>
      <c r="DE30" s="47"/>
      <c r="DF30" s="47"/>
      <c r="DG30" s="47"/>
      <c r="DH30" s="47"/>
      <c r="DI30" s="47"/>
      <c r="DJ30" s="47"/>
      <c r="DK30" s="47"/>
      <c r="DL30" s="47"/>
      <c r="DM30" s="47"/>
      <c r="DN30" s="47"/>
      <c r="DO30" s="47"/>
      <c r="DP30" s="47"/>
      <c r="DQ30" s="47"/>
      <c r="DR30" s="47"/>
      <c r="DS30" s="47"/>
      <c r="DT30" s="47"/>
      <c r="DU30" s="47"/>
      <c r="DV30" s="47"/>
      <c r="DW30" s="47"/>
      <c r="DX30" s="47"/>
      <c r="DY30" s="47"/>
      <c r="DZ30" s="219"/>
      <c r="EA30" s="231"/>
      <c r="EB30" s="231"/>
      <c r="EC30" s="231"/>
      <c r="ED30" s="231"/>
      <c r="EE30" s="231"/>
      <c r="EF30" s="231"/>
      <c r="EG30" s="231"/>
      <c r="EH30" s="231"/>
      <c r="EI30" s="231"/>
      <c r="EJ30" s="231"/>
      <c r="EK30" s="231"/>
      <c r="EL30" s="231"/>
      <c r="EM30" s="231"/>
      <c r="EN30" s="231"/>
      <c r="EO30" s="231"/>
      <c r="EP30" s="231"/>
      <c r="EQ30" s="231"/>
    </row>
    <row r="31" spans="1:147" ht="22.9" hidden="1" customHeight="1" outlineLevel="2" x14ac:dyDescent="0.2">
      <c r="A31" s="146" t="s">
        <v>518</v>
      </c>
      <c r="B31" s="53" t="s">
        <v>9</v>
      </c>
      <c r="C31" s="50" t="s">
        <v>133</v>
      </c>
      <c r="D31" s="165">
        <v>1</v>
      </c>
      <c r="E31" s="158">
        <v>1</v>
      </c>
      <c r="F31" s="52">
        <f>SUM(H31:DY31)*E31*Table1[[#This Row],[Cycles]]</f>
        <v>0</v>
      </c>
      <c r="G31" s="46">
        <f t="shared" si="17"/>
        <v>0</v>
      </c>
      <c r="H31" s="93"/>
      <c r="I31" s="93"/>
      <c r="J31" s="93"/>
      <c r="K31" s="93"/>
      <c r="L31" s="93"/>
      <c r="M31" s="93"/>
      <c r="N31" s="93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219"/>
      <c r="EA31" s="231"/>
      <c r="EB31" s="231"/>
      <c r="EC31" s="231"/>
      <c r="ED31" s="231"/>
      <c r="EE31" s="231"/>
      <c r="EF31" s="231"/>
      <c r="EG31" s="231"/>
      <c r="EH31" s="231"/>
      <c r="EI31" s="231"/>
      <c r="EJ31" s="231"/>
      <c r="EK31" s="231"/>
      <c r="EL31" s="231"/>
      <c r="EM31" s="231"/>
      <c r="EN31" s="231"/>
      <c r="EO31" s="231"/>
      <c r="EP31" s="231"/>
      <c r="EQ31" s="231"/>
    </row>
    <row r="32" spans="1:147" ht="22.9" hidden="1" customHeight="1" outlineLevel="2" x14ac:dyDescent="0.2">
      <c r="A32" s="146" t="s">
        <v>519</v>
      </c>
      <c r="B32" s="53" t="s">
        <v>10</v>
      </c>
      <c r="C32" s="50" t="s">
        <v>133</v>
      </c>
      <c r="D32" s="165">
        <v>1</v>
      </c>
      <c r="E32" s="158">
        <v>1</v>
      </c>
      <c r="F32" s="52">
        <f>SUM(H32:DY32)*E32*Table1[[#This Row],[Cycles]]</f>
        <v>0</v>
      </c>
      <c r="G32" s="46">
        <f t="shared" si="17"/>
        <v>0</v>
      </c>
      <c r="H32" s="93"/>
      <c r="I32" s="93"/>
      <c r="J32" s="93"/>
      <c r="K32" s="93"/>
      <c r="L32" s="93"/>
      <c r="M32" s="93"/>
      <c r="N32" s="93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219"/>
      <c r="EA32" s="231"/>
      <c r="EB32" s="231"/>
      <c r="EC32" s="231"/>
      <c r="ED32" s="231"/>
      <c r="EE32" s="231"/>
      <c r="EF32" s="231"/>
      <c r="EG32" s="231"/>
      <c r="EH32" s="231"/>
      <c r="EI32" s="231"/>
      <c r="EJ32" s="231"/>
      <c r="EK32" s="231"/>
      <c r="EL32" s="231"/>
      <c r="EM32" s="231"/>
      <c r="EN32" s="231"/>
      <c r="EO32" s="231"/>
      <c r="EP32" s="231"/>
      <c r="EQ32" s="231"/>
    </row>
    <row r="33" spans="1:147" s="40" customFormat="1" ht="22.9" customHeight="1" x14ac:dyDescent="0.2">
      <c r="A33" s="148" t="s">
        <v>520</v>
      </c>
      <c r="B33" s="48" t="s">
        <v>409</v>
      </c>
      <c r="C33" s="33"/>
      <c r="D33" s="162"/>
      <c r="E33" s="163"/>
      <c r="F33" s="31" cm="1">
        <f t="array" ref="F33">SumByColor(F34:F53,REFERENCE!$G$2)</f>
        <v>10</v>
      </c>
      <c r="G33" s="31" cm="1">
        <f t="array" ref="G33">SumByColor(G34:G53,REFERENCE!$G$2)</f>
        <v>950</v>
      </c>
      <c r="H33" s="31" cm="1">
        <f t="array" ref="H33">SumByColor(H34:H53,REFERENCE!$G$2)</f>
        <v>0</v>
      </c>
      <c r="I33" s="31" cm="1">
        <f t="array" ref="I33">SumByColor(I34:I53,REFERENCE!$G$2)</f>
        <v>0</v>
      </c>
      <c r="J33" s="31" cm="1">
        <f t="array" ref="J33">SumByColor(J34:J53,REFERENCE!$G$2)</f>
        <v>0</v>
      </c>
      <c r="K33" s="31" cm="1">
        <f t="array" ref="K33">SumByColor(K34:K53,REFERENCE!$G$2)</f>
        <v>0</v>
      </c>
      <c r="L33" s="31" cm="1">
        <f t="array" ref="L33">SumByColor(L34:L53,REFERENCE!$G$2)</f>
        <v>0</v>
      </c>
      <c r="M33" s="31" cm="1">
        <f t="array" ref="M33">SumByColor(M34:M53,REFERENCE!$G$2)</f>
        <v>0</v>
      </c>
      <c r="N33" s="31" cm="1">
        <f t="array" ref="N33">SumByColor(N34:N53,REFERENCE!$G$2)</f>
        <v>0</v>
      </c>
      <c r="O33" s="31" cm="1">
        <f t="array" ref="O33">SumByColor(O34:O53,REFERENCE!$G$2)</f>
        <v>0</v>
      </c>
      <c r="P33" s="31" cm="1">
        <f t="array" ref="P33">SumByColor(P34:P53,REFERENCE!$G$2)</f>
        <v>0</v>
      </c>
      <c r="Q33" s="31" cm="1">
        <f t="array" ref="Q33">SumByColor(Q34:Q53,REFERENCE!$G$2)</f>
        <v>0</v>
      </c>
      <c r="R33" s="31" cm="1">
        <f t="array" ref="R33">SumByColor(R34:R53,REFERENCE!$G$2)</f>
        <v>0</v>
      </c>
      <c r="S33" s="31" cm="1">
        <f t="array" ref="S33">SumByColor(S34:S53,REFERENCE!$G$2)</f>
        <v>0</v>
      </c>
      <c r="T33" s="31" cm="1">
        <f t="array" ref="T33">SumByColor(T34:T53,REFERENCE!$G$2)</f>
        <v>0</v>
      </c>
      <c r="U33" s="31" cm="1">
        <f t="array" ref="U33">SumByColor(U34:U53,REFERENCE!$G$2)</f>
        <v>0</v>
      </c>
      <c r="V33" s="31" cm="1">
        <f t="array" ref="V33">SumByColor(V34:V53,REFERENCE!$G$2)</f>
        <v>0</v>
      </c>
      <c r="W33" s="31" cm="1">
        <f t="array" ref="W33">SumByColor(W34:W53,REFERENCE!$G$2)</f>
        <v>0</v>
      </c>
      <c r="X33" s="31" cm="1">
        <f t="array" ref="X33">SumByColor(X34:X53,REFERENCE!$G$2)</f>
        <v>0</v>
      </c>
      <c r="Y33" s="31" cm="1">
        <f t="array" ref="Y33">SumByColor(Y34:Y53,REFERENCE!$G$2)</f>
        <v>0</v>
      </c>
      <c r="Z33" s="31" cm="1">
        <f t="array" ref="Z33">SumByColor(Z34:Z53,REFERENCE!$G$2)</f>
        <v>0</v>
      </c>
      <c r="AA33" s="31" cm="1">
        <f t="array" ref="AA33">SumByColor(AA34:AA53,REFERENCE!$G$2)</f>
        <v>0</v>
      </c>
      <c r="AB33" s="31" cm="1">
        <f t="array" ref="AB33">SumByColor(AB34:AB53,REFERENCE!$G$2)</f>
        <v>0</v>
      </c>
      <c r="AC33" s="31" cm="1">
        <f t="array" ref="AC33">SumByColor(AC34:AC53,REFERENCE!$G$2)</f>
        <v>0</v>
      </c>
      <c r="AD33" s="31" cm="1">
        <f t="array" ref="AD33">SumByColor(AD34:AD53,REFERENCE!$G$2)</f>
        <v>0</v>
      </c>
      <c r="AE33" s="31" cm="1">
        <f t="array" ref="AE33">SumByColor(AE34:AE53,REFERENCE!$G$2)</f>
        <v>0</v>
      </c>
      <c r="AF33" s="31" cm="1">
        <f t="array" ref="AF33">SumByColor(AF34:AF53,REFERENCE!$G$2)</f>
        <v>0</v>
      </c>
      <c r="AG33" s="31" cm="1">
        <f t="array" ref="AG33">SumByColor(AG34:AG53,REFERENCE!$G$2)</f>
        <v>0</v>
      </c>
      <c r="AH33" s="31" cm="1">
        <f t="array" ref="AH33">SumByColor(AH34:AH53,REFERENCE!$G$2)</f>
        <v>0</v>
      </c>
      <c r="AI33" s="31" cm="1">
        <f t="array" ref="AI33">SumByColor(AI34:AI53,REFERENCE!$G$2)</f>
        <v>0</v>
      </c>
      <c r="AJ33" s="31" cm="1">
        <f t="array" ref="AJ33">SumByColor(AJ34:AJ53,REFERENCE!$G$2)</f>
        <v>0</v>
      </c>
      <c r="AK33" s="31" cm="1">
        <f t="array" ref="AK33">SumByColor(AK34:AK53,REFERENCE!$G$2)</f>
        <v>0</v>
      </c>
      <c r="AL33" s="31" cm="1">
        <f t="array" ref="AL33">SumByColor(AL34:AL53,REFERENCE!$G$2)</f>
        <v>0</v>
      </c>
      <c r="AM33" s="31" cm="1">
        <f t="array" ref="AM33">SumByColor(AM34:AM53,REFERENCE!$G$2)</f>
        <v>0</v>
      </c>
      <c r="AN33" s="31" cm="1">
        <f t="array" ref="AN33">SumByColor(AN34:AN53,REFERENCE!$G$2)</f>
        <v>0</v>
      </c>
      <c r="AO33" s="31" cm="1">
        <f t="array" ref="AO33">SumByColor(AO34:AO53,REFERENCE!$G$2)</f>
        <v>0</v>
      </c>
      <c r="AP33" s="31" cm="1">
        <f t="array" ref="AP33">SumByColor(AP34:AP53,REFERENCE!$G$2)</f>
        <v>0</v>
      </c>
      <c r="AQ33" s="31" cm="1">
        <f t="array" ref="AQ33">SumByColor(AQ34:AQ53,REFERENCE!$G$2)</f>
        <v>0</v>
      </c>
      <c r="AR33" s="31" cm="1">
        <f t="array" ref="AR33">SumByColor(AR34:AR53,REFERENCE!$G$2)</f>
        <v>0</v>
      </c>
      <c r="AS33" s="31" cm="1">
        <f t="array" ref="AS33">SumByColor(AS34:AS53,REFERENCE!$G$2)</f>
        <v>0</v>
      </c>
      <c r="AT33" s="31" cm="1">
        <f t="array" ref="AT33">SumByColor(AT34:AT53,REFERENCE!$G$2)</f>
        <v>0</v>
      </c>
      <c r="AU33" s="31" cm="1">
        <f t="array" ref="AU33">SumByColor(AU34:AU53,REFERENCE!$G$2)</f>
        <v>0</v>
      </c>
      <c r="AV33" s="31" cm="1">
        <f t="array" ref="AV33">SumByColor(AV34:AV53,REFERENCE!$G$2)</f>
        <v>0</v>
      </c>
      <c r="AW33" s="31" cm="1">
        <f t="array" ref="AW33">SumByColor(AW34:AW53,REFERENCE!$G$2)</f>
        <v>0</v>
      </c>
      <c r="AX33" s="31" cm="1">
        <f t="array" ref="AX33">SumByColor(AX34:AX53,REFERENCE!$G$2)</f>
        <v>0</v>
      </c>
      <c r="AY33" s="31" cm="1">
        <f t="array" ref="AY33">SumByColor(AY34:AY53,REFERENCE!$G$2)</f>
        <v>0</v>
      </c>
      <c r="AZ33" s="31" cm="1">
        <f t="array" ref="AZ33">SumByColor(AZ34:AZ53,REFERENCE!$G$2)</f>
        <v>0</v>
      </c>
      <c r="BA33" s="31" cm="1">
        <f t="array" ref="BA33">SumByColor(BA34:BA53,REFERENCE!$G$2)</f>
        <v>0</v>
      </c>
      <c r="BB33" s="31" cm="1">
        <f t="array" ref="BB33">SumByColor(BB34:BB53,REFERENCE!$G$2)</f>
        <v>0</v>
      </c>
      <c r="BC33" s="31" cm="1">
        <f t="array" ref="BC33">SumByColor(BC34:BC53,REFERENCE!$G$2)</f>
        <v>0</v>
      </c>
      <c r="BD33" s="31" cm="1">
        <f t="array" ref="BD33">SumByColor(BD34:BD53,REFERENCE!$G$2)</f>
        <v>0</v>
      </c>
      <c r="BE33" s="31" cm="1">
        <f t="array" ref="BE33">SumByColor(BE34:BE53,REFERENCE!$G$2)</f>
        <v>0</v>
      </c>
      <c r="BF33" s="31" cm="1">
        <f t="array" ref="BF33">SumByColor(BF34:BF53,REFERENCE!$G$2)</f>
        <v>0</v>
      </c>
      <c r="BG33" s="31" cm="1">
        <f t="array" ref="BG33">SumByColor(BG34:BG53,REFERENCE!$G$2)</f>
        <v>0</v>
      </c>
      <c r="BH33" s="31" cm="1">
        <f t="array" ref="BH33">SumByColor(BH34:BH53,REFERENCE!$G$2)</f>
        <v>0</v>
      </c>
      <c r="BI33" s="31" cm="1">
        <f t="array" ref="BI33">SumByColor(BI34:BI53,REFERENCE!$G$2)</f>
        <v>0</v>
      </c>
      <c r="BJ33" s="31" cm="1">
        <f t="array" ref="BJ33">SumByColor(BJ34:BJ53,REFERENCE!$G$2)</f>
        <v>0</v>
      </c>
      <c r="BK33" s="31" cm="1">
        <f t="array" ref="BK33">SumByColor(BK34:BK53,REFERENCE!$G$2)</f>
        <v>0</v>
      </c>
      <c r="BL33" s="31" cm="1">
        <f t="array" ref="BL33">SumByColor(BL34:BL53,REFERENCE!$G$2)</f>
        <v>0</v>
      </c>
      <c r="BM33" s="31" cm="1">
        <f t="array" ref="BM33">SumByColor(BM34:BM53,REFERENCE!$G$2)</f>
        <v>0</v>
      </c>
      <c r="BN33" s="31" cm="1">
        <f t="array" ref="BN33">SumByColor(BN34:BN53,REFERENCE!$G$2)</f>
        <v>0</v>
      </c>
      <c r="BO33" s="31" cm="1">
        <f t="array" ref="BO33">SumByColor(BO34:BO53,REFERENCE!$G$2)</f>
        <v>0</v>
      </c>
      <c r="BP33" s="31" cm="1">
        <f t="array" ref="BP33">SumByColor(BP34:BP53,REFERENCE!$G$2)</f>
        <v>0</v>
      </c>
      <c r="BQ33" s="31" cm="1">
        <f t="array" ref="BQ33">SumByColor(BQ34:BQ53,REFERENCE!$G$2)</f>
        <v>0</v>
      </c>
      <c r="BR33" s="31" cm="1">
        <f t="array" ref="BR33">SumByColor(BR34:BR53,REFERENCE!$G$2)</f>
        <v>0</v>
      </c>
      <c r="BS33" s="31" cm="1">
        <f t="array" ref="BS33">SumByColor(BS34:BS53,REFERENCE!$G$2)</f>
        <v>0</v>
      </c>
      <c r="BT33" s="31" cm="1">
        <f t="array" ref="BT33">SumByColor(BT34:BT53,REFERENCE!$G$2)</f>
        <v>0</v>
      </c>
      <c r="BU33" s="31" cm="1">
        <f t="array" ref="BU33">SumByColor(BU34:BU53,REFERENCE!$G$2)</f>
        <v>0</v>
      </c>
      <c r="BV33" s="31" cm="1">
        <f t="array" ref="BV33">SumByColor(BV34:BV53,REFERENCE!$G$2)</f>
        <v>0</v>
      </c>
      <c r="BW33" s="31" cm="1">
        <f t="array" ref="BW33">SumByColor(BW34:BW53,REFERENCE!$G$2)</f>
        <v>0</v>
      </c>
      <c r="BX33" s="31" cm="1">
        <f t="array" ref="BX33">SumByColor(BX34:BX53,REFERENCE!$G$2)</f>
        <v>0</v>
      </c>
      <c r="BY33" s="31" cm="1">
        <f t="array" ref="BY33">SumByColor(BY34:BY53,REFERENCE!$G$2)</f>
        <v>0</v>
      </c>
      <c r="BZ33" s="31" cm="1">
        <f t="array" ref="BZ33">SumByColor(BZ34:BZ53,REFERENCE!$G$2)</f>
        <v>0</v>
      </c>
      <c r="CA33" s="31" cm="1">
        <f t="array" ref="CA33">SumByColor(CA34:CA53,REFERENCE!$G$2)</f>
        <v>0</v>
      </c>
      <c r="CB33" s="31" cm="1">
        <f t="array" ref="CB33">SumByColor(CB34:CB53,REFERENCE!$G$2)</f>
        <v>0</v>
      </c>
      <c r="CC33" s="31" cm="1">
        <f t="array" ref="CC33">SumByColor(CC34:CC53,REFERENCE!$G$2)</f>
        <v>0</v>
      </c>
      <c r="CD33" s="31" cm="1">
        <f t="array" ref="CD33">SumByColor(CD34:CD53,REFERENCE!$G$2)</f>
        <v>0</v>
      </c>
      <c r="CE33" s="31" cm="1">
        <f t="array" ref="CE33">SumByColor(CE34:CE53,REFERENCE!$G$2)</f>
        <v>0</v>
      </c>
      <c r="CF33" s="31" cm="1">
        <f t="array" ref="CF33">SumByColor(CF34:CF53,REFERENCE!$G$2)</f>
        <v>0</v>
      </c>
      <c r="CG33" s="31" cm="1">
        <f t="array" ref="CG33">SumByColor(CG34:CG53,REFERENCE!$G$2)</f>
        <v>0</v>
      </c>
      <c r="CH33" s="31" cm="1">
        <f t="array" ref="CH33">SumByColor(CH34:CH53,REFERENCE!$G$2)</f>
        <v>0</v>
      </c>
      <c r="CI33" s="31" cm="1">
        <f t="array" ref="CI33">SumByColor(CI34:CI53,REFERENCE!$G$2)</f>
        <v>0</v>
      </c>
      <c r="CJ33" s="31" cm="1">
        <f t="array" ref="CJ33">SumByColor(CJ34:CJ53,REFERENCE!$G$2)</f>
        <v>0</v>
      </c>
      <c r="CK33" s="31" cm="1">
        <f t="array" ref="CK33">SumByColor(CK34:CK53,REFERENCE!$G$2)</f>
        <v>0</v>
      </c>
      <c r="CL33" s="31" cm="1">
        <f t="array" ref="CL33">SumByColor(CL34:CL53,REFERENCE!$G$2)</f>
        <v>0</v>
      </c>
      <c r="CM33" s="31" cm="1">
        <f t="array" ref="CM33">SumByColor(CM34:CM53,REFERENCE!$G$2)</f>
        <v>0</v>
      </c>
      <c r="CN33" s="31" cm="1">
        <f t="array" ref="CN33">SumByColor(CN34:CN53,REFERENCE!$G$2)</f>
        <v>0</v>
      </c>
      <c r="CO33" s="31" cm="1">
        <f t="array" ref="CO33">SumByColor(CO34:CO53,REFERENCE!$G$2)</f>
        <v>0</v>
      </c>
      <c r="CP33" s="31" cm="1">
        <f t="array" ref="CP33">SumByColor(CP34:CP53,REFERENCE!$G$2)</f>
        <v>0</v>
      </c>
      <c r="CQ33" s="31" cm="1">
        <f t="array" ref="CQ33">SumByColor(CQ34:CQ53,REFERENCE!$G$2)</f>
        <v>0</v>
      </c>
      <c r="CR33" s="31" cm="1">
        <f t="array" ref="CR33">SumByColor(CR34:CR53,REFERENCE!$G$2)</f>
        <v>0</v>
      </c>
      <c r="CS33" s="31" cm="1">
        <f t="array" ref="CS33">SumByColor(CS34:CS53,REFERENCE!$G$2)</f>
        <v>0</v>
      </c>
      <c r="CT33" s="31" cm="1">
        <f t="array" ref="CT33">SumByColor(CT34:CT53,REFERENCE!$G$2)</f>
        <v>0</v>
      </c>
      <c r="CU33" s="31" cm="1">
        <f t="array" ref="CU33">SumByColor(CU34:CU53,REFERENCE!$G$2)</f>
        <v>0</v>
      </c>
      <c r="CV33" s="31" cm="1">
        <f t="array" ref="CV33">SumByColor(CV34:CV53,REFERENCE!$G$2)</f>
        <v>0</v>
      </c>
      <c r="CW33" s="31" cm="1">
        <f t="array" ref="CW33">SumByColor(CW34:CW53,REFERENCE!$G$2)</f>
        <v>0</v>
      </c>
      <c r="CX33" s="31" cm="1">
        <f t="array" ref="CX33">SumByColor(CX34:CX53,REFERENCE!$G$2)</f>
        <v>0</v>
      </c>
      <c r="CY33" s="31" cm="1">
        <f t="array" ref="CY33">SumByColor(CY34:CY53,REFERENCE!$G$2)</f>
        <v>0</v>
      </c>
      <c r="CZ33" s="31" cm="1">
        <f t="array" ref="CZ33">SumByColor(CZ34:CZ53,REFERENCE!$G$2)</f>
        <v>0</v>
      </c>
      <c r="DA33" s="31" cm="1">
        <f t="array" ref="DA33">SumByColor(DA34:DA53,REFERENCE!$G$2)</f>
        <v>0</v>
      </c>
      <c r="DB33" s="31" cm="1">
        <f t="array" ref="DB33">SumByColor(DB34:DB53,REFERENCE!$G$2)</f>
        <v>0</v>
      </c>
      <c r="DC33" s="31" cm="1">
        <f t="array" ref="DC33">SumByColor(DC34:DC53,REFERENCE!$G$2)</f>
        <v>0</v>
      </c>
      <c r="DD33" s="31" cm="1">
        <f t="array" ref="DD33">SumByColor(DD34:DD53,REFERENCE!$G$2)</f>
        <v>0</v>
      </c>
      <c r="DE33" s="31" cm="1">
        <f t="array" ref="DE33">SumByColor(DE34:DE53,REFERENCE!$G$2)</f>
        <v>0</v>
      </c>
      <c r="DF33" s="31" cm="1">
        <f t="array" ref="DF33">SumByColor(DF34:DF53,REFERENCE!$G$2)</f>
        <v>0</v>
      </c>
      <c r="DG33" s="31" cm="1">
        <f t="array" ref="DG33">SumByColor(DG34:DG53,REFERENCE!$G$2)</f>
        <v>0</v>
      </c>
      <c r="DH33" s="31" cm="1">
        <f t="array" ref="DH33">SumByColor(DH34:DH53,REFERENCE!$G$2)</f>
        <v>0</v>
      </c>
      <c r="DI33" s="31" cm="1">
        <f t="array" ref="DI33">SumByColor(DI34:DI53,REFERENCE!$G$2)</f>
        <v>0</v>
      </c>
      <c r="DJ33" s="31" cm="1">
        <f t="array" ref="DJ33">SumByColor(DJ34:DJ53,REFERENCE!$G$2)</f>
        <v>0</v>
      </c>
      <c r="DK33" s="31" cm="1">
        <f t="array" ref="DK33">SumByColor(DK34:DK53,REFERENCE!$G$2)</f>
        <v>0</v>
      </c>
      <c r="DL33" s="31" cm="1">
        <f t="array" ref="DL33">SumByColor(DL34:DL53,REFERENCE!$G$2)</f>
        <v>0</v>
      </c>
      <c r="DM33" s="31" cm="1">
        <f t="array" ref="DM33">SumByColor(DM34:DM53,REFERENCE!$G$2)</f>
        <v>0</v>
      </c>
      <c r="DN33" s="31" cm="1">
        <f t="array" ref="DN33">SumByColor(DN34:DN53,REFERENCE!$G$2)</f>
        <v>0</v>
      </c>
      <c r="DO33" s="31" cm="1">
        <f t="array" ref="DO33">SumByColor(DO34:DO53,REFERENCE!$G$2)</f>
        <v>0</v>
      </c>
      <c r="DP33" s="31" cm="1">
        <f t="array" ref="DP33">SumByColor(DP34:DP53,REFERENCE!$G$2)</f>
        <v>0</v>
      </c>
      <c r="DQ33" s="31" cm="1">
        <f t="array" ref="DQ33">SumByColor(DQ34:DQ53,REFERENCE!$G$2)</f>
        <v>0</v>
      </c>
      <c r="DR33" s="31" cm="1">
        <f t="array" ref="DR33">SumByColor(DR34:DR53,REFERENCE!$G$2)</f>
        <v>0</v>
      </c>
      <c r="DS33" s="31" cm="1">
        <f t="array" ref="DS33">SumByColor(DS34:DS53,REFERENCE!$G$2)</f>
        <v>0</v>
      </c>
      <c r="DT33" s="31" cm="1">
        <f t="array" ref="DT33">SumByColor(DT34:DT53,REFERENCE!$G$2)</f>
        <v>0</v>
      </c>
      <c r="DU33" s="31" cm="1">
        <f t="array" ref="DU33">SumByColor(DU34:DU53,REFERENCE!$G$2)</f>
        <v>0</v>
      </c>
      <c r="DV33" s="31" cm="1">
        <f t="array" ref="DV33">SumByColor(DV34:DV53,REFERENCE!$G$2)</f>
        <v>0</v>
      </c>
      <c r="DW33" s="31" cm="1">
        <f t="array" ref="DW33">SumByColor(DW34:DW53,REFERENCE!$G$2)</f>
        <v>0</v>
      </c>
      <c r="DX33" s="31" cm="1">
        <f t="array" ref="DX33">SumByColor(DX34:DX53,REFERENCE!$G$2)</f>
        <v>0</v>
      </c>
      <c r="DY33" s="31" cm="1">
        <f t="array" ref="DY33">SumByColor(DY34:DY53,REFERENCE!$G$2)</f>
        <v>0</v>
      </c>
      <c r="DZ33" s="218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 s="232"/>
      <c r="EN33" s="232"/>
      <c r="EO33" s="232"/>
      <c r="EP33" s="232"/>
      <c r="EQ33" s="232"/>
    </row>
    <row r="34" spans="1:147" ht="22.9" hidden="1" customHeight="1" outlineLevel="2" x14ac:dyDescent="0.2">
      <c r="A34" s="149" t="s">
        <v>536</v>
      </c>
      <c r="B34" s="34" t="s">
        <v>210</v>
      </c>
      <c r="C34" s="30" t="s">
        <v>100</v>
      </c>
      <c r="D34" s="164"/>
      <c r="E34" s="164"/>
      <c r="F34" s="45">
        <f>SUM(F35:F37)</f>
        <v>0</v>
      </c>
      <c r="G34" s="44">
        <f>SUM(G35:G37)</f>
        <v>0</v>
      </c>
      <c r="H34" s="45">
        <f>SUMPRODUCT($E$35:$E$37,$D$35:$D$37,H35:H37)</f>
        <v>0</v>
      </c>
      <c r="I34" s="45">
        <f t="shared" ref="I34:BT34" si="18">SUMPRODUCT($E$35:$E$37,$D$35:$D$37,I35:I37)</f>
        <v>0</v>
      </c>
      <c r="J34" s="45">
        <f t="shared" si="18"/>
        <v>0</v>
      </c>
      <c r="K34" s="45">
        <f t="shared" si="18"/>
        <v>0</v>
      </c>
      <c r="L34" s="45">
        <f t="shared" si="18"/>
        <v>0</v>
      </c>
      <c r="M34" s="45">
        <f t="shared" si="18"/>
        <v>0</v>
      </c>
      <c r="N34" s="45">
        <f t="shared" si="18"/>
        <v>0</v>
      </c>
      <c r="O34" s="45">
        <f t="shared" si="18"/>
        <v>0</v>
      </c>
      <c r="P34" s="45">
        <f t="shared" si="18"/>
        <v>0</v>
      </c>
      <c r="Q34" s="45">
        <f t="shared" si="18"/>
        <v>0</v>
      </c>
      <c r="R34" s="45">
        <f t="shared" si="18"/>
        <v>0</v>
      </c>
      <c r="S34" s="45">
        <f t="shared" si="18"/>
        <v>0</v>
      </c>
      <c r="T34" s="45">
        <f t="shared" si="18"/>
        <v>0</v>
      </c>
      <c r="U34" s="45">
        <f t="shared" si="18"/>
        <v>0</v>
      </c>
      <c r="V34" s="45">
        <f t="shared" si="18"/>
        <v>0</v>
      </c>
      <c r="W34" s="45">
        <f t="shared" si="18"/>
        <v>0</v>
      </c>
      <c r="X34" s="45">
        <f t="shared" si="18"/>
        <v>0</v>
      </c>
      <c r="Y34" s="45">
        <f t="shared" si="18"/>
        <v>0</v>
      </c>
      <c r="Z34" s="45">
        <f t="shared" si="18"/>
        <v>0</v>
      </c>
      <c r="AA34" s="45">
        <f t="shared" si="18"/>
        <v>0</v>
      </c>
      <c r="AB34" s="45">
        <f t="shared" si="18"/>
        <v>0</v>
      </c>
      <c r="AC34" s="45">
        <f t="shared" si="18"/>
        <v>0</v>
      </c>
      <c r="AD34" s="45">
        <f t="shared" si="18"/>
        <v>0</v>
      </c>
      <c r="AE34" s="45">
        <f t="shared" si="18"/>
        <v>0</v>
      </c>
      <c r="AF34" s="45">
        <f t="shared" si="18"/>
        <v>0</v>
      </c>
      <c r="AG34" s="45">
        <f t="shared" si="18"/>
        <v>0</v>
      </c>
      <c r="AH34" s="45">
        <f t="shared" si="18"/>
        <v>0</v>
      </c>
      <c r="AI34" s="45">
        <f t="shared" si="18"/>
        <v>0</v>
      </c>
      <c r="AJ34" s="45">
        <f t="shared" si="18"/>
        <v>0</v>
      </c>
      <c r="AK34" s="45">
        <f t="shared" si="18"/>
        <v>0</v>
      </c>
      <c r="AL34" s="45">
        <f t="shared" si="18"/>
        <v>0</v>
      </c>
      <c r="AM34" s="45">
        <f t="shared" si="18"/>
        <v>0</v>
      </c>
      <c r="AN34" s="45">
        <f t="shared" si="18"/>
        <v>0</v>
      </c>
      <c r="AO34" s="45">
        <f t="shared" si="18"/>
        <v>0</v>
      </c>
      <c r="AP34" s="45">
        <f t="shared" si="18"/>
        <v>0</v>
      </c>
      <c r="AQ34" s="45">
        <f t="shared" si="18"/>
        <v>0</v>
      </c>
      <c r="AR34" s="45">
        <f t="shared" si="18"/>
        <v>0</v>
      </c>
      <c r="AS34" s="45">
        <f t="shared" si="18"/>
        <v>0</v>
      </c>
      <c r="AT34" s="45">
        <f t="shared" si="18"/>
        <v>0</v>
      </c>
      <c r="AU34" s="45">
        <f t="shared" si="18"/>
        <v>0</v>
      </c>
      <c r="AV34" s="45">
        <f t="shared" si="18"/>
        <v>0</v>
      </c>
      <c r="AW34" s="45">
        <f t="shared" si="18"/>
        <v>0</v>
      </c>
      <c r="AX34" s="45">
        <f t="shared" si="18"/>
        <v>0</v>
      </c>
      <c r="AY34" s="45">
        <f t="shared" si="18"/>
        <v>0</v>
      </c>
      <c r="AZ34" s="45">
        <f t="shared" si="18"/>
        <v>0</v>
      </c>
      <c r="BA34" s="45">
        <f t="shared" si="18"/>
        <v>0</v>
      </c>
      <c r="BB34" s="45">
        <f t="shared" si="18"/>
        <v>0</v>
      </c>
      <c r="BC34" s="45">
        <f t="shared" si="18"/>
        <v>0</v>
      </c>
      <c r="BD34" s="45">
        <f t="shared" si="18"/>
        <v>0</v>
      </c>
      <c r="BE34" s="45">
        <f t="shared" si="18"/>
        <v>0</v>
      </c>
      <c r="BF34" s="45">
        <f t="shared" si="18"/>
        <v>0</v>
      </c>
      <c r="BG34" s="45">
        <f t="shared" si="18"/>
        <v>0</v>
      </c>
      <c r="BH34" s="45">
        <f t="shared" si="18"/>
        <v>0</v>
      </c>
      <c r="BI34" s="45">
        <f t="shared" si="18"/>
        <v>0</v>
      </c>
      <c r="BJ34" s="45">
        <f t="shared" si="18"/>
        <v>0</v>
      </c>
      <c r="BK34" s="45">
        <f t="shared" si="18"/>
        <v>0</v>
      </c>
      <c r="BL34" s="45">
        <f t="shared" si="18"/>
        <v>0</v>
      </c>
      <c r="BM34" s="45">
        <f t="shared" si="18"/>
        <v>0</v>
      </c>
      <c r="BN34" s="45">
        <f t="shared" si="18"/>
        <v>0</v>
      </c>
      <c r="BO34" s="45">
        <f t="shared" si="18"/>
        <v>0</v>
      </c>
      <c r="BP34" s="45">
        <f>SUMPRODUCT($E$35:$E$37,$D$35:$D$37,BP35:BP37)</f>
        <v>0</v>
      </c>
      <c r="BQ34" s="45">
        <f t="shared" si="18"/>
        <v>0</v>
      </c>
      <c r="BR34" s="45">
        <f t="shared" si="18"/>
        <v>0</v>
      </c>
      <c r="BS34" s="45">
        <f t="shared" si="18"/>
        <v>0</v>
      </c>
      <c r="BT34" s="45">
        <f t="shared" si="18"/>
        <v>0</v>
      </c>
      <c r="BU34" s="45">
        <f t="shared" ref="BU34:DY34" si="19">SUMPRODUCT($E$35:$E$37,$D$35:$D$37,BU35:BU37)</f>
        <v>0</v>
      </c>
      <c r="BV34" s="45">
        <f>SUMPRODUCT($E$35:$E$37,$D$35:$D$37,BV35:BV37)</f>
        <v>0</v>
      </c>
      <c r="BW34" s="45">
        <f t="shared" si="19"/>
        <v>0</v>
      </c>
      <c r="BX34" s="45">
        <f t="shared" si="19"/>
        <v>0</v>
      </c>
      <c r="BY34" s="45">
        <f t="shared" si="19"/>
        <v>0</v>
      </c>
      <c r="BZ34" s="45">
        <f t="shared" si="19"/>
        <v>0</v>
      </c>
      <c r="CA34" s="45">
        <f t="shared" si="19"/>
        <v>0</v>
      </c>
      <c r="CB34" s="45">
        <f t="shared" si="19"/>
        <v>0</v>
      </c>
      <c r="CC34" s="45">
        <f t="shared" si="19"/>
        <v>0</v>
      </c>
      <c r="CD34" s="45">
        <f t="shared" si="19"/>
        <v>0</v>
      </c>
      <c r="CE34" s="45">
        <f t="shared" si="19"/>
        <v>0</v>
      </c>
      <c r="CF34" s="45">
        <f t="shared" si="19"/>
        <v>0</v>
      </c>
      <c r="CG34" s="45">
        <f t="shared" si="19"/>
        <v>0</v>
      </c>
      <c r="CH34" s="45">
        <f t="shared" si="19"/>
        <v>0</v>
      </c>
      <c r="CI34" s="45">
        <f t="shared" si="19"/>
        <v>0</v>
      </c>
      <c r="CJ34" s="45">
        <f t="shared" si="19"/>
        <v>0</v>
      </c>
      <c r="CK34" s="45">
        <f t="shared" si="19"/>
        <v>0</v>
      </c>
      <c r="CL34" s="45">
        <f t="shared" si="19"/>
        <v>0</v>
      </c>
      <c r="CM34" s="45">
        <f t="shared" si="19"/>
        <v>0</v>
      </c>
      <c r="CN34" s="45">
        <f t="shared" si="19"/>
        <v>0</v>
      </c>
      <c r="CO34" s="45">
        <f t="shared" si="19"/>
        <v>0</v>
      </c>
      <c r="CP34" s="45">
        <f t="shared" si="19"/>
        <v>0</v>
      </c>
      <c r="CQ34" s="45">
        <f t="shared" si="19"/>
        <v>0</v>
      </c>
      <c r="CR34" s="45">
        <f t="shared" si="19"/>
        <v>0</v>
      </c>
      <c r="CS34" s="45">
        <f t="shared" si="19"/>
        <v>0</v>
      </c>
      <c r="CT34" s="45">
        <f t="shared" si="19"/>
        <v>0</v>
      </c>
      <c r="CU34" s="45">
        <f t="shared" si="19"/>
        <v>0</v>
      </c>
      <c r="CV34" s="45">
        <f t="shared" si="19"/>
        <v>0</v>
      </c>
      <c r="CW34" s="45">
        <f t="shared" si="19"/>
        <v>0</v>
      </c>
      <c r="CX34" s="45">
        <f t="shared" si="19"/>
        <v>0</v>
      </c>
      <c r="CY34" s="45">
        <f t="shared" si="19"/>
        <v>0</v>
      </c>
      <c r="CZ34" s="45">
        <f t="shared" si="19"/>
        <v>0</v>
      </c>
      <c r="DA34" s="45">
        <f t="shared" si="19"/>
        <v>0</v>
      </c>
      <c r="DB34" s="45">
        <f t="shared" si="19"/>
        <v>0</v>
      </c>
      <c r="DC34" s="45">
        <f t="shared" si="19"/>
        <v>0</v>
      </c>
      <c r="DD34" s="45">
        <f t="shared" si="19"/>
        <v>0</v>
      </c>
      <c r="DE34" s="45">
        <f t="shared" si="19"/>
        <v>0</v>
      </c>
      <c r="DF34" s="45">
        <f t="shared" si="19"/>
        <v>0</v>
      </c>
      <c r="DG34" s="45">
        <f t="shared" si="19"/>
        <v>0</v>
      </c>
      <c r="DH34" s="45">
        <f t="shared" si="19"/>
        <v>0</v>
      </c>
      <c r="DI34" s="45">
        <f t="shared" si="19"/>
        <v>0</v>
      </c>
      <c r="DJ34" s="45">
        <f t="shared" si="19"/>
        <v>0</v>
      </c>
      <c r="DK34" s="45">
        <f t="shared" si="19"/>
        <v>0</v>
      </c>
      <c r="DL34" s="45">
        <f t="shared" si="19"/>
        <v>0</v>
      </c>
      <c r="DM34" s="45">
        <f t="shared" si="19"/>
        <v>0</v>
      </c>
      <c r="DN34" s="45">
        <f t="shared" si="19"/>
        <v>0</v>
      </c>
      <c r="DO34" s="45">
        <f t="shared" si="19"/>
        <v>0</v>
      </c>
      <c r="DP34" s="45">
        <f t="shared" si="19"/>
        <v>0</v>
      </c>
      <c r="DQ34" s="45">
        <f t="shared" si="19"/>
        <v>0</v>
      </c>
      <c r="DR34" s="45">
        <f t="shared" si="19"/>
        <v>0</v>
      </c>
      <c r="DS34" s="45">
        <f t="shared" si="19"/>
        <v>0</v>
      </c>
      <c r="DT34" s="45">
        <f t="shared" si="19"/>
        <v>0</v>
      </c>
      <c r="DU34" s="45">
        <f t="shared" si="19"/>
        <v>0</v>
      </c>
      <c r="DV34" s="45">
        <f t="shared" si="19"/>
        <v>0</v>
      </c>
      <c r="DW34" s="45">
        <f t="shared" si="19"/>
        <v>0</v>
      </c>
      <c r="DX34" s="45">
        <f t="shared" si="19"/>
        <v>0</v>
      </c>
      <c r="DY34" s="45">
        <f t="shared" si="19"/>
        <v>0</v>
      </c>
      <c r="DZ34" s="218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</row>
    <row r="35" spans="1:147" ht="22.9" hidden="1" customHeight="1" outlineLevel="2" x14ac:dyDescent="0.2">
      <c r="A35" s="146" t="s">
        <v>521</v>
      </c>
      <c r="B35" s="53" t="s">
        <v>3</v>
      </c>
      <c r="C35" s="50" t="s">
        <v>133</v>
      </c>
      <c r="D35" s="165">
        <v>1</v>
      </c>
      <c r="E35" s="158">
        <v>1</v>
      </c>
      <c r="F35" s="52">
        <f>SUM(H35:DY35)*E35*Table1[[#This Row],[Cycles]]</f>
        <v>0</v>
      </c>
      <c r="G35" s="46">
        <f>SUMPRODUCT($H$3:$DY$3,$H35:$DY35)*E35*D35</f>
        <v>0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219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</row>
    <row r="36" spans="1:147" ht="22.9" hidden="1" customHeight="1" outlineLevel="2" x14ac:dyDescent="0.2">
      <c r="A36" s="146" t="s">
        <v>522</v>
      </c>
      <c r="B36" s="53" t="s">
        <v>123</v>
      </c>
      <c r="C36" s="50" t="s">
        <v>133</v>
      </c>
      <c r="D36" s="165">
        <v>1</v>
      </c>
      <c r="E36" s="158">
        <v>1</v>
      </c>
      <c r="F36" s="52">
        <f>SUM(H36:DY36)*E36*Table1[[#This Row],[Cycles]]</f>
        <v>0</v>
      </c>
      <c r="G36" s="46">
        <f>SUMPRODUCT($H$3:$DY$3,$H36:$DY36)*E36*D36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7"/>
      <c r="DP36" s="47"/>
      <c r="DQ36" s="47"/>
      <c r="DR36" s="47"/>
      <c r="DS36" s="47"/>
      <c r="DT36" s="47"/>
      <c r="DU36" s="47"/>
      <c r="DV36" s="47"/>
      <c r="DW36" s="47"/>
      <c r="DX36" s="47"/>
      <c r="DY36" s="47"/>
      <c r="DZ36" s="219"/>
      <c r="EA36" s="231"/>
      <c r="EB36" s="231"/>
      <c r="EC36" s="231"/>
      <c r="ED36" s="231"/>
      <c r="EE36" s="231"/>
      <c r="EF36" s="231"/>
      <c r="EG36" s="231"/>
      <c r="EH36" s="231"/>
      <c r="EI36" s="231"/>
      <c r="EJ36" s="231"/>
      <c r="EK36" s="231"/>
      <c r="EL36" s="231"/>
      <c r="EM36" s="231"/>
      <c r="EN36" s="231"/>
      <c r="EO36" s="231"/>
      <c r="EP36" s="231"/>
      <c r="EQ36" s="231"/>
    </row>
    <row r="37" spans="1:147" ht="22.9" hidden="1" customHeight="1" outlineLevel="2" x14ac:dyDescent="0.2">
      <c r="A37" s="146" t="s">
        <v>523</v>
      </c>
      <c r="B37" s="53" t="s">
        <v>481</v>
      </c>
      <c r="C37" s="50" t="s">
        <v>133</v>
      </c>
      <c r="D37" s="165">
        <v>1</v>
      </c>
      <c r="E37" s="158">
        <v>1</v>
      </c>
      <c r="F37" s="52">
        <f>SUM(H37:DY37)*E37*Table1[[#This Row],[Cycles]]</f>
        <v>0</v>
      </c>
      <c r="G37" s="46">
        <f>SUMPRODUCT($H$3:$DY$3,$H37:$DY37)*E37*D37</f>
        <v>0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219"/>
      <c r="EA37" s="231"/>
      <c r="EB37" s="231"/>
      <c r="EC37" s="231"/>
      <c r="ED37" s="231"/>
      <c r="EE37" s="231"/>
      <c r="EF37" s="231"/>
      <c r="EG37" s="231"/>
      <c r="EH37" s="231"/>
      <c r="EI37" s="231"/>
      <c r="EJ37" s="231"/>
      <c r="EK37" s="231"/>
      <c r="EL37" s="231"/>
      <c r="EM37" s="231"/>
      <c r="EN37" s="231"/>
      <c r="EO37" s="231"/>
      <c r="EP37" s="231"/>
      <c r="EQ37" s="231"/>
    </row>
    <row r="38" spans="1:147" s="40" customFormat="1" ht="22.9" customHeight="1" outlineLevel="1" collapsed="1" x14ac:dyDescent="0.2">
      <c r="A38" s="149" t="s">
        <v>455</v>
      </c>
      <c r="B38" s="34" t="s">
        <v>210</v>
      </c>
      <c r="C38" s="30" t="s">
        <v>100</v>
      </c>
      <c r="D38" s="164"/>
      <c r="E38" s="164"/>
      <c r="F38" s="45">
        <f>SUM(F40:F48)</f>
        <v>10</v>
      </c>
      <c r="G38" s="44">
        <f>SUM(G40:G48)</f>
        <v>950</v>
      </c>
      <c r="H38" s="45">
        <f>SUMPRODUCT($E$39:$E$42,$D$39:$D$42,H39:H42)</f>
        <v>0</v>
      </c>
      <c r="I38" s="45">
        <f t="shared" ref="I38:BT38" si="20">SUMPRODUCT($E$39:$E$42,$D$39:$D$42,I39:I42)</f>
        <v>0</v>
      </c>
      <c r="J38" s="45">
        <f t="shared" si="20"/>
        <v>0</v>
      </c>
      <c r="K38" s="45">
        <f t="shared" si="20"/>
        <v>0</v>
      </c>
      <c r="L38" s="45">
        <f t="shared" si="20"/>
        <v>0</v>
      </c>
      <c r="M38" s="45">
        <f t="shared" si="20"/>
        <v>0</v>
      </c>
      <c r="N38" s="45">
        <f t="shared" si="20"/>
        <v>0</v>
      </c>
      <c r="O38" s="45">
        <f t="shared" si="20"/>
        <v>0</v>
      </c>
      <c r="P38" s="45">
        <f t="shared" si="20"/>
        <v>0</v>
      </c>
      <c r="Q38" s="45">
        <f t="shared" si="20"/>
        <v>0</v>
      </c>
      <c r="R38" s="45">
        <f t="shared" si="20"/>
        <v>0</v>
      </c>
      <c r="S38" s="45">
        <f t="shared" si="20"/>
        <v>0</v>
      </c>
      <c r="T38" s="45">
        <f t="shared" si="20"/>
        <v>0</v>
      </c>
      <c r="U38" s="45">
        <f t="shared" si="20"/>
        <v>0</v>
      </c>
      <c r="V38" s="45">
        <f t="shared" si="20"/>
        <v>0</v>
      </c>
      <c r="W38" s="45">
        <f t="shared" si="20"/>
        <v>0</v>
      </c>
      <c r="X38" s="45">
        <f t="shared" si="20"/>
        <v>0</v>
      </c>
      <c r="Y38" s="45">
        <f t="shared" si="20"/>
        <v>0</v>
      </c>
      <c r="Z38" s="45">
        <f t="shared" si="20"/>
        <v>0</v>
      </c>
      <c r="AA38" s="45">
        <f t="shared" si="20"/>
        <v>0</v>
      </c>
      <c r="AB38" s="45">
        <f t="shared" si="20"/>
        <v>0</v>
      </c>
      <c r="AC38" s="45">
        <f t="shared" si="20"/>
        <v>0</v>
      </c>
      <c r="AD38" s="45">
        <f t="shared" si="20"/>
        <v>0</v>
      </c>
      <c r="AE38" s="45">
        <f t="shared" si="20"/>
        <v>0</v>
      </c>
      <c r="AF38" s="45">
        <f t="shared" si="20"/>
        <v>0</v>
      </c>
      <c r="AG38" s="45">
        <f t="shared" si="20"/>
        <v>0</v>
      </c>
      <c r="AH38" s="45">
        <f t="shared" si="20"/>
        <v>0</v>
      </c>
      <c r="AI38" s="45">
        <f t="shared" si="20"/>
        <v>0</v>
      </c>
      <c r="AJ38" s="45">
        <f t="shared" si="20"/>
        <v>0</v>
      </c>
      <c r="AK38" s="45">
        <f t="shared" si="20"/>
        <v>0</v>
      </c>
      <c r="AL38" s="45">
        <f t="shared" si="20"/>
        <v>0</v>
      </c>
      <c r="AM38" s="45">
        <f t="shared" si="20"/>
        <v>0</v>
      </c>
      <c r="AN38" s="45">
        <f t="shared" si="20"/>
        <v>0</v>
      </c>
      <c r="AO38" s="45">
        <f t="shared" si="20"/>
        <v>0</v>
      </c>
      <c r="AP38" s="45">
        <f t="shared" si="20"/>
        <v>0</v>
      </c>
      <c r="AQ38" s="45">
        <f t="shared" si="20"/>
        <v>0</v>
      </c>
      <c r="AR38" s="45">
        <f t="shared" si="20"/>
        <v>0</v>
      </c>
      <c r="AS38" s="45">
        <f t="shared" si="20"/>
        <v>0</v>
      </c>
      <c r="AT38" s="45">
        <f t="shared" si="20"/>
        <v>0</v>
      </c>
      <c r="AU38" s="45">
        <f t="shared" si="20"/>
        <v>0</v>
      </c>
      <c r="AV38" s="45">
        <f t="shared" si="20"/>
        <v>0</v>
      </c>
      <c r="AW38" s="45">
        <f t="shared" si="20"/>
        <v>0</v>
      </c>
      <c r="AX38" s="45">
        <f t="shared" si="20"/>
        <v>0</v>
      </c>
      <c r="AY38" s="45">
        <f t="shared" si="20"/>
        <v>0</v>
      </c>
      <c r="AZ38" s="45">
        <f t="shared" si="20"/>
        <v>0</v>
      </c>
      <c r="BA38" s="45">
        <f t="shared" si="20"/>
        <v>0</v>
      </c>
      <c r="BB38" s="45">
        <f t="shared" si="20"/>
        <v>0</v>
      </c>
      <c r="BC38" s="45">
        <f t="shared" si="20"/>
        <v>0</v>
      </c>
      <c r="BD38" s="45">
        <f t="shared" si="20"/>
        <v>0</v>
      </c>
      <c r="BE38" s="45">
        <f t="shared" si="20"/>
        <v>0</v>
      </c>
      <c r="BF38" s="45">
        <f t="shared" si="20"/>
        <v>0</v>
      </c>
      <c r="BG38" s="45">
        <f t="shared" si="20"/>
        <v>0</v>
      </c>
      <c r="BH38" s="45">
        <f t="shared" si="20"/>
        <v>0</v>
      </c>
      <c r="BI38" s="45">
        <f t="shared" si="20"/>
        <v>0</v>
      </c>
      <c r="BJ38" s="45">
        <f t="shared" si="20"/>
        <v>0</v>
      </c>
      <c r="BK38" s="45">
        <f t="shared" si="20"/>
        <v>0</v>
      </c>
      <c r="BL38" s="45">
        <f t="shared" si="20"/>
        <v>0</v>
      </c>
      <c r="BM38" s="45">
        <f t="shared" si="20"/>
        <v>0</v>
      </c>
      <c r="BN38" s="45">
        <f t="shared" si="20"/>
        <v>0</v>
      </c>
      <c r="BO38" s="45">
        <f t="shared" si="20"/>
        <v>0</v>
      </c>
      <c r="BP38" s="45">
        <f>SUMPRODUCT($E$39:$E$42,$D$39:$D$42,BP39:BP42)</f>
        <v>0</v>
      </c>
      <c r="BQ38" s="45">
        <f t="shared" si="20"/>
        <v>0</v>
      </c>
      <c r="BR38" s="45">
        <f t="shared" si="20"/>
        <v>0</v>
      </c>
      <c r="BS38" s="45">
        <f t="shared" si="20"/>
        <v>0</v>
      </c>
      <c r="BT38" s="45">
        <f t="shared" si="20"/>
        <v>0</v>
      </c>
      <c r="BU38" s="45">
        <f t="shared" ref="BU38:DY38" si="21">SUMPRODUCT($E$39:$E$42,$D$39:$D$42,BU39:BU42)</f>
        <v>0</v>
      </c>
      <c r="BV38" s="45">
        <f t="shared" si="21"/>
        <v>0</v>
      </c>
      <c r="BW38" s="45">
        <f>SUMPRODUCT($E$39:$E$42,$D$39:$D$42,BW39:BW42)</f>
        <v>0</v>
      </c>
      <c r="BX38" s="45">
        <f t="shared" si="21"/>
        <v>0</v>
      </c>
      <c r="BY38" s="45">
        <f t="shared" si="21"/>
        <v>0</v>
      </c>
      <c r="BZ38" s="45">
        <f t="shared" si="21"/>
        <v>0</v>
      </c>
      <c r="CA38" s="45">
        <f t="shared" si="21"/>
        <v>0</v>
      </c>
      <c r="CB38" s="45">
        <f t="shared" si="21"/>
        <v>0</v>
      </c>
      <c r="CC38" s="45">
        <f t="shared" si="21"/>
        <v>0</v>
      </c>
      <c r="CD38" s="45">
        <f t="shared" si="21"/>
        <v>0</v>
      </c>
      <c r="CE38" s="45">
        <f t="shared" si="21"/>
        <v>0</v>
      </c>
      <c r="CF38" s="45">
        <f t="shared" si="21"/>
        <v>0</v>
      </c>
      <c r="CG38" s="45">
        <f t="shared" si="21"/>
        <v>0</v>
      </c>
      <c r="CH38" s="45">
        <f t="shared" si="21"/>
        <v>0</v>
      </c>
      <c r="CI38" s="45">
        <f t="shared" si="21"/>
        <v>0</v>
      </c>
      <c r="CJ38" s="45">
        <f t="shared" si="21"/>
        <v>0</v>
      </c>
      <c r="CK38" s="45">
        <f t="shared" si="21"/>
        <v>0</v>
      </c>
      <c r="CL38" s="45">
        <f t="shared" si="21"/>
        <v>0</v>
      </c>
      <c r="CM38" s="45">
        <f t="shared" si="21"/>
        <v>0</v>
      </c>
      <c r="CN38" s="45">
        <f t="shared" si="21"/>
        <v>0</v>
      </c>
      <c r="CO38" s="45">
        <f t="shared" si="21"/>
        <v>0</v>
      </c>
      <c r="CP38" s="45">
        <f t="shared" si="21"/>
        <v>0</v>
      </c>
      <c r="CQ38" s="45">
        <f t="shared" si="21"/>
        <v>0</v>
      </c>
      <c r="CR38" s="45">
        <f t="shared" si="21"/>
        <v>0</v>
      </c>
      <c r="CS38" s="45">
        <f t="shared" si="21"/>
        <v>0</v>
      </c>
      <c r="CT38" s="45">
        <f t="shared" si="21"/>
        <v>0</v>
      </c>
      <c r="CU38" s="45">
        <f t="shared" si="21"/>
        <v>0</v>
      </c>
      <c r="CV38" s="45">
        <f t="shared" si="21"/>
        <v>0</v>
      </c>
      <c r="CW38" s="45">
        <f t="shared" si="21"/>
        <v>0</v>
      </c>
      <c r="CX38" s="45">
        <f t="shared" si="21"/>
        <v>0</v>
      </c>
      <c r="CY38" s="45">
        <f t="shared" si="21"/>
        <v>0</v>
      </c>
      <c r="CZ38" s="45">
        <f t="shared" si="21"/>
        <v>0</v>
      </c>
      <c r="DA38" s="45">
        <f t="shared" si="21"/>
        <v>0</v>
      </c>
      <c r="DB38" s="45">
        <f t="shared" si="21"/>
        <v>0</v>
      </c>
      <c r="DC38" s="45">
        <f t="shared" si="21"/>
        <v>0</v>
      </c>
      <c r="DD38" s="45">
        <f t="shared" si="21"/>
        <v>0</v>
      </c>
      <c r="DE38" s="45">
        <f t="shared" si="21"/>
        <v>0</v>
      </c>
      <c r="DF38" s="45">
        <f t="shared" si="21"/>
        <v>0</v>
      </c>
      <c r="DG38" s="45">
        <f t="shared" si="21"/>
        <v>0</v>
      </c>
      <c r="DH38" s="45">
        <f t="shared" si="21"/>
        <v>0</v>
      </c>
      <c r="DI38" s="45">
        <f t="shared" si="21"/>
        <v>0</v>
      </c>
      <c r="DJ38" s="45">
        <f t="shared" si="21"/>
        <v>0</v>
      </c>
      <c r="DK38" s="45">
        <f t="shared" si="21"/>
        <v>0</v>
      </c>
      <c r="DL38" s="45">
        <f t="shared" si="21"/>
        <v>0</v>
      </c>
      <c r="DM38" s="45">
        <f t="shared" si="21"/>
        <v>0</v>
      </c>
      <c r="DN38" s="45">
        <f t="shared" si="21"/>
        <v>0</v>
      </c>
      <c r="DO38" s="45">
        <f t="shared" si="21"/>
        <v>0</v>
      </c>
      <c r="DP38" s="45">
        <f t="shared" si="21"/>
        <v>0</v>
      </c>
      <c r="DQ38" s="45">
        <f t="shared" si="21"/>
        <v>0</v>
      </c>
      <c r="DR38" s="45">
        <f t="shared" si="21"/>
        <v>0</v>
      </c>
      <c r="DS38" s="45">
        <f t="shared" si="21"/>
        <v>0</v>
      </c>
      <c r="DT38" s="45">
        <f t="shared" si="21"/>
        <v>0</v>
      </c>
      <c r="DU38" s="45">
        <f t="shared" si="21"/>
        <v>0</v>
      </c>
      <c r="DV38" s="45">
        <f t="shared" si="21"/>
        <v>0</v>
      </c>
      <c r="DW38" s="45">
        <f t="shared" si="21"/>
        <v>0</v>
      </c>
      <c r="DX38" s="45">
        <f t="shared" si="21"/>
        <v>0</v>
      </c>
      <c r="DY38" s="45">
        <f t="shared" si="21"/>
        <v>0</v>
      </c>
      <c r="DZ38" s="218"/>
      <c r="EA38" s="231"/>
      <c r="EB38" s="231"/>
      <c r="EC38" s="231"/>
      <c r="ED38" s="231"/>
      <c r="EE38" s="231"/>
      <c r="EF38" s="231"/>
      <c r="EG38" s="231"/>
      <c r="EH38" s="231"/>
      <c r="EI38" s="231"/>
      <c r="EJ38" s="231"/>
      <c r="EK38" s="231"/>
      <c r="EL38" s="231"/>
      <c r="EM38" s="231"/>
      <c r="EN38" s="231"/>
      <c r="EO38" s="231"/>
      <c r="EP38" s="231"/>
      <c r="EQ38" s="231"/>
    </row>
    <row r="39" spans="1:147" ht="22.9" hidden="1" customHeight="1" outlineLevel="2" x14ac:dyDescent="0.2">
      <c r="A39" s="146" t="s">
        <v>521</v>
      </c>
      <c r="B39" s="53" t="s">
        <v>123</v>
      </c>
      <c r="C39" s="50" t="s">
        <v>235</v>
      </c>
      <c r="D39" s="165">
        <v>1</v>
      </c>
      <c r="E39" s="158" t="s">
        <v>454</v>
      </c>
      <c r="F39" s="52">
        <f>SUM(H39:DY39)*E39*Table1[[#This Row],[Cycles]]</f>
        <v>0</v>
      </c>
      <c r="G39" s="46">
        <f>SUMPRODUCT($H$3:$DY$3,$H39:$DY39)*E39*D39</f>
        <v>0</v>
      </c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219"/>
      <c r="EA39" s="231"/>
      <c r="EB39" s="231"/>
      <c r="EC39" s="231"/>
      <c r="ED39" s="231"/>
      <c r="EE39" s="231"/>
      <c r="EF39" s="231"/>
      <c r="EG39" s="231"/>
      <c r="EH39" s="231"/>
      <c r="EI39" s="231"/>
      <c r="EJ39" s="231"/>
      <c r="EK39" s="231"/>
      <c r="EL39" s="231"/>
      <c r="EM39" s="231"/>
      <c r="EN39" s="231"/>
      <c r="EO39" s="231"/>
      <c r="EP39" s="231"/>
      <c r="EQ39" s="231"/>
    </row>
    <row r="40" spans="1:147" ht="22.9" hidden="1" customHeight="1" outlineLevel="2" x14ac:dyDescent="0.2">
      <c r="A40" s="146" t="s">
        <v>522</v>
      </c>
      <c r="B40" s="53" t="s">
        <v>3</v>
      </c>
      <c r="C40" s="50" t="s">
        <v>235</v>
      </c>
      <c r="D40" s="165">
        <v>1</v>
      </c>
      <c r="E40" s="158" t="s">
        <v>454</v>
      </c>
      <c r="F40" s="52">
        <f>SUM(H40:DY40)*E40*Table1[[#This Row],[Cycles]]</f>
        <v>0</v>
      </c>
      <c r="G40" s="46">
        <f>SUMPRODUCT($H$3:$DY$3,$H40:$DY40)*E40*D40</f>
        <v>0</v>
      </c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219"/>
      <c r="EA40" s="231"/>
      <c r="EB40" s="231"/>
      <c r="EC40" s="231"/>
      <c r="ED40" s="231"/>
      <c r="EE40" s="231"/>
      <c r="EF40" s="231"/>
      <c r="EG40" s="231"/>
      <c r="EH40" s="231"/>
      <c r="EI40" s="231"/>
      <c r="EJ40" s="231"/>
      <c r="EK40" s="231"/>
      <c r="EL40" s="231"/>
      <c r="EM40" s="231"/>
      <c r="EN40" s="231"/>
      <c r="EO40" s="231"/>
      <c r="EP40" s="231"/>
      <c r="EQ40" s="231"/>
    </row>
    <row r="41" spans="1:147" ht="22.9" hidden="1" customHeight="1" outlineLevel="2" x14ac:dyDescent="0.2">
      <c r="A41" s="146" t="s">
        <v>523</v>
      </c>
      <c r="B41" s="53" t="s">
        <v>724</v>
      </c>
      <c r="C41" s="50" t="s">
        <v>235</v>
      </c>
      <c r="D41" s="165">
        <v>1</v>
      </c>
      <c r="E41" s="158" t="s">
        <v>454</v>
      </c>
      <c r="F41" s="52">
        <f>SUM(H41:DY41)*E41*Table1[[#This Row],[Cycles]]</f>
        <v>5</v>
      </c>
      <c r="G41" s="46">
        <f>SUMPRODUCT($H$3:$DY$3,$H41:$DY41)*E41*D41</f>
        <v>475</v>
      </c>
      <c r="H41" s="47"/>
      <c r="I41" s="47"/>
      <c r="J41" s="47"/>
      <c r="K41" s="47"/>
      <c r="L41" s="47"/>
      <c r="M41" s="47"/>
      <c r="N41" s="47"/>
      <c r="O41" s="47"/>
      <c r="P41" s="47"/>
      <c r="Q41" s="47">
        <v>5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219"/>
      <c r="EA41" s="231"/>
      <c r="EB41" s="231"/>
      <c r="EC41" s="231"/>
      <c r="ED41" s="231"/>
      <c r="EE41" s="231"/>
      <c r="EF41" s="231"/>
      <c r="EG41" s="231"/>
      <c r="EH41" s="231"/>
      <c r="EI41" s="231"/>
      <c r="EJ41" s="231"/>
      <c r="EK41" s="231"/>
      <c r="EL41" s="231"/>
      <c r="EM41" s="231"/>
      <c r="EN41" s="231"/>
      <c r="EO41" s="231"/>
      <c r="EP41" s="231"/>
      <c r="EQ41" s="231"/>
    </row>
    <row r="42" spans="1:147" ht="22.9" hidden="1" customHeight="1" outlineLevel="2" x14ac:dyDescent="0.2">
      <c r="A42" s="146" t="s">
        <v>723</v>
      </c>
      <c r="B42" s="53" t="s">
        <v>794</v>
      </c>
      <c r="C42" s="50" t="s">
        <v>235</v>
      </c>
      <c r="D42" s="165">
        <v>1</v>
      </c>
      <c r="E42" s="158" t="s">
        <v>454</v>
      </c>
      <c r="F42" s="52">
        <f>SUM(H42:DY42)*E42*Table1[[#This Row],[Cycles]]</f>
        <v>5</v>
      </c>
      <c r="G42" s="46">
        <f>SUMPRODUCT($H$3:$DY$3,$H42:$DY42)*E42*D42</f>
        <v>475</v>
      </c>
      <c r="H42" s="47"/>
      <c r="I42" s="47"/>
      <c r="J42" s="47"/>
      <c r="K42" s="47"/>
      <c r="L42" s="47"/>
      <c r="M42" s="47"/>
      <c r="N42" s="47"/>
      <c r="O42" s="47"/>
      <c r="P42" s="47"/>
      <c r="Q42" s="47">
        <v>5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219"/>
      <c r="EA42" s="231"/>
      <c r="EB42" s="231"/>
      <c r="EC42" s="231"/>
      <c r="ED42" s="231"/>
      <c r="EE42" s="231"/>
      <c r="EF42" s="231"/>
      <c r="EG42" s="231"/>
      <c r="EH42" s="231"/>
      <c r="EI42" s="231"/>
      <c r="EJ42" s="231"/>
      <c r="EK42" s="231"/>
      <c r="EL42" s="231"/>
      <c r="EM42" s="231"/>
      <c r="EN42" s="231"/>
      <c r="EO42" s="231"/>
      <c r="EP42" s="231"/>
      <c r="EQ42" s="231"/>
    </row>
    <row r="43" spans="1:147" s="40" customFormat="1" ht="22.9" customHeight="1" outlineLevel="1" collapsed="1" x14ac:dyDescent="0.2">
      <c r="A43" s="149" t="s">
        <v>524</v>
      </c>
      <c r="B43" s="34" t="s">
        <v>479</v>
      </c>
      <c r="C43" s="30" t="s">
        <v>100</v>
      </c>
      <c r="D43" s="164"/>
      <c r="E43" s="164"/>
      <c r="F43" s="45">
        <f>SUM(F45:F53)</f>
        <v>0</v>
      </c>
      <c r="G43" s="44">
        <f>SUM(G45:G53)</f>
        <v>0</v>
      </c>
      <c r="H43" s="45">
        <f>SUMPRODUCT($E$44:$E$53,$D$44:$D$53,H44:H53)</f>
        <v>0</v>
      </c>
      <c r="I43" s="45">
        <f t="shared" ref="I43:BT43" si="22">SUMPRODUCT($E$44:$E$53,$D$44:$D$53,I44:I53)</f>
        <v>0</v>
      </c>
      <c r="J43" s="45">
        <f t="shared" si="22"/>
        <v>0</v>
      </c>
      <c r="K43" s="45">
        <f t="shared" si="22"/>
        <v>0</v>
      </c>
      <c r="L43" s="45">
        <f t="shared" si="22"/>
        <v>0</v>
      </c>
      <c r="M43" s="45">
        <f t="shared" si="22"/>
        <v>0</v>
      </c>
      <c r="N43" s="45">
        <f t="shared" si="22"/>
        <v>0</v>
      </c>
      <c r="O43" s="45">
        <f t="shared" si="22"/>
        <v>0</v>
      </c>
      <c r="P43" s="45">
        <f t="shared" si="22"/>
        <v>0</v>
      </c>
      <c r="Q43" s="45">
        <f t="shared" si="22"/>
        <v>0</v>
      </c>
      <c r="R43" s="45">
        <f t="shared" si="22"/>
        <v>0</v>
      </c>
      <c r="S43" s="45">
        <f t="shared" si="22"/>
        <v>0</v>
      </c>
      <c r="T43" s="45">
        <f t="shared" si="22"/>
        <v>0</v>
      </c>
      <c r="U43" s="45">
        <f t="shared" si="22"/>
        <v>0</v>
      </c>
      <c r="V43" s="45">
        <f t="shared" si="22"/>
        <v>0</v>
      </c>
      <c r="W43" s="45">
        <f t="shared" si="22"/>
        <v>0</v>
      </c>
      <c r="X43" s="45">
        <f t="shared" si="22"/>
        <v>0</v>
      </c>
      <c r="Y43" s="45">
        <f t="shared" si="22"/>
        <v>0</v>
      </c>
      <c r="Z43" s="45">
        <f t="shared" si="22"/>
        <v>0</v>
      </c>
      <c r="AA43" s="45">
        <f t="shared" si="22"/>
        <v>0</v>
      </c>
      <c r="AB43" s="45">
        <f t="shared" si="22"/>
        <v>0</v>
      </c>
      <c r="AC43" s="45">
        <f t="shared" si="22"/>
        <v>0</v>
      </c>
      <c r="AD43" s="45">
        <f t="shared" si="22"/>
        <v>0</v>
      </c>
      <c r="AE43" s="45">
        <f t="shared" si="22"/>
        <v>0</v>
      </c>
      <c r="AF43" s="45">
        <f t="shared" si="22"/>
        <v>0</v>
      </c>
      <c r="AG43" s="45">
        <f t="shared" si="22"/>
        <v>0</v>
      </c>
      <c r="AH43" s="45">
        <f t="shared" si="22"/>
        <v>0</v>
      </c>
      <c r="AI43" s="45">
        <f t="shared" si="22"/>
        <v>0</v>
      </c>
      <c r="AJ43" s="45">
        <f t="shared" si="22"/>
        <v>0</v>
      </c>
      <c r="AK43" s="45">
        <f t="shared" si="22"/>
        <v>0</v>
      </c>
      <c r="AL43" s="45">
        <f t="shared" si="22"/>
        <v>0</v>
      </c>
      <c r="AM43" s="45">
        <f t="shared" si="22"/>
        <v>0</v>
      </c>
      <c r="AN43" s="45">
        <f t="shared" si="22"/>
        <v>0</v>
      </c>
      <c r="AO43" s="45">
        <f t="shared" si="22"/>
        <v>0</v>
      </c>
      <c r="AP43" s="45">
        <f t="shared" si="22"/>
        <v>0</v>
      </c>
      <c r="AQ43" s="45">
        <f t="shared" si="22"/>
        <v>0</v>
      </c>
      <c r="AR43" s="45">
        <f t="shared" si="22"/>
        <v>0</v>
      </c>
      <c r="AS43" s="45">
        <f t="shared" si="22"/>
        <v>0</v>
      </c>
      <c r="AT43" s="45">
        <f t="shared" si="22"/>
        <v>0</v>
      </c>
      <c r="AU43" s="45">
        <f t="shared" si="22"/>
        <v>0</v>
      </c>
      <c r="AV43" s="45">
        <f t="shared" si="22"/>
        <v>0</v>
      </c>
      <c r="AW43" s="45">
        <f t="shared" si="22"/>
        <v>0</v>
      </c>
      <c r="AX43" s="45">
        <f t="shared" si="22"/>
        <v>0</v>
      </c>
      <c r="AY43" s="45">
        <f t="shared" si="22"/>
        <v>0</v>
      </c>
      <c r="AZ43" s="45">
        <f t="shared" si="22"/>
        <v>0</v>
      </c>
      <c r="BA43" s="45">
        <f t="shared" si="22"/>
        <v>0</v>
      </c>
      <c r="BB43" s="45">
        <f t="shared" si="22"/>
        <v>0</v>
      </c>
      <c r="BC43" s="45">
        <f t="shared" si="22"/>
        <v>0</v>
      </c>
      <c r="BD43" s="45">
        <f t="shared" si="22"/>
        <v>0</v>
      </c>
      <c r="BE43" s="45">
        <f t="shared" si="22"/>
        <v>0</v>
      </c>
      <c r="BF43" s="45">
        <f t="shared" si="22"/>
        <v>0</v>
      </c>
      <c r="BG43" s="45">
        <f t="shared" si="22"/>
        <v>0</v>
      </c>
      <c r="BH43" s="45">
        <f t="shared" si="22"/>
        <v>0</v>
      </c>
      <c r="BI43" s="45">
        <f t="shared" si="22"/>
        <v>0</v>
      </c>
      <c r="BJ43" s="45">
        <f t="shared" si="22"/>
        <v>0</v>
      </c>
      <c r="BK43" s="45">
        <f t="shared" si="22"/>
        <v>0</v>
      </c>
      <c r="BL43" s="45">
        <f t="shared" si="22"/>
        <v>0</v>
      </c>
      <c r="BM43" s="45">
        <f t="shared" si="22"/>
        <v>0</v>
      </c>
      <c r="BN43" s="45">
        <f t="shared" si="22"/>
        <v>0</v>
      </c>
      <c r="BO43" s="45">
        <f t="shared" si="22"/>
        <v>0</v>
      </c>
      <c r="BP43" s="45">
        <f t="shared" si="22"/>
        <v>0</v>
      </c>
      <c r="BQ43" s="45">
        <f t="shared" si="22"/>
        <v>0</v>
      </c>
      <c r="BR43" s="45">
        <f t="shared" si="22"/>
        <v>0</v>
      </c>
      <c r="BS43" s="45">
        <f t="shared" si="22"/>
        <v>0</v>
      </c>
      <c r="BT43" s="45">
        <f t="shared" si="22"/>
        <v>0</v>
      </c>
      <c r="BU43" s="45">
        <f t="shared" ref="BU43:DX43" si="23">SUMPRODUCT($E$44:$E$53,$D$44:$D$53,BU44:BU53)</f>
        <v>0</v>
      </c>
      <c r="BV43" s="45">
        <f>SUMPRODUCT($E$44:$E$53,$D$44:$D$53,BV44:BV53)</f>
        <v>0</v>
      </c>
      <c r="BW43" s="45">
        <f t="shared" si="23"/>
        <v>0</v>
      </c>
      <c r="BX43" s="45">
        <f t="shared" si="23"/>
        <v>0</v>
      </c>
      <c r="BY43" s="45">
        <f t="shared" si="23"/>
        <v>0</v>
      </c>
      <c r="BZ43" s="45">
        <f t="shared" si="23"/>
        <v>0</v>
      </c>
      <c r="CA43" s="45">
        <f t="shared" si="23"/>
        <v>0</v>
      </c>
      <c r="CB43" s="45">
        <f t="shared" si="23"/>
        <v>0</v>
      </c>
      <c r="CC43" s="45">
        <f t="shared" si="23"/>
        <v>0</v>
      </c>
      <c r="CD43" s="45">
        <f t="shared" si="23"/>
        <v>0</v>
      </c>
      <c r="CE43" s="45">
        <f t="shared" si="23"/>
        <v>0</v>
      </c>
      <c r="CF43" s="45">
        <f t="shared" si="23"/>
        <v>0</v>
      </c>
      <c r="CG43" s="45">
        <f t="shared" si="23"/>
        <v>0</v>
      </c>
      <c r="CH43" s="45">
        <f t="shared" si="23"/>
        <v>0</v>
      </c>
      <c r="CI43" s="45">
        <f t="shared" si="23"/>
        <v>0</v>
      </c>
      <c r="CJ43" s="45">
        <f t="shared" si="23"/>
        <v>0</v>
      </c>
      <c r="CK43" s="45">
        <f t="shared" si="23"/>
        <v>0</v>
      </c>
      <c r="CL43" s="45">
        <f t="shared" si="23"/>
        <v>0</v>
      </c>
      <c r="CM43" s="45">
        <f t="shared" si="23"/>
        <v>0</v>
      </c>
      <c r="CN43" s="45">
        <f t="shared" si="23"/>
        <v>0</v>
      </c>
      <c r="CO43" s="45">
        <f t="shared" si="23"/>
        <v>0</v>
      </c>
      <c r="CP43" s="45">
        <f t="shared" si="23"/>
        <v>0</v>
      </c>
      <c r="CQ43" s="45">
        <f t="shared" si="23"/>
        <v>0</v>
      </c>
      <c r="CR43" s="45">
        <f t="shared" si="23"/>
        <v>0</v>
      </c>
      <c r="CS43" s="45">
        <f t="shared" si="23"/>
        <v>0</v>
      </c>
      <c r="CT43" s="45">
        <f t="shared" si="23"/>
        <v>0</v>
      </c>
      <c r="CU43" s="45">
        <f t="shared" si="23"/>
        <v>0</v>
      </c>
      <c r="CV43" s="45">
        <f t="shared" si="23"/>
        <v>0</v>
      </c>
      <c r="CW43" s="45">
        <f t="shared" si="23"/>
        <v>0</v>
      </c>
      <c r="CX43" s="45">
        <f t="shared" si="23"/>
        <v>0</v>
      </c>
      <c r="CY43" s="45">
        <f t="shared" si="23"/>
        <v>0</v>
      </c>
      <c r="CZ43" s="45">
        <f t="shared" si="23"/>
        <v>0</v>
      </c>
      <c r="DA43" s="45">
        <f t="shared" si="23"/>
        <v>0</v>
      </c>
      <c r="DB43" s="45">
        <f t="shared" si="23"/>
        <v>0</v>
      </c>
      <c r="DC43" s="45">
        <f t="shared" si="23"/>
        <v>0</v>
      </c>
      <c r="DD43" s="45">
        <f t="shared" si="23"/>
        <v>0</v>
      </c>
      <c r="DE43" s="45">
        <f t="shared" si="23"/>
        <v>0</v>
      </c>
      <c r="DF43" s="45">
        <f t="shared" si="23"/>
        <v>0</v>
      </c>
      <c r="DG43" s="45">
        <f t="shared" si="23"/>
        <v>0</v>
      </c>
      <c r="DH43" s="45">
        <f t="shared" si="23"/>
        <v>0</v>
      </c>
      <c r="DI43" s="45">
        <f t="shared" si="23"/>
        <v>0</v>
      </c>
      <c r="DJ43" s="45">
        <f t="shared" si="23"/>
        <v>0</v>
      </c>
      <c r="DK43" s="45">
        <f t="shared" si="23"/>
        <v>0</v>
      </c>
      <c r="DL43" s="45">
        <f t="shared" si="23"/>
        <v>0</v>
      </c>
      <c r="DM43" s="45">
        <f t="shared" si="23"/>
        <v>0</v>
      </c>
      <c r="DN43" s="45">
        <f t="shared" si="23"/>
        <v>0</v>
      </c>
      <c r="DO43" s="45">
        <f t="shared" si="23"/>
        <v>0</v>
      </c>
      <c r="DP43" s="45">
        <f t="shared" si="23"/>
        <v>0</v>
      </c>
      <c r="DQ43" s="45">
        <f t="shared" si="23"/>
        <v>0</v>
      </c>
      <c r="DR43" s="45">
        <f t="shared" si="23"/>
        <v>0</v>
      </c>
      <c r="DS43" s="45">
        <f t="shared" si="23"/>
        <v>0</v>
      </c>
      <c r="DT43" s="45">
        <f t="shared" si="23"/>
        <v>0</v>
      </c>
      <c r="DU43" s="45">
        <f t="shared" si="23"/>
        <v>0</v>
      </c>
      <c r="DV43" s="45">
        <f t="shared" si="23"/>
        <v>0</v>
      </c>
      <c r="DW43" s="45">
        <f t="shared" si="23"/>
        <v>0</v>
      </c>
      <c r="DX43" s="45">
        <f t="shared" si="23"/>
        <v>0</v>
      </c>
      <c r="DY43" s="45">
        <f>SUMPRODUCT($E$44:$E$53,$D$44:$D$53,DY44:DY53)</f>
        <v>0</v>
      </c>
      <c r="DZ43" s="218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</row>
    <row r="44" spans="1:147" ht="22.9" hidden="1" customHeight="1" outlineLevel="2" x14ac:dyDescent="0.2">
      <c r="A44" s="146" t="s">
        <v>525</v>
      </c>
      <c r="B44" s="53" t="s">
        <v>101</v>
      </c>
      <c r="C44" s="50" t="s">
        <v>133</v>
      </c>
      <c r="D44" s="165">
        <v>1</v>
      </c>
      <c r="E44" s="158">
        <v>1</v>
      </c>
      <c r="F44" s="52">
        <f>SUM(H44:DY44)*E44*Table1[[#This Row],[Cycles]]</f>
        <v>0</v>
      </c>
      <c r="G44" s="46">
        <f>SUMPRODUCT($H$3:$DY$3,$H44:$DY44)*E44*D44</f>
        <v>0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219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</row>
    <row r="45" spans="1:147" ht="22.9" hidden="1" customHeight="1" outlineLevel="2" x14ac:dyDescent="0.2">
      <c r="A45" s="146" t="s">
        <v>526</v>
      </c>
      <c r="B45" s="53" t="s">
        <v>125</v>
      </c>
      <c r="C45" s="50" t="s">
        <v>133</v>
      </c>
      <c r="D45" s="165">
        <v>1</v>
      </c>
      <c r="E45" s="158">
        <v>1</v>
      </c>
      <c r="F45" s="52">
        <f>SUM(H45:DY45)*E45*Table1[[#This Row],[Cycles]]</f>
        <v>0</v>
      </c>
      <c r="G45" s="46">
        <f t="shared" ref="G45:G53" si="24">SUMPRODUCT($H$3:$DY$3,$H45:$DY45)*E45*D45</f>
        <v>0</v>
      </c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219"/>
      <c r="EA45" s="231"/>
      <c r="EB45" s="231"/>
      <c r="EC45" s="231"/>
      <c r="ED45" s="231"/>
      <c r="EE45" s="231"/>
      <c r="EF45" s="231"/>
      <c r="EG45" s="231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</row>
    <row r="46" spans="1:147" ht="22.9" hidden="1" customHeight="1" outlineLevel="2" x14ac:dyDescent="0.2">
      <c r="A46" s="146" t="s">
        <v>527</v>
      </c>
      <c r="B46" s="53" t="s">
        <v>410</v>
      </c>
      <c r="C46" s="50" t="s">
        <v>133</v>
      </c>
      <c r="D46" s="165">
        <v>1</v>
      </c>
      <c r="E46" s="158">
        <v>1</v>
      </c>
      <c r="F46" s="52">
        <f>SUM(H46:DY46)*E46*Table1[[#This Row],[Cycles]]</f>
        <v>0</v>
      </c>
      <c r="G46" s="46">
        <f t="shared" si="24"/>
        <v>0</v>
      </c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219"/>
      <c r="EA46" s="233"/>
      <c r="EB46" s="233"/>
      <c r="EC46" s="233"/>
      <c r="ED46" s="233"/>
      <c r="EE46" s="233"/>
      <c r="EF46" s="233"/>
      <c r="EG46" s="233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</row>
    <row r="47" spans="1:147" ht="22.9" hidden="1" customHeight="1" outlineLevel="2" x14ac:dyDescent="0.2">
      <c r="A47" s="146" t="s">
        <v>528</v>
      </c>
      <c r="B47" s="53" t="s">
        <v>11</v>
      </c>
      <c r="C47" s="50" t="s">
        <v>133</v>
      </c>
      <c r="D47" s="165">
        <v>1</v>
      </c>
      <c r="E47" s="158">
        <v>3</v>
      </c>
      <c r="F47" s="52">
        <f>SUM(H47:DY47)*E47*Table1[[#This Row],[Cycles]]</f>
        <v>0</v>
      </c>
      <c r="G47" s="46">
        <f t="shared" si="24"/>
        <v>0</v>
      </c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219"/>
      <c r="EA47" s="231"/>
      <c r="EB47" s="231"/>
      <c r="EC47" s="231"/>
      <c r="ED47" s="231"/>
      <c r="EE47" s="231"/>
      <c r="EF47" s="231"/>
      <c r="EG47" s="231"/>
      <c r="EH47" s="231"/>
      <c r="EI47" s="231"/>
      <c r="EJ47" s="231"/>
      <c r="EK47" s="231"/>
      <c r="EL47" s="231"/>
      <c r="EM47" s="231"/>
      <c r="EN47" s="231"/>
      <c r="EO47" s="231"/>
      <c r="EP47" s="231"/>
      <c r="EQ47" s="231"/>
    </row>
    <row r="48" spans="1:147" ht="22.9" hidden="1" customHeight="1" outlineLevel="2" x14ac:dyDescent="0.2">
      <c r="A48" s="146" t="s">
        <v>529</v>
      </c>
      <c r="B48" s="53" t="s">
        <v>12</v>
      </c>
      <c r="C48" s="50" t="s">
        <v>133</v>
      </c>
      <c r="D48" s="165">
        <v>1</v>
      </c>
      <c r="E48" s="158">
        <v>1</v>
      </c>
      <c r="F48" s="52">
        <f>SUM(H48:DY48)*E48*Table1[[#This Row],[Cycles]]</f>
        <v>0</v>
      </c>
      <c r="G48" s="46">
        <f t="shared" si="24"/>
        <v>0</v>
      </c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219"/>
      <c r="EA48" s="231"/>
      <c r="EB48" s="231"/>
      <c r="EC48" s="231"/>
      <c r="ED48" s="231"/>
      <c r="EE48" s="231"/>
      <c r="EF48" s="231"/>
      <c r="EG48" s="231"/>
      <c r="EH48" s="231"/>
      <c r="EI48" s="231"/>
      <c r="EJ48" s="231"/>
      <c r="EK48" s="231"/>
      <c r="EL48" s="231"/>
      <c r="EM48" s="231"/>
      <c r="EN48" s="231"/>
      <c r="EO48" s="231"/>
      <c r="EP48" s="231"/>
      <c r="EQ48" s="231"/>
    </row>
    <row r="49" spans="1:147" ht="22.9" hidden="1" customHeight="1" outlineLevel="2" x14ac:dyDescent="0.2">
      <c r="A49" s="146" t="s">
        <v>530</v>
      </c>
      <c r="B49" s="53" t="s">
        <v>13</v>
      </c>
      <c r="C49" s="50" t="s">
        <v>133</v>
      </c>
      <c r="D49" s="165">
        <v>1</v>
      </c>
      <c r="E49" s="158">
        <v>1</v>
      </c>
      <c r="F49" s="52">
        <f>SUM(H49:DY49)*E49*Table1[[#This Row],[Cycles]]</f>
        <v>0</v>
      </c>
      <c r="G49" s="46">
        <f t="shared" si="24"/>
        <v>0</v>
      </c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219"/>
      <c r="EA49" s="231"/>
      <c r="EB49" s="231"/>
      <c r="EC49" s="231"/>
      <c r="ED49" s="231"/>
      <c r="EE49" s="231"/>
      <c r="EF49" s="231"/>
      <c r="EG49" s="231"/>
      <c r="EH49" s="231"/>
      <c r="EI49" s="231"/>
      <c r="EJ49" s="231"/>
      <c r="EK49" s="231"/>
      <c r="EL49" s="231"/>
      <c r="EM49" s="231"/>
      <c r="EN49" s="231"/>
      <c r="EO49" s="231"/>
      <c r="EP49" s="231"/>
      <c r="EQ49" s="231"/>
    </row>
    <row r="50" spans="1:147" ht="22.9" hidden="1" customHeight="1" outlineLevel="2" x14ac:dyDescent="0.2">
      <c r="A50" s="146" t="s">
        <v>531</v>
      </c>
      <c r="B50" s="53" t="s">
        <v>14</v>
      </c>
      <c r="C50" s="50" t="s">
        <v>133</v>
      </c>
      <c r="D50" s="165">
        <v>1</v>
      </c>
      <c r="E50" s="158">
        <v>1</v>
      </c>
      <c r="F50" s="52">
        <f>SUM(H50:DY50)*E50*Table1[[#This Row],[Cycles]]</f>
        <v>0</v>
      </c>
      <c r="G50" s="46">
        <f t="shared" si="24"/>
        <v>0</v>
      </c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219"/>
      <c r="EA50" s="231"/>
      <c r="EB50" s="231"/>
      <c r="EC50" s="231"/>
      <c r="ED50" s="231"/>
      <c r="EE50" s="231"/>
      <c r="EF50" s="231"/>
      <c r="EG50" s="231"/>
      <c r="EH50" s="231"/>
      <c r="EI50" s="231"/>
      <c r="EJ50" s="231"/>
      <c r="EK50" s="231"/>
      <c r="EL50" s="231"/>
      <c r="EM50" s="231"/>
      <c r="EN50" s="231"/>
      <c r="EO50" s="231"/>
      <c r="EP50" s="231"/>
      <c r="EQ50" s="231"/>
    </row>
    <row r="51" spans="1:147" ht="22.9" hidden="1" customHeight="1" outlineLevel="2" x14ac:dyDescent="0.2">
      <c r="A51" s="146" t="s">
        <v>532</v>
      </c>
      <c r="B51" s="53" t="s">
        <v>15</v>
      </c>
      <c r="C51" s="50" t="s">
        <v>133</v>
      </c>
      <c r="D51" s="165">
        <v>1</v>
      </c>
      <c r="E51" s="158">
        <v>1</v>
      </c>
      <c r="F51" s="52">
        <f>SUM(H51:DY51)*E51*Table1[[#This Row],[Cycles]]</f>
        <v>0</v>
      </c>
      <c r="G51" s="46">
        <f t="shared" si="24"/>
        <v>0</v>
      </c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219"/>
      <c r="EA51" s="231"/>
      <c r="EB51" s="231"/>
      <c r="EC51" s="231"/>
      <c r="ED51" s="231"/>
      <c r="EE51" s="231"/>
      <c r="EF51" s="231"/>
      <c r="EG51" s="231"/>
      <c r="EH51" s="231"/>
      <c r="EI51" s="231"/>
      <c r="EJ51" s="231"/>
      <c r="EK51" s="231"/>
      <c r="EL51" s="231"/>
      <c r="EM51" s="231"/>
      <c r="EN51" s="231"/>
      <c r="EO51" s="231"/>
      <c r="EP51" s="231"/>
      <c r="EQ51" s="231"/>
    </row>
    <row r="52" spans="1:147" ht="22.9" hidden="1" customHeight="1" outlineLevel="2" x14ac:dyDescent="0.2">
      <c r="A52" s="146" t="s">
        <v>533</v>
      </c>
      <c r="B52" s="53" t="s">
        <v>16</v>
      </c>
      <c r="C52" s="50" t="s">
        <v>133</v>
      </c>
      <c r="D52" s="165">
        <v>1</v>
      </c>
      <c r="E52" s="158">
        <v>1</v>
      </c>
      <c r="F52" s="52">
        <f>SUM(H52:DY52)*E52*Table1[[#This Row],[Cycles]]</f>
        <v>0</v>
      </c>
      <c r="G52" s="46">
        <f t="shared" si="24"/>
        <v>0</v>
      </c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219"/>
      <c r="EA52" s="231"/>
      <c r="EB52" s="231"/>
      <c r="EC52" s="231"/>
      <c r="ED52" s="231"/>
      <c r="EE52" s="231"/>
      <c r="EF52" s="231"/>
      <c r="EG52" s="231"/>
      <c r="EH52" s="231"/>
      <c r="EI52" s="231"/>
      <c r="EJ52" s="231"/>
      <c r="EK52" s="231"/>
      <c r="EL52" s="231"/>
      <c r="EM52" s="231"/>
      <c r="EN52" s="231"/>
      <c r="EO52" s="231"/>
      <c r="EP52" s="231"/>
      <c r="EQ52" s="231"/>
    </row>
    <row r="53" spans="1:147" ht="22.9" hidden="1" customHeight="1" outlineLevel="2" x14ac:dyDescent="0.2">
      <c r="A53" s="146" t="s">
        <v>534</v>
      </c>
      <c r="B53" s="53" t="s">
        <v>107</v>
      </c>
      <c r="C53" s="50" t="s">
        <v>133</v>
      </c>
      <c r="D53" s="165">
        <v>1</v>
      </c>
      <c r="E53" s="158">
        <v>1</v>
      </c>
      <c r="F53" s="52">
        <f>SUM(H53:DY53)*E53*Table1[[#This Row],[Cycles]]</f>
        <v>0</v>
      </c>
      <c r="G53" s="46">
        <f t="shared" si="24"/>
        <v>0</v>
      </c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219"/>
      <c r="EA53" s="231"/>
      <c r="EB53" s="231"/>
      <c r="EC53" s="231"/>
      <c r="ED53" s="231"/>
      <c r="EE53" s="231"/>
      <c r="EF53" s="231"/>
      <c r="EG53" s="231"/>
      <c r="EH53" s="231"/>
      <c r="EI53" s="231"/>
      <c r="EJ53" s="231"/>
      <c r="EK53" s="231"/>
      <c r="EL53" s="231"/>
      <c r="EM53" s="231"/>
      <c r="EN53" s="231"/>
      <c r="EO53" s="231"/>
      <c r="EP53" s="231"/>
      <c r="EQ53" s="231"/>
    </row>
    <row r="54" spans="1:147" s="40" customFormat="1" ht="22.9" customHeight="1" x14ac:dyDescent="0.2">
      <c r="A54" s="148" t="s">
        <v>535</v>
      </c>
      <c r="B54" s="48" t="s">
        <v>208</v>
      </c>
      <c r="C54" s="33"/>
      <c r="D54" s="162"/>
      <c r="E54" s="163"/>
      <c r="F54" s="31" cm="1">
        <f t="array" ref="F54">SumByColor(F55:F132,REFERENCE!$G$2)</f>
        <v>0</v>
      </c>
      <c r="G54" s="31" cm="1">
        <f t="array" ref="G54">SumByColor(G55:G132,REFERENCE!$G$2)</f>
        <v>0</v>
      </c>
      <c r="H54" s="31" cm="1">
        <f t="array" ref="H54">SumByColor(H55:H132,REFERENCE!$G$2)</f>
        <v>0</v>
      </c>
      <c r="I54" s="31" cm="1">
        <f t="array" ref="I54">SumByColor(I55:I132,REFERENCE!$G$2)</f>
        <v>0</v>
      </c>
      <c r="J54" s="31" cm="1">
        <f t="array" ref="J54">SumByColor(J55:J132,REFERENCE!$G$2)</f>
        <v>0</v>
      </c>
      <c r="K54" s="31" cm="1">
        <f t="array" ref="K54">SumByColor(K55:K132,REFERENCE!$G$2)</f>
        <v>0</v>
      </c>
      <c r="L54" s="31" cm="1">
        <f t="array" ref="L54">SumByColor(L55:L132,REFERENCE!$G$2)</f>
        <v>0</v>
      </c>
      <c r="M54" s="31" cm="1">
        <f t="array" ref="M54">SumByColor(M55:M132,REFERENCE!$G$2)</f>
        <v>0</v>
      </c>
      <c r="N54" s="31" cm="1">
        <f t="array" ref="N54">SumByColor(N55:N132,REFERENCE!$G$2)</f>
        <v>0</v>
      </c>
      <c r="O54" s="31" cm="1">
        <f t="array" ref="O54">SumByColor(O55:O132,REFERENCE!$G$2)</f>
        <v>0</v>
      </c>
      <c r="P54" s="31" cm="1">
        <f t="array" ref="P54">SumByColor(P55:P132,REFERENCE!$G$2)</f>
        <v>0</v>
      </c>
      <c r="Q54" s="31" cm="1">
        <f t="array" ref="Q54">SumByColor(Q55:Q132,REFERENCE!$G$2)</f>
        <v>0</v>
      </c>
      <c r="R54" s="31" cm="1">
        <f t="array" ref="R54">SumByColor(R55:R132,REFERENCE!$G$2)</f>
        <v>0</v>
      </c>
      <c r="S54" s="31" cm="1">
        <f t="array" ref="S54">SumByColor(S55:S132,REFERENCE!$G$2)</f>
        <v>0</v>
      </c>
      <c r="T54" s="31" cm="1">
        <f t="array" ref="T54">SumByColor(T55:T132,REFERENCE!$G$2)</f>
        <v>0</v>
      </c>
      <c r="U54" s="31" cm="1">
        <f t="array" ref="U54">SumByColor(U55:U132,REFERENCE!$G$2)</f>
        <v>0</v>
      </c>
      <c r="V54" s="31" cm="1">
        <f t="array" ref="V54">SumByColor(V55:V132,REFERENCE!$G$2)</f>
        <v>0</v>
      </c>
      <c r="W54" s="31" cm="1">
        <f t="array" ref="W54">SumByColor(W55:W132,REFERENCE!$G$2)</f>
        <v>0</v>
      </c>
      <c r="X54" s="31" cm="1">
        <f t="array" ref="X54">SumByColor(X55:X132,REFERENCE!$G$2)</f>
        <v>0</v>
      </c>
      <c r="Y54" s="31" cm="1">
        <f t="array" ref="Y54">SumByColor(Y55:Y132,REFERENCE!$G$2)</f>
        <v>0</v>
      </c>
      <c r="Z54" s="31" cm="1">
        <f t="array" ref="Z54">SumByColor(Z55:Z132,REFERENCE!$G$2)</f>
        <v>0</v>
      </c>
      <c r="AA54" s="31" cm="1">
        <f t="array" ref="AA54">SumByColor(AA55:AA132,REFERENCE!$G$2)</f>
        <v>0</v>
      </c>
      <c r="AB54" s="31" cm="1">
        <f t="array" ref="AB54">SumByColor(AB55:AB132,REFERENCE!$G$2)</f>
        <v>0</v>
      </c>
      <c r="AC54" s="31" cm="1">
        <f t="array" ref="AC54">SumByColor(AC55:AC132,REFERENCE!$G$2)</f>
        <v>0</v>
      </c>
      <c r="AD54" s="31" cm="1">
        <f t="array" ref="AD54">SumByColor(AD55:AD132,REFERENCE!$G$2)</f>
        <v>0</v>
      </c>
      <c r="AE54" s="31" cm="1">
        <f t="array" ref="AE54">SumByColor(AE55:AE132,REFERENCE!$G$2)</f>
        <v>0</v>
      </c>
      <c r="AF54" s="31" cm="1">
        <f t="array" ref="AF54">SumByColor(AF55:AF132,REFERENCE!$G$2)</f>
        <v>0</v>
      </c>
      <c r="AG54" s="31" cm="1">
        <f t="array" ref="AG54">SumByColor(AG55:AG132,REFERENCE!$G$2)</f>
        <v>0</v>
      </c>
      <c r="AH54" s="31" cm="1">
        <f t="array" ref="AH54">SumByColor(AH55:AH132,REFERENCE!$G$2)</f>
        <v>0</v>
      </c>
      <c r="AI54" s="31" cm="1">
        <f t="array" ref="AI54">SumByColor(AI55:AI132,REFERENCE!$G$2)</f>
        <v>0</v>
      </c>
      <c r="AJ54" s="31" cm="1">
        <f t="array" ref="AJ54">SumByColor(AJ55:AJ132,REFERENCE!$G$2)</f>
        <v>0</v>
      </c>
      <c r="AK54" s="31" cm="1">
        <f t="array" ref="AK54">SumByColor(AK55:AK132,REFERENCE!$G$2)</f>
        <v>0</v>
      </c>
      <c r="AL54" s="31" cm="1">
        <f t="array" ref="AL54">SumByColor(AL55:AL132,REFERENCE!$G$2)</f>
        <v>0</v>
      </c>
      <c r="AM54" s="31" cm="1">
        <f t="array" ref="AM54">SumByColor(AM55:AM132,REFERENCE!$G$2)</f>
        <v>0</v>
      </c>
      <c r="AN54" s="31" cm="1">
        <f t="array" ref="AN54">SumByColor(AN55:AN132,REFERENCE!$G$2)</f>
        <v>0</v>
      </c>
      <c r="AO54" s="31" cm="1">
        <f t="array" ref="AO54">SumByColor(AO55:AO132,REFERENCE!$G$2)</f>
        <v>0</v>
      </c>
      <c r="AP54" s="31" cm="1">
        <f t="array" ref="AP54">SumByColor(AP55:AP132,REFERENCE!$G$2)</f>
        <v>0</v>
      </c>
      <c r="AQ54" s="31" cm="1">
        <f t="array" ref="AQ54">SumByColor(AQ55:AQ132,REFERENCE!$G$2)</f>
        <v>0</v>
      </c>
      <c r="AR54" s="31" cm="1">
        <f t="array" ref="AR54">SumByColor(AR55:AR132,REFERENCE!$G$2)</f>
        <v>0</v>
      </c>
      <c r="AS54" s="31" cm="1">
        <f t="array" ref="AS54">SumByColor(AS55:AS132,REFERENCE!$G$2)</f>
        <v>0</v>
      </c>
      <c r="AT54" s="31" cm="1">
        <f t="array" ref="AT54">SumByColor(AT55:AT132,REFERENCE!$G$2)</f>
        <v>0</v>
      </c>
      <c r="AU54" s="31" cm="1">
        <f t="array" ref="AU54">SumByColor(AU55:AU132,REFERENCE!$G$2)</f>
        <v>0</v>
      </c>
      <c r="AV54" s="31" cm="1">
        <f t="array" ref="AV54">SumByColor(AV55:AV132,REFERENCE!$G$2)</f>
        <v>0</v>
      </c>
      <c r="AW54" s="31" cm="1">
        <f t="array" ref="AW54">SumByColor(AW55:AW132,REFERENCE!$G$2)</f>
        <v>0</v>
      </c>
      <c r="AX54" s="31" cm="1">
        <f t="array" ref="AX54">SumByColor(AX55:AX132,REFERENCE!$G$2)</f>
        <v>0</v>
      </c>
      <c r="AY54" s="31" cm="1">
        <f t="array" ref="AY54">SumByColor(AY55:AY132,REFERENCE!$G$2)</f>
        <v>0</v>
      </c>
      <c r="AZ54" s="31" cm="1">
        <f t="array" ref="AZ54">SumByColor(AZ55:AZ132,REFERENCE!$G$2)</f>
        <v>0</v>
      </c>
      <c r="BA54" s="31" cm="1">
        <f t="array" ref="BA54">SumByColor(BA55:BA132,REFERENCE!$G$2)</f>
        <v>0</v>
      </c>
      <c r="BB54" s="31" cm="1">
        <f t="array" ref="BB54">SumByColor(BB55:BB132,REFERENCE!$G$2)</f>
        <v>0</v>
      </c>
      <c r="BC54" s="31" cm="1">
        <f t="array" ref="BC54">SumByColor(BC55:BC132,REFERENCE!$G$2)</f>
        <v>0</v>
      </c>
      <c r="BD54" s="31" cm="1">
        <f t="array" ref="BD54">SumByColor(BD55:BD132,REFERENCE!$G$2)</f>
        <v>0</v>
      </c>
      <c r="BE54" s="31" cm="1">
        <f t="array" ref="BE54">SumByColor(BE55:BE132,REFERENCE!$G$2)</f>
        <v>0</v>
      </c>
      <c r="BF54" s="31" cm="1">
        <f t="array" ref="BF54">SumByColor(BF55:BF132,REFERENCE!$G$2)</f>
        <v>0</v>
      </c>
      <c r="BG54" s="31" cm="1">
        <f t="array" ref="BG54">SumByColor(BG55:BG132,REFERENCE!$G$2)</f>
        <v>0</v>
      </c>
      <c r="BH54" s="31" cm="1">
        <f t="array" ref="BH54">SumByColor(BH55:BH132,REFERENCE!$G$2)</f>
        <v>0</v>
      </c>
      <c r="BI54" s="31" cm="1">
        <f t="array" ref="BI54">SumByColor(BI55:BI132,REFERENCE!$G$2)</f>
        <v>0</v>
      </c>
      <c r="BJ54" s="31" cm="1">
        <f t="array" ref="BJ54">SumByColor(BJ55:BJ132,REFERENCE!$G$2)</f>
        <v>0</v>
      </c>
      <c r="BK54" s="31" cm="1">
        <f t="array" ref="BK54">SumByColor(BK55:BK132,REFERENCE!$G$2)</f>
        <v>0</v>
      </c>
      <c r="BL54" s="31" cm="1">
        <f t="array" ref="BL54">SumByColor(BL55:BL132,REFERENCE!$G$2)</f>
        <v>0</v>
      </c>
      <c r="BM54" s="31" cm="1">
        <f t="array" ref="BM54">SumByColor(BM55:BM132,REFERENCE!$G$2)</f>
        <v>0</v>
      </c>
      <c r="BN54" s="31" cm="1">
        <f t="array" ref="BN54">SumByColor(BN55:BN132,REFERENCE!$G$2)</f>
        <v>0</v>
      </c>
      <c r="BO54" s="31" cm="1">
        <f t="array" ref="BO54">SumByColor(BO55:BO132,REFERENCE!$G$2)</f>
        <v>0</v>
      </c>
      <c r="BP54" s="31" cm="1">
        <f t="array" ref="BP54">SumByColor(BP55:BP132,REFERENCE!$G$2)</f>
        <v>0</v>
      </c>
      <c r="BQ54" s="31" cm="1">
        <f t="array" ref="BQ54">SumByColor(BQ55:BQ132,REFERENCE!$G$2)</f>
        <v>0</v>
      </c>
      <c r="BR54" s="31" cm="1">
        <f t="array" ref="BR54">SumByColor(BR55:BR132,REFERENCE!$G$2)</f>
        <v>0</v>
      </c>
      <c r="BS54" s="31" cm="1">
        <f t="array" ref="BS54">SumByColor(BS55:BS132,REFERENCE!$G$2)</f>
        <v>0</v>
      </c>
      <c r="BT54" s="31" cm="1">
        <f t="array" ref="BT54">SumByColor(BT55:BT132,REFERENCE!$G$2)</f>
        <v>0</v>
      </c>
      <c r="BU54" s="31" cm="1">
        <f t="array" ref="BU54">SumByColor(BU55:BU132,REFERENCE!$G$2)</f>
        <v>0</v>
      </c>
      <c r="BV54" s="31" cm="1">
        <f t="array" ref="BV54">SumByColor(BV55:BV132,REFERENCE!$G$2)</f>
        <v>0</v>
      </c>
      <c r="BW54" s="31" cm="1">
        <f t="array" ref="BW54">SumByColor(BW55:BW132,REFERENCE!$G$2)</f>
        <v>0</v>
      </c>
      <c r="BX54" s="31" cm="1">
        <f t="array" ref="BX54">SumByColor(BX55:BX132,REFERENCE!$G$2)</f>
        <v>0</v>
      </c>
      <c r="BY54" s="31" cm="1">
        <f t="array" ref="BY54">SumByColor(BY55:BY132,REFERENCE!$G$2)</f>
        <v>0</v>
      </c>
      <c r="BZ54" s="31" cm="1">
        <f t="array" ref="BZ54">SumByColor(BZ55:BZ132,REFERENCE!$G$2)</f>
        <v>0</v>
      </c>
      <c r="CA54" s="31" cm="1">
        <f t="array" ref="CA54">SumByColor(CA55:CA132,REFERENCE!$G$2)</f>
        <v>0</v>
      </c>
      <c r="CB54" s="31" cm="1">
        <f t="array" ref="CB54">SumByColor(CB55:CB132,REFERENCE!$G$2)</f>
        <v>0</v>
      </c>
      <c r="CC54" s="31" cm="1">
        <f t="array" ref="CC54">SumByColor(CC55:CC132,REFERENCE!$G$2)</f>
        <v>0</v>
      </c>
      <c r="CD54" s="31" cm="1">
        <f t="array" ref="CD54">SumByColor(CD55:CD132,REFERENCE!$G$2)</f>
        <v>0</v>
      </c>
      <c r="CE54" s="31" cm="1">
        <f t="array" ref="CE54">SumByColor(CE55:CE132,REFERENCE!$G$2)</f>
        <v>0</v>
      </c>
      <c r="CF54" s="31" cm="1">
        <f t="array" ref="CF54">SumByColor(CF55:CF132,REFERENCE!$G$2)</f>
        <v>0</v>
      </c>
      <c r="CG54" s="31" cm="1">
        <f t="array" ref="CG54">SumByColor(CG55:CG132,REFERENCE!$G$2)</f>
        <v>0</v>
      </c>
      <c r="CH54" s="31" cm="1">
        <f t="array" ref="CH54">SumByColor(CH55:CH132,REFERENCE!$G$2)</f>
        <v>0</v>
      </c>
      <c r="CI54" s="31" cm="1">
        <f t="array" ref="CI54">SumByColor(CI55:CI132,REFERENCE!$G$2)</f>
        <v>0</v>
      </c>
      <c r="CJ54" s="31" cm="1">
        <f t="array" ref="CJ54">SumByColor(CJ55:CJ132,REFERENCE!$G$2)</f>
        <v>0</v>
      </c>
      <c r="CK54" s="31" cm="1">
        <f t="array" ref="CK54">SumByColor(CK55:CK132,REFERENCE!$G$2)</f>
        <v>0</v>
      </c>
      <c r="CL54" s="31" cm="1">
        <f t="array" ref="CL54">SumByColor(CL55:CL132,REFERENCE!$G$2)</f>
        <v>0</v>
      </c>
      <c r="CM54" s="31" cm="1">
        <f t="array" ref="CM54">SumByColor(CM55:CM132,REFERENCE!$G$2)</f>
        <v>0</v>
      </c>
      <c r="CN54" s="31" cm="1">
        <f t="array" ref="CN54">SumByColor(CN55:CN132,REFERENCE!$G$2)</f>
        <v>0</v>
      </c>
      <c r="CO54" s="31" cm="1">
        <f t="array" ref="CO54">SumByColor(CO55:CO132,REFERENCE!$G$2)</f>
        <v>0</v>
      </c>
      <c r="CP54" s="31" cm="1">
        <f t="array" ref="CP54">SumByColor(CP55:CP132,REFERENCE!$G$2)</f>
        <v>0</v>
      </c>
      <c r="CQ54" s="31" cm="1">
        <f t="array" ref="CQ54">SumByColor(CQ55:CQ132,REFERENCE!$G$2)</f>
        <v>0</v>
      </c>
      <c r="CR54" s="31" cm="1">
        <f t="array" ref="CR54">SumByColor(CR55:CR132,REFERENCE!$G$2)</f>
        <v>0</v>
      </c>
      <c r="CS54" s="31" cm="1">
        <f t="array" ref="CS54">SumByColor(CS55:CS132,REFERENCE!$G$2)</f>
        <v>0</v>
      </c>
      <c r="CT54" s="31" cm="1">
        <f t="array" ref="CT54">SumByColor(CT55:CT132,REFERENCE!$G$2)</f>
        <v>0</v>
      </c>
      <c r="CU54" s="31" cm="1">
        <f t="array" ref="CU54">SumByColor(CU55:CU132,REFERENCE!$G$2)</f>
        <v>0</v>
      </c>
      <c r="CV54" s="31" cm="1">
        <f t="array" ref="CV54">SumByColor(CV55:CV132,REFERENCE!$G$2)</f>
        <v>0</v>
      </c>
      <c r="CW54" s="31" cm="1">
        <f t="array" ref="CW54">SumByColor(CW55:CW132,REFERENCE!$G$2)</f>
        <v>0</v>
      </c>
      <c r="CX54" s="31" cm="1">
        <f t="array" ref="CX54">SumByColor(CX55:CX132,REFERENCE!$G$2)</f>
        <v>0</v>
      </c>
      <c r="CY54" s="31" cm="1">
        <f t="array" ref="CY54">SumByColor(CY55:CY132,REFERENCE!$G$2)</f>
        <v>0</v>
      </c>
      <c r="CZ54" s="31" cm="1">
        <f t="array" ref="CZ54">SumByColor(CZ55:CZ132,REFERENCE!$G$2)</f>
        <v>0</v>
      </c>
      <c r="DA54" s="31" cm="1">
        <f t="array" ref="DA54">SumByColor(DA55:DA132,REFERENCE!$G$2)</f>
        <v>0</v>
      </c>
      <c r="DB54" s="31" cm="1">
        <f t="array" ref="DB54">SumByColor(DB55:DB132,REFERENCE!$G$2)</f>
        <v>0</v>
      </c>
      <c r="DC54" s="31" cm="1">
        <f t="array" ref="DC54">SumByColor(DC55:DC132,REFERENCE!$G$2)</f>
        <v>0</v>
      </c>
      <c r="DD54" s="31" cm="1">
        <f t="array" ref="DD54">SumByColor(DD55:DD132,REFERENCE!$G$2)</f>
        <v>0</v>
      </c>
      <c r="DE54" s="31" cm="1">
        <f t="array" ref="DE54">SumByColor(DE55:DE132,REFERENCE!$G$2)</f>
        <v>0</v>
      </c>
      <c r="DF54" s="31" cm="1">
        <f t="array" ref="DF54">SumByColor(DF55:DF132,REFERENCE!$G$2)</f>
        <v>0</v>
      </c>
      <c r="DG54" s="31" cm="1">
        <f t="array" ref="DG54">SumByColor(DG55:DG132,REFERENCE!$G$2)</f>
        <v>0</v>
      </c>
      <c r="DH54" s="31" cm="1">
        <f t="array" ref="DH54">SumByColor(DH55:DH132,REFERENCE!$G$2)</f>
        <v>0</v>
      </c>
      <c r="DI54" s="31" cm="1">
        <f t="array" ref="DI54">SumByColor(DI55:DI132,REFERENCE!$G$2)</f>
        <v>0</v>
      </c>
      <c r="DJ54" s="31" cm="1">
        <f t="array" ref="DJ54">SumByColor(DJ55:DJ132,REFERENCE!$G$2)</f>
        <v>0</v>
      </c>
      <c r="DK54" s="31" cm="1">
        <f t="array" ref="DK54">SumByColor(DK55:DK132,REFERENCE!$G$2)</f>
        <v>0</v>
      </c>
      <c r="DL54" s="31" cm="1">
        <f t="array" ref="DL54">SumByColor(DL55:DL132,REFERENCE!$G$2)</f>
        <v>0</v>
      </c>
      <c r="DM54" s="31" cm="1">
        <f t="array" ref="DM54">SumByColor(DM55:DM132,REFERENCE!$G$2)</f>
        <v>0</v>
      </c>
      <c r="DN54" s="31" cm="1">
        <f t="array" ref="DN54">SumByColor(DN55:DN132,REFERENCE!$G$2)</f>
        <v>0</v>
      </c>
      <c r="DO54" s="31" cm="1">
        <f t="array" ref="DO54">SumByColor(DO55:DO132,REFERENCE!$G$2)</f>
        <v>0</v>
      </c>
      <c r="DP54" s="31" cm="1">
        <f t="array" ref="DP54">SumByColor(DP55:DP132,REFERENCE!$G$2)</f>
        <v>0</v>
      </c>
      <c r="DQ54" s="31" cm="1">
        <f t="array" ref="DQ54">SumByColor(DQ55:DQ132,REFERENCE!$G$2)</f>
        <v>0</v>
      </c>
      <c r="DR54" s="31" cm="1">
        <f t="array" ref="DR54">SumByColor(DR55:DR132,REFERENCE!$G$2)</f>
        <v>0</v>
      </c>
      <c r="DS54" s="31" cm="1">
        <f t="array" ref="DS54">SumByColor(DS55:DS132,REFERENCE!$G$2)</f>
        <v>0</v>
      </c>
      <c r="DT54" s="31" cm="1">
        <f t="array" ref="DT54">SumByColor(DT55:DT132,REFERENCE!$G$2)</f>
        <v>0</v>
      </c>
      <c r="DU54" s="31" cm="1">
        <f t="array" ref="DU54">SumByColor(DU55:DU132,REFERENCE!$G$2)</f>
        <v>0</v>
      </c>
      <c r="DV54" s="31" cm="1">
        <f t="array" ref="DV54">SumByColor(DV55:DV132,REFERENCE!$G$2)</f>
        <v>0</v>
      </c>
      <c r="DW54" s="31" cm="1">
        <f t="array" ref="DW54">SumByColor(DW55:DW132,REFERENCE!$G$2)</f>
        <v>0</v>
      </c>
      <c r="DX54" s="31" cm="1">
        <f t="array" ref="DX54">SumByColor(DX55:DX132,REFERENCE!$G$2)</f>
        <v>0</v>
      </c>
      <c r="DY54" s="31" cm="1">
        <f t="array" ref="DY54">SumByColor(DY55:DY132,REFERENCE!$G$2)</f>
        <v>0</v>
      </c>
      <c r="DZ54" s="218"/>
      <c r="EA54" s="232"/>
      <c r="EB54" s="232"/>
      <c r="EC54" s="232"/>
      <c r="ED54" s="232"/>
      <c r="EE54" s="232"/>
      <c r="EF54" s="232"/>
      <c r="EG54" s="232"/>
      <c r="EH54" s="232"/>
      <c r="EI54" s="232"/>
      <c r="EJ54" s="232"/>
      <c r="EK54" s="232"/>
      <c r="EL54" s="232"/>
      <c r="EM54" s="232"/>
      <c r="EN54" s="232"/>
      <c r="EO54" s="232"/>
      <c r="EP54" s="232"/>
      <c r="EQ54" s="232"/>
    </row>
    <row r="55" spans="1:147" s="40" customFormat="1" ht="22.9" customHeight="1" outlineLevel="1" collapsed="1" x14ac:dyDescent="0.2">
      <c r="A55" s="149" t="s">
        <v>537</v>
      </c>
      <c r="B55" s="34" t="s">
        <v>450</v>
      </c>
      <c r="C55" s="30" t="s">
        <v>100</v>
      </c>
      <c r="D55" s="164"/>
      <c r="E55" s="164"/>
      <c r="F55" s="45">
        <f>SUM(F56:F57)</f>
        <v>0</v>
      </c>
      <c r="G55" s="44">
        <f>SUM(G56:G57)</f>
        <v>0</v>
      </c>
      <c r="H55" s="45">
        <f>SUMPRODUCT($E$56:$E$57,$D$56:$D$57,H56:H57)</f>
        <v>0</v>
      </c>
      <c r="I55" s="45">
        <f t="shared" ref="I55:BT55" si="25">SUMPRODUCT($E$56:$E$57,$D$56:$D$57,I56:I57)</f>
        <v>0</v>
      </c>
      <c r="J55" s="45">
        <f t="shared" si="25"/>
        <v>0</v>
      </c>
      <c r="K55" s="45">
        <f t="shared" si="25"/>
        <v>0</v>
      </c>
      <c r="L55" s="45">
        <f t="shared" si="25"/>
        <v>0</v>
      </c>
      <c r="M55" s="45">
        <f t="shared" si="25"/>
        <v>0</v>
      </c>
      <c r="N55" s="45">
        <f t="shared" si="25"/>
        <v>0</v>
      </c>
      <c r="O55" s="45">
        <f t="shared" si="25"/>
        <v>0</v>
      </c>
      <c r="P55" s="45">
        <f t="shared" si="25"/>
        <v>0</v>
      </c>
      <c r="Q55" s="45">
        <f t="shared" si="25"/>
        <v>0</v>
      </c>
      <c r="R55" s="45">
        <f t="shared" si="25"/>
        <v>0</v>
      </c>
      <c r="S55" s="45">
        <f t="shared" si="25"/>
        <v>0</v>
      </c>
      <c r="T55" s="45">
        <f t="shared" si="25"/>
        <v>0</v>
      </c>
      <c r="U55" s="45">
        <f t="shared" si="25"/>
        <v>0</v>
      </c>
      <c r="V55" s="45">
        <f t="shared" si="25"/>
        <v>0</v>
      </c>
      <c r="W55" s="45">
        <f t="shared" si="25"/>
        <v>0</v>
      </c>
      <c r="X55" s="45">
        <f t="shared" si="25"/>
        <v>0</v>
      </c>
      <c r="Y55" s="45">
        <f t="shared" si="25"/>
        <v>0</v>
      </c>
      <c r="Z55" s="45">
        <f t="shared" si="25"/>
        <v>0</v>
      </c>
      <c r="AA55" s="45">
        <f t="shared" si="25"/>
        <v>0</v>
      </c>
      <c r="AB55" s="45">
        <f t="shared" si="25"/>
        <v>0</v>
      </c>
      <c r="AC55" s="45">
        <f t="shared" si="25"/>
        <v>0</v>
      </c>
      <c r="AD55" s="45">
        <f t="shared" si="25"/>
        <v>0</v>
      </c>
      <c r="AE55" s="45">
        <f t="shared" si="25"/>
        <v>0</v>
      </c>
      <c r="AF55" s="45">
        <f t="shared" si="25"/>
        <v>0</v>
      </c>
      <c r="AG55" s="45">
        <f t="shared" si="25"/>
        <v>0</v>
      </c>
      <c r="AH55" s="45">
        <f t="shared" si="25"/>
        <v>0</v>
      </c>
      <c r="AI55" s="45">
        <f t="shared" si="25"/>
        <v>0</v>
      </c>
      <c r="AJ55" s="45">
        <f t="shared" si="25"/>
        <v>0</v>
      </c>
      <c r="AK55" s="45">
        <f t="shared" si="25"/>
        <v>0</v>
      </c>
      <c r="AL55" s="45">
        <f t="shared" si="25"/>
        <v>0</v>
      </c>
      <c r="AM55" s="45">
        <f t="shared" si="25"/>
        <v>0</v>
      </c>
      <c r="AN55" s="45">
        <f t="shared" si="25"/>
        <v>0</v>
      </c>
      <c r="AO55" s="45">
        <f t="shared" si="25"/>
        <v>0</v>
      </c>
      <c r="AP55" s="45">
        <f t="shared" si="25"/>
        <v>0</v>
      </c>
      <c r="AQ55" s="45">
        <f t="shared" si="25"/>
        <v>0</v>
      </c>
      <c r="AR55" s="45">
        <f t="shared" si="25"/>
        <v>0</v>
      </c>
      <c r="AS55" s="45">
        <f t="shared" si="25"/>
        <v>0</v>
      </c>
      <c r="AT55" s="45">
        <f t="shared" si="25"/>
        <v>0</v>
      </c>
      <c r="AU55" s="45">
        <f t="shared" si="25"/>
        <v>0</v>
      </c>
      <c r="AV55" s="45">
        <f t="shared" si="25"/>
        <v>0</v>
      </c>
      <c r="AW55" s="45">
        <f t="shared" si="25"/>
        <v>0</v>
      </c>
      <c r="AX55" s="45">
        <f t="shared" si="25"/>
        <v>0</v>
      </c>
      <c r="AY55" s="45">
        <f t="shared" si="25"/>
        <v>0</v>
      </c>
      <c r="AZ55" s="45">
        <f t="shared" si="25"/>
        <v>0</v>
      </c>
      <c r="BA55" s="45">
        <f t="shared" si="25"/>
        <v>0</v>
      </c>
      <c r="BB55" s="45">
        <f t="shared" si="25"/>
        <v>0</v>
      </c>
      <c r="BC55" s="45">
        <f t="shared" si="25"/>
        <v>0</v>
      </c>
      <c r="BD55" s="45">
        <f t="shared" si="25"/>
        <v>0</v>
      </c>
      <c r="BE55" s="45">
        <f t="shared" si="25"/>
        <v>0</v>
      </c>
      <c r="BF55" s="45">
        <f t="shared" si="25"/>
        <v>0</v>
      </c>
      <c r="BG55" s="45">
        <f t="shared" si="25"/>
        <v>0</v>
      </c>
      <c r="BH55" s="45">
        <f t="shared" si="25"/>
        <v>0</v>
      </c>
      <c r="BI55" s="45">
        <f t="shared" si="25"/>
        <v>0</v>
      </c>
      <c r="BJ55" s="45">
        <f t="shared" si="25"/>
        <v>0</v>
      </c>
      <c r="BK55" s="45">
        <f t="shared" si="25"/>
        <v>0</v>
      </c>
      <c r="BL55" s="45">
        <f t="shared" si="25"/>
        <v>0</v>
      </c>
      <c r="BM55" s="45">
        <f t="shared" si="25"/>
        <v>0</v>
      </c>
      <c r="BN55" s="45">
        <f t="shared" si="25"/>
        <v>0</v>
      </c>
      <c r="BO55" s="45">
        <f t="shared" si="25"/>
        <v>0</v>
      </c>
      <c r="BP55" s="45">
        <f t="shared" si="25"/>
        <v>0</v>
      </c>
      <c r="BQ55" s="45">
        <f t="shared" si="25"/>
        <v>0</v>
      </c>
      <c r="BR55" s="45">
        <f t="shared" si="25"/>
        <v>0</v>
      </c>
      <c r="BS55" s="45">
        <f t="shared" si="25"/>
        <v>0</v>
      </c>
      <c r="BT55" s="45">
        <f t="shared" si="25"/>
        <v>0</v>
      </c>
      <c r="BU55" s="45">
        <f>SUMPRODUCT($E$56:$E$57,$D$56:$D$57,BU56:BU57)</f>
        <v>0</v>
      </c>
      <c r="BV55" s="45">
        <f t="shared" ref="BV55:DY55" si="26">SUMPRODUCT($E$56:$E$57,$D$56:$D$57,BV56:BV57)</f>
        <v>0</v>
      </c>
      <c r="BW55" s="45">
        <f t="shared" si="26"/>
        <v>0</v>
      </c>
      <c r="BX55" s="45">
        <f t="shared" si="26"/>
        <v>0</v>
      </c>
      <c r="BY55" s="45">
        <f t="shared" si="26"/>
        <v>0</v>
      </c>
      <c r="BZ55" s="45">
        <f t="shared" si="26"/>
        <v>0</v>
      </c>
      <c r="CA55" s="45">
        <f t="shared" si="26"/>
        <v>0</v>
      </c>
      <c r="CB55" s="45">
        <f t="shared" si="26"/>
        <v>0</v>
      </c>
      <c r="CC55" s="45">
        <f t="shared" si="26"/>
        <v>0</v>
      </c>
      <c r="CD55" s="45">
        <f t="shared" si="26"/>
        <v>0</v>
      </c>
      <c r="CE55" s="45">
        <f t="shared" si="26"/>
        <v>0</v>
      </c>
      <c r="CF55" s="45">
        <f t="shared" si="26"/>
        <v>0</v>
      </c>
      <c r="CG55" s="45">
        <f t="shared" si="26"/>
        <v>0</v>
      </c>
      <c r="CH55" s="45">
        <f t="shared" si="26"/>
        <v>0</v>
      </c>
      <c r="CI55" s="45">
        <f t="shared" si="26"/>
        <v>0</v>
      </c>
      <c r="CJ55" s="45">
        <f t="shared" si="26"/>
        <v>0</v>
      </c>
      <c r="CK55" s="45">
        <f t="shared" si="26"/>
        <v>0</v>
      </c>
      <c r="CL55" s="45">
        <f t="shared" si="26"/>
        <v>0</v>
      </c>
      <c r="CM55" s="45">
        <f t="shared" si="26"/>
        <v>0</v>
      </c>
      <c r="CN55" s="45">
        <f t="shared" si="26"/>
        <v>0</v>
      </c>
      <c r="CO55" s="45">
        <f t="shared" si="26"/>
        <v>0</v>
      </c>
      <c r="CP55" s="45">
        <f t="shared" si="26"/>
        <v>0</v>
      </c>
      <c r="CQ55" s="45">
        <f t="shared" si="26"/>
        <v>0</v>
      </c>
      <c r="CR55" s="45">
        <f t="shared" si="26"/>
        <v>0</v>
      </c>
      <c r="CS55" s="45">
        <f t="shared" si="26"/>
        <v>0</v>
      </c>
      <c r="CT55" s="45">
        <f t="shared" si="26"/>
        <v>0</v>
      </c>
      <c r="CU55" s="45">
        <f t="shared" si="26"/>
        <v>0</v>
      </c>
      <c r="CV55" s="45">
        <f t="shared" si="26"/>
        <v>0</v>
      </c>
      <c r="CW55" s="45">
        <f t="shared" si="26"/>
        <v>0</v>
      </c>
      <c r="CX55" s="45">
        <f t="shared" si="26"/>
        <v>0</v>
      </c>
      <c r="CY55" s="45">
        <f t="shared" si="26"/>
        <v>0</v>
      </c>
      <c r="CZ55" s="45">
        <f t="shared" si="26"/>
        <v>0</v>
      </c>
      <c r="DA55" s="45">
        <f t="shared" si="26"/>
        <v>0</v>
      </c>
      <c r="DB55" s="45">
        <f t="shared" si="26"/>
        <v>0</v>
      </c>
      <c r="DC55" s="45">
        <f t="shared" si="26"/>
        <v>0</v>
      </c>
      <c r="DD55" s="45">
        <f t="shared" si="26"/>
        <v>0</v>
      </c>
      <c r="DE55" s="45">
        <f t="shared" si="26"/>
        <v>0</v>
      </c>
      <c r="DF55" s="45">
        <f t="shared" si="26"/>
        <v>0</v>
      </c>
      <c r="DG55" s="45">
        <f t="shared" si="26"/>
        <v>0</v>
      </c>
      <c r="DH55" s="45">
        <f t="shared" si="26"/>
        <v>0</v>
      </c>
      <c r="DI55" s="45">
        <f t="shared" si="26"/>
        <v>0</v>
      </c>
      <c r="DJ55" s="45">
        <f t="shared" si="26"/>
        <v>0</v>
      </c>
      <c r="DK55" s="45">
        <f t="shared" si="26"/>
        <v>0</v>
      </c>
      <c r="DL55" s="45">
        <f t="shared" si="26"/>
        <v>0</v>
      </c>
      <c r="DM55" s="45">
        <f t="shared" si="26"/>
        <v>0</v>
      </c>
      <c r="DN55" s="45">
        <f t="shared" si="26"/>
        <v>0</v>
      </c>
      <c r="DO55" s="45">
        <f t="shared" si="26"/>
        <v>0</v>
      </c>
      <c r="DP55" s="45">
        <f t="shared" si="26"/>
        <v>0</v>
      </c>
      <c r="DQ55" s="45">
        <f t="shared" si="26"/>
        <v>0</v>
      </c>
      <c r="DR55" s="45">
        <f t="shared" si="26"/>
        <v>0</v>
      </c>
      <c r="DS55" s="45">
        <f t="shared" si="26"/>
        <v>0</v>
      </c>
      <c r="DT55" s="45">
        <f t="shared" si="26"/>
        <v>0</v>
      </c>
      <c r="DU55" s="45">
        <f t="shared" si="26"/>
        <v>0</v>
      </c>
      <c r="DV55" s="45">
        <f t="shared" si="26"/>
        <v>0</v>
      </c>
      <c r="DW55" s="45">
        <f t="shared" si="26"/>
        <v>0</v>
      </c>
      <c r="DX55" s="45">
        <f t="shared" si="26"/>
        <v>0</v>
      </c>
      <c r="DY55" s="45">
        <f t="shared" si="26"/>
        <v>0</v>
      </c>
      <c r="DZ55" s="218"/>
      <c r="EA55" s="231"/>
      <c r="EB55" s="231"/>
      <c r="EC55" s="231"/>
      <c r="ED55" s="231"/>
      <c r="EE55" s="231"/>
      <c r="EF55" s="231"/>
      <c r="EG55" s="231"/>
      <c r="EH55" s="231"/>
      <c r="EI55" s="231"/>
      <c r="EJ55" s="231"/>
      <c r="EK55" s="231"/>
      <c r="EL55" s="231"/>
      <c r="EM55" s="231"/>
      <c r="EN55" s="231"/>
      <c r="EO55" s="231"/>
      <c r="EP55" s="231"/>
      <c r="EQ55" s="231"/>
    </row>
    <row r="56" spans="1:147" ht="22.9" hidden="1" customHeight="1" outlineLevel="2" x14ac:dyDescent="0.2">
      <c r="A56" s="146" t="s">
        <v>150</v>
      </c>
      <c r="B56" s="53" t="s">
        <v>134</v>
      </c>
      <c r="C56" s="50" t="s">
        <v>133</v>
      </c>
      <c r="D56" s="165" t="s">
        <v>454</v>
      </c>
      <c r="E56" s="158">
        <v>1</v>
      </c>
      <c r="F56" s="52">
        <f>SUM(H56:DY56)*E56*Table1[[#This Row],[Cycles]]</f>
        <v>0</v>
      </c>
      <c r="G56" s="46">
        <f>SUMPRODUCT($H$3:$DY$3,$H56:$DY56)*E56*D56</f>
        <v>0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219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</row>
    <row r="57" spans="1:147" ht="22.9" hidden="1" customHeight="1" outlineLevel="2" x14ac:dyDescent="0.2">
      <c r="A57" s="146" t="s">
        <v>151</v>
      </c>
      <c r="B57" s="53" t="s">
        <v>451</v>
      </c>
      <c r="C57" s="50" t="s">
        <v>133</v>
      </c>
      <c r="D57" s="165" t="s">
        <v>454</v>
      </c>
      <c r="E57" s="158">
        <v>1</v>
      </c>
      <c r="F57" s="52">
        <f>SUM(H57:DY57)*E57*Table1[[#This Row],[Cycles]]</f>
        <v>0</v>
      </c>
      <c r="G57" s="46">
        <f>SUMPRODUCT($H$3:$DY$3,$H57:$DY57)*E57*D57</f>
        <v>0</v>
      </c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  <c r="DG57" s="47"/>
      <c r="DH57" s="47"/>
      <c r="DI57" s="47"/>
      <c r="DJ57" s="47"/>
      <c r="DK57" s="47"/>
      <c r="DL57" s="47"/>
      <c r="DM57" s="47"/>
      <c r="DN57" s="47"/>
      <c r="DO57" s="47"/>
      <c r="DP57" s="47"/>
      <c r="DQ57" s="47"/>
      <c r="DR57" s="47"/>
      <c r="DS57" s="47"/>
      <c r="DT57" s="47"/>
      <c r="DU57" s="47"/>
      <c r="DV57" s="47"/>
      <c r="DW57" s="47"/>
      <c r="DX57" s="47"/>
      <c r="DY57" s="47"/>
      <c r="DZ57" s="219"/>
      <c r="EA57" s="231"/>
      <c r="EB57" s="231"/>
      <c r="EC57" s="231"/>
      <c r="ED57" s="231"/>
      <c r="EE57" s="231"/>
      <c r="EF57" s="231"/>
      <c r="EG57" s="231"/>
      <c r="EH57" s="231"/>
      <c r="EI57" s="231"/>
      <c r="EJ57" s="231"/>
      <c r="EK57" s="231"/>
      <c r="EL57" s="231"/>
      <c r="EM57" s="231"/>
      <c r="EN57" s="231"/>
      <c r="EO57" s="231"/>
      <c r="EP57" s="231"/>
      <c r="EQ57" s="231"/>
    </row>
    <row r="58" spans="1:147" s="40" customFormat="1" ht="22.9" customHeight="1" outlineLevel="1" collapsed="1" x14ac:dyDescent="0.2">
      <c r="A58" s="149" t="s">
        <v>538</v>
      </c>
      <c r="B58" s="34" t="s">
        <v>486</v>
      </c>
      <c r="C58" s="30" t="s">
        <v>100</v>
      </c>
      <c r="D58" s="164"/>
      <c r="E58" s="164"/>
      <c r="F58" s="45">
        <f>SUM(F59:F72)</f>
        <v>0</v>
      </c>
      <c r="G58" s="44">
        <f>SUM(G59:G72)</f>
        <v>0</v>
      </c>
      <c r="H58" s="45">
        <f>SUMPRODUCT($E$59:$E$72,$D$59:$D$72,H59:H72)</f>
        <v>0</v>
      </c>
      <c r="I58" s="45">
        <f t="shared" ref="I58:BT58" si="27">SUMPRODUCT($E$59:$E$72,$D$59:$D$72,I59:I72)</f>
        <v>0</v>
      </c>
      <c r="J58" s="45">
        <f t="shared" si="27"/>
        <v>0</v>
      </c>
      <c r="K58" s="45">
        <f t="shared" si="27"/>
        <v>0</v>
      </c>
      <c r="L58" s="45">
        <f t="shared" si="27"/>
        <v>0</v>
      </c>
      <c r="M58" s="45">
        <f t="shared" si="27"/>
        <v>0</v>
      </c>
      <c r="N58" s="45">
        <f t="shared" si="27"/>
        <v>0</v>
      </c>
      <c r="O58" s="45">
        <f t="shared" si="27"/>
        <v>0</v>
      </c>
      <c r="P58" s="45">
        <f t="shared" si="27"/>
        <v>0</v>
      </c>
      <c r="Q58" s="45">
        <f t="shared" si="27"/>
        <v>0</v>
      </c>
      <c r="R58" s="45">
        <f t="shared" si="27"/>
        <v>0</v>
      </c>
      <c r="S58" s="45">
        <f t="shared" si="27"/>
        <v>0</v>
      </c>
      <c r="T58" s="45">
        <f t="shared" si="27"/>
        <v>0</v>
      </c>
      <c r="U58" s="45">
        <f t="shared" si="27"/>
        <v>0</v>
      </c>
      <c r="V58" s="45">
        <f t="shared" si="27"/>
        <v>0</v>
      </c>
      <c r="W58" s="45">
        <f t="shared" si="27"/>
        <v>0</v>
      </c>
      <c r="X58" s="45">
        <f t="shared" si="27"/>
        <v>0</v>
      </c>
      <c r="Y58" s="45">
        <f t="shared" si="27"/>
        <v>0</v>
      </c>
      <c r="Z58" s="45">
        <f t="shared" si="27"/>
        <v>0</v>
      </c>
      <c r="AA58" s="45">
        <f t="shared" si="27"/>
        <v>0</v>
      </c>
      <c r="AB58" s="45">
        <f t="shared" si="27"/>
        <v>0</v>
      </c>
      <c r="AC58" s="45">
        <f t="shared" si="27"/>
        <v>0</v>
      </c>
      <c r="AD58" s="45">
        <f t="shared" si="27"/>
        <v>0</v>
      </c>
      <c r="AE58" s="45">
        <f t="shared" si="27"/>
        <v>0</v>
      </c>
      <c r="AF58" s="45">
        <f t="shared" si="27"/>
        <v>0</v>
      </c>
      <c r="AG58" s="45">
        <f t="shared" si="27"/>
        <v>0</v>
      </c>
      <c r="AH58" s="45">
        <f t="shared" si="27"/>
        <v>0</v>
      </c>
      <c r="AI58" s="45">
        <f t="shared" si="27"/>
        <v>0</v>
      </c>
      <c r="AJ58" s="45">
        <f t="shared" si="27"/>
        <v>0</v>
      </c>
      <c r="AK58" s="45">
        <f t="shared" si="27"/>
        <v>0</v>
      </c>
      <c r="AL58" s="45">
        <f t="shared" si="27"/>
        <v>0</v>
      </c>
      <c r="AM58" s="45">
        <f t="shared" si="27"/>
        <v>0</v>
      </c>
      <c r="AN58" s="45">
        <f t="shared" si="27"/>
        <v>0</v>
      </c>
      <c r="AO58" s="45">
        <f t="shared" si="27"/>
        <v>0</v>
      </c>
      <c r="AP58" s="45">
        <f t="shared" si="27"/>
        <v>0</v>
      </c>
      <c r="AQ58" s="45">
        <f t="shared" si="27"/>
        <v>0</v>
      </c>
      <c r="AR58" s="45">
        <f t="shared" si="27"/>
        <v>0</v>
      </c>
      <c r="AS58" s="45">
        <f t="shared" si="27"/>
        <v>0</v>
      </c>
      <c r="AT58" s="45">
        <f t="shared" si="27"/>
        <v>0</v>
      </c>
      <c r="AU58" s="45">
        <f t="shared" si="27"/>
        <v>0</v>
      </c>
      <c r="AV58" s="45">
        <f t="shared" si="27"/>
        <v>0</v>
      </c>
      <c r="AW58" s="45">
        <f t="shared" si="27"/>
        <v>0</v>
      </c>
      <c r="AX58" s="45">
        <f t="shared" si="27"/>
        <v>0</v>
      </c>
      <c r="AY58" s="45">
        <f t="shared" si="27"/>
        <v>0</v>
      </c>
      <c r="AZ58" s="45">
        <f t="shared" si="27"/>
        <v>0</v>
      </c>
      <c r="BA58" s="45">
        <f t="shared" si="27"/>
        <v>0</v>
      </c>
      <c r="BB58" s="45">
        <f t="shared" si="27"/>
        <v>0</v>
      </c>
      <c r="BC58" s="45">
        <f t="shared" si="27"/>
        <v>0</v>
      </c>
      <c r="BD58" s="45">
        <f t="shared" si="27"/>
        <v>0</v>
      </c>
      <c r="BE58" s="45">
        <f t="shared" si="27"/>
        <v>0</v>
      </c>
      <c r="BF58" s="45">
        <f t="shared" si="27"/>
        <v>0</v>
      </c>
      <c r="BG58" s="45">
        <f t="shared" si="27"/>
        <v>0</v>
      </c>
      <c r="BH58" s="45">
        <f t="shared" si="27"/>
        <v>0</v>
      </c>
      <c r="BI58" s="45">
        <f t="shared" si="27"/>
        <v>0</v>
      </c>
      <c r="BJ58" s="45">
        <f t="shared" si="27"/>
        <v>0</v>
      </c>
      <c r="BK58" s="45">
        <f t="shared" si="27"/>
        <v>0</v>
      </c>
      <c r="BL58" s="45">
        <f t="shared" si="27"/>
        <v>0</v>
      </c>
      <c r="BM58" s="45">
        <f t="shared" si="27"/>
        <v>0</v>
      </c>
      <c r="BN58" s="45">
        <f t="shared" si="27"/>
        <v>0</v>
      </c>
      <c r="BO58" s="45">
        <f t="shared" si="27"/>
        <v>0</v>
      </c>
      <c r="BP58" s="45">
        <f t="shared" si="27"/>
        <v>0</v>
      </c>
      <c r="BQ58" s="45">
        <f t="shared" si="27"/>
        <v>0</v>
      </c>
      <c r="BR58" s="45">
        <f t="shared" si="27"/>
        <v>0</v>
      </c>
      <c r="BS58" s="45">
        <f t="shared" si="27"/>
        <v>0</v>
      </c>
      <c r="BT58" s="45">
        <f t="shared" si="27"/>
        <v>0</v>
      </c>
      <c r="BU58" s="45">
        <f t="shared" ref="BU58:DY58" si="28">SUMPRODUCT($E$59:$E$72,$D$59:$D$72,BU59:BU72)</f>
        <v>0</v>
      </c>
      <c r="BV58" s="45">
        <f>SUMPRODUCT($E$59:$E$72,$D$59:$D$72,BV59:BV72)</f>
        <v>0</v>
      </c>
      <c r="BW58" s="45">
        <f t="shared" si="28"/>
        <v>0</v>
      </c>
      <c r="BX58" s="45">
        <f t="shared" si="28"/>
        <v>0</v>
      </c>
      <c r="BY58" s="45">
        <f t="shared" si="28"/>
        <v>0</v>
      </c>
      <c r="BZ58" s="45">
        <f t="shared" si="28"/>
        <v>0</v>
      </c>
      <c r="CA58" s="45">
        <f t="shared" si="28"/>
        <v>0</v>
      </c>
      <c r="CB58" s="45">
        <f t="shared" si="28"/>
        <v>0</v>
      </c>
      <c r="CC58" s="45">
        <f t="shared" si="28"/>
        <v>0</v>
      </c>
      <c r="CD58" s="45">
        <f t="shared" si="28"/>
        <v>0</v>
      </c>
      <c r="CE58" s="45">
        <f t="shared" si="28"/>
        <v>0</v>
      </c>
      <c r="CF58" s="45">
        <f t="shared" si="28"/>
        <v>0</v>
      </c>
      <c r="CG58" s="45">
        <f t="shared" si="28"/>
        <v>0</v>
      </c>
      <c r="CH58" s="45">
        <f t="shared" si="28"/>
        <v>0</v>
      </c>
      <c r="CI58" s="45">
        <f t="shared" si="28"/>
        <v>0</v>
      </c>
      <c r="CJ58" s="45">
        <f t="shared" si="28"/>
        <v>0</v>
      </c>
      <c r="CK58" s="45">
        <f t="shared" si="28"/>
        <v>0</v>
      </c>
      <c r="CL58" s="45">
        <f t="shared" si="28"/>
        <v>0</v>
      </c>
      <c r="CM58" s="45">
        <f t="shared" si="28"/>
        <v>0</v>
      </c>
      <c r="CN58" s="45">
        <f t="shared" si="28"/>
        <v>0</v>
      </c>
      <c r="CO58" s="45">
        <f t="shared" si="28"/>
        <v>0</v>
      </c>
      <c r="CP58" s="45">
        <f t="shared" si="28"/>
        <v>0</v>
      </c>
      <c r="CQ58" s="45">
        <f t="shared" si="28"/>
        <v>0</v>
      </c>
      <c r="CR58" s="45">
        <f t="shared" si="28"/>
        <v>0</v>
      </c>
      <c r="CS58" s="45">
        <f t="shared" si="28"/>
        <v>0</v>
      </c>
      <c r="CT58" s="45">
        <f t="shared" si="28"/>
        <v>0</v>
      </c>
      <c r="CU58" s="45">
        <f t="shared" si="28"/>
        <v>0</v>
      </c>
      <c r="CV58" s="45">
        <f t="shared" si="28"/>
        <v>0</v>
      </c>
      <c r="CW58" s="45">
        <f t="shared" si="28"/>
        <v>0</v>
      </c>
      <c r="CX58" s="45">
        <f t="shared" si="28"/>
        <v>0</v>
      </c>
      <c r="CY58" s="45">
        <f t="shared" si="28"/>
        <v>0</v>
      </c>
      <c r="CZ58" s="45">
        <f t="shared" si="28"/>
        <v>0</v>
      </c>
      <c r="DA58" s="45">
        <f t="shared" si="28"/>
        <v>0</v>
      </c>
      <c r="DB58" s="45">
        <f t="shared" si="28"/>
        <v>0</v>
      </c>
      <c r="DC58" s="45">
        <f t="shared" si="28"/>
        <v>0</v>
      </c>
      <c r="DD58" s="45">
        <f t="shared" si="28"/>
        <v>0</v>
      </c>
      <c r="DE58" s="45">
        <f t="shared" si="28"/>
        <v>0</v>
      </c>
      <c r="DF58" s="45">
        <f t="shared" si="28"/>
        <v>0</v>
      </c>
      <c r="DG58" s="45">
        <f t="shared" si="28"/>
        <v>0</v>
      </c>
      <c r="DH58" s="45">
        <f t="shared" si="28"/>
        <v>0</v>
      </c>
      <c r="DI58" s="45">
        <f t="shared" si="28"/>
        <v>0</v>
      </c>
      <c r="DJ58" s="45">
        <f t="shared" si="28"/>
        <v>0</v>
      </c>
      <c r="DK58" s="45">
        <f t="shared" si="28"/>
        <v>0</v>
      </c>
      <c r="DL58" s="45">
        <f t="shared" si="28"/>
        <v>0</v>
      </c>
      <c r="DM58" s="45">
        <f t="shared" si="28"/>
        <v>0</v>
      </c>
      <c r="DN58" s="45">
        <f t="shared" si="28"/>
        <v>0</v>
      </c>
      <c r="DO58" s="45">
        <f t="shared" si="28"/>
        <v>0</v>
      </c>
      <c r="DP58" s="45">
        <f t="shared" si="28"/>
        <v>0</v>
      </c>
      <c r="DQ58" s="45">
        <f t="shared" si="28"/>
        <v>0</v>
      </c>
      <c r="DR58" s="45">
        <f t="shared" si="28"/>
        <v>0</v>
      </c>
      <c r="DS58" s="45">
        <f t="shared" si="28"/>
        <v>0</v>
      </c>
      <c r="DT58" s="45">
        <f t="shared" si="28"/>
        <v>0</v>
      </c>
      <c r="DU58" s="45">
        <f t="shared" si="28"/>
        <v>0</v>
      </c>
      <c r="DV58" s="45">
        <f t="shared" si="28"/>
        <v>0</v>
      </c>
      <c r="DW58" s="45">
        <f t="shared" si="28"/>
        <v>0</v>
      </c>
      <c r="DX58" s="45">
        <f t="shared" si="28"/>
        <v>0</v>
      </c>
      <c r="DY58" s="45">
        <f t="shared" si="28"/>
        <v>0</v>
      </c>
      <c r="DZ58" s="218"/>
      <c r="EA58" s="231"/>
      <c r="EB58" s="231"/>
      <c r="EC58" s="231"/>
      <c r="ED58" s="231"/>
      <c r="EE58" s="231"/>
      <c r="EF58" s="231"/>
      <c r="EG58" s="231"/>
      <c r="EH58" s="231"/>
      <c r="EI58" s="231"/>
      <c r="EJ58" s="231"/>
      <c r="EK58" s="231"/>
      <c r="EL58" s="231"/>
      <c r="EM58" s="231"/>
      <c r="EN58" s="231"/>
      <c r="EO58" s="231"/>
      <c r="EP58" s="231"/>
      <c r="EQ58" s="231"/>
    </row>
    <row r="59" spans="1:147" ht="22.9" hidden="1" customHeight="1" outlineLevel="2" x14ac:dyDescent="0.2">
      <c r="A59" s="146" t="s">
        <v>540</v>
      </c>
      <c r="B59" s="53" t="s">
        <v>484</v>
      </c>
      <c r="C59" s="50" t="s">
        <v>133</v>
      </c>
      <c r="D59" s="230">
        <v>1</v>
      </c>
      <c r="E59" s="158">
        <v>1</v>
      </c>
      <c r="F59" s="52">
        <f>SUM(H59:DY59)*E59*Table1[[#This Row],[Cycles]]</f>
        <v>0</v>
      </c>
      <c r="G59" s="46">
        <f>SUMPRODUCT($H$3:$DY$3,$H59:$DY59)*E59*D59</f>
        <v>0</v>
      </c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219"/>
      <c r="EA59" s="231"/>
      <c r="EB59" s="231"/>
      <c r="EC59" s="231"/>
      <c r="ED59" s="231"/>
      <c r="EE59" s="231"/>
      <c r="EF59" s="231"/>
      <c r="EG59" s="231"/>
      <c r="EH59" s="231"/>
      <c r="EI59" s="231"/>
      <c r="EJ59" s="231"/>
      <c r="EK59" s="231"/>
      <c r="EL59" s="231"/>
      <c r="EM59" s="231"/>
      <c r="EN59" s="231"/>
      <c r="EO59" s="231"/>
      <c r="EP59" s="231"/>
      <c r="EQ59" s="231"/>
    </row>
    <row r="60" spans="1:147" ht="22.9" hidden="1" customHeight="1" outlineLevel="2" x14ac:dyDescent="0.2">
      <c r="A60" s="146" t="s">
        <v>541</v>
      </c>
      <c r="B60" s="53" t="s">
        <v>415</v>
      </c>
      <c r="C60" s="50" t="s">
        <v>133</v>
      </c>
      <c r="D60" s="165">
        <v>1</v>
      </c>
      <c r="E60" s="158">
        <v>1</v>
      </c>
      <c r="F60" s="52">
        <f>SUM(H60:DY60)*E60*Table1[[#This Row],[Cycles]]</f>
        <v>0</v>
      </c>
      <c r="G60" s="46">
        <f>SUMPRODUCT($H$3:$DY$3,$H60:$DY60)*E60*D60</f>
        <v>0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219"/>
      <c r="EA60" s="231"/>
      <c r="EB60" s="231"/>
      <c r="EC60" s="231"/>
      <c r="ED60" s="231"/>
      <c r="EE60" s="231"/>
      <c r="EF60" s="231"/>
      <c r="EG60" s="231"/>
      <c r="EH60" s="231"/>
      <c r="EI60" s="231"/>
      <c r="EJ60" s="231"/>
      <c r="EK60" s="231"/>
      <c r="EL60" s="231"/>
      <c r="EM60" s="231"/>
      <c r="EN60" s="231"/>
      <c r="EO60" s="231"/>
      <c r="EP60" s="231"/>
      <c r="EQ60" s="231"/>
    </row>
    <row r="61" spans="1:147" ht="22.9" hidden="1" customHeight="1" outlineLevel="2" x14ac:dyDescent="0.2">
      <c r="A61" s="146" t="s">
        <v>542</v>
      </c>
      <c r="B61" s="53" t="s">
        <v>416</v>
      </c>
      <c r="C61" s="50" t="s">
        <v>133</v>
      </c>
      <c r="D61" s="165">
        <v>1</v>
      </c>
      <c r="E61" s="158">
        <v>1</v>
      </c>
      <c r="F61" s="52">
        <f>SUM(H61:DY61)*E61*Table1[[#This Row],[Cycles]]</f>
        <v>0</v>
      </c>
      <c r="G61" s="46">
        <f t="shared" ref="G61:G72" si="29">SUMPRODUCT($H$3:$DY$3,$H61:$DY61)*E61*D61</f>
        <v>0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219"/>
      <c r="EA61" s="231"/>
      <c r="EB61" s="231"/>
      <c r="EC61" s="231"/>
      <c r="ED61" s="231"/>
      <c r="EE61" s="231"/>
      <c r="EF61" s="231"/>
      <c r="EG61" s="231"/>
      <c r="EH61" s="231"/>
      <c r="EI61" s="231"/>
      <c r="EJ61" s="231"/>
      <c r="EK61" s="231"/>
      <c r="EL61" s="231"/>
      <c r="EM61" s="231"/>
      <c r="EN61" s="231"/>
      <c r="EO61" s="231"/>
      <c r="EP61" s="231"/>
      <c r="EQ61" s="231"/>
    </row>
    <row r="62" spans="1:147" ht="22.9" hidden="1" customHeight="1" outlineLevel="2" x14ac:dyDescent="0.2">
      <c r="A62" s="146" t="s">
        <v>543</v>
      </c>
      <c r="B62" s="53" t="s">
        <v>105</v>
      </c>
      <c r="C62" s="50" t="s">
        <v>133</v>
      </c>
      <c r="D62" s="165">
        <v>1</v>
      </c>
      <c r="E62" s="158">
        <v>1</v>
      </c>
      <c r="F62" s="52">
        <f>SUM(H62:DY62)*E62*Table1[[#This Row],[Cycles]]</f>
        <v>0</v>
      </c>
      <c r="G62" s="46">
        <f t="shared" si="29"/>
        <v>0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  <c r="CU62" s="47"/>
      <c r="CV62" s="47"/>
      <c r="CW62" s="47"/>
      <c r="CX62" s="47"/>
      <c r="CY62" s="47"/>
      <c r="CZ62" s="47"/>
      <c r="DA62" s="47"/>
      <c r="DB62" s="47"/>
      <c r="DC62" s="47"/>
      <c r="DD62" s="47"/>
      <c r="DE62" s="47"/>
      <c r="DF62" s="47"/>
      <c r="DG62" s="47"/>
      <c r="DH62" s="47"/>
      <c r="DI62" s="47"/>
      <c r="DJ62" s="47"/>
      <c r="DK62" s="47"/>
      <c r="DL62" s="47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219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</row>
    <row r="63" spans="1:147" ht="22.9" hidden="1" customHeight="1" outlineLevel="2" x14ac:dyDescent="0.2">
      <c r="A63" s="146" t="s">
        <v>544</v>
      </c>
      <c r="B63" s="53" t="s">
        <v>28</v>
      </c>
      <c r="C63" s="50" t="s">
        <v>133</v>
      </c>
      <c r="D63" s="165">
        <v>1</v>
      </c>
      <c r="E63" s="158">
        <v>1</v>
      </c>
      <c r="F63" s="52">
        <f>SUM(H63:DY63)*E63*Table1[[#This Row],[Cycles]]</f>
        <v>0</v>
      </c>
      <c r="G63" s="46">
        <f t="shared" si="29"/>
        <v>0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  <c r="CX63" s="47"/>
      <c r="CY63" s="47"/>
      <c r="CZ63" s="47"/>
      <c r="DA63" s="47"/>
      <c r="DB63" s="47"/>
      <c r="DC63" s="47"/>
      <c r="DD63" s="47"/>
      <c r="DE63" s="47"/>
      <c r="DF63" s="47"/>
      <c r="DG63" s="47"/>
      <c r="DH63" s="47"/>
      <c r="DI63" s="47"/>
      <c r="DJ63" s="47"/>
      <c r="DK63" s="47"/>
      <c r="DL63" s="47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219"/>
      <c r="EA63" s="231"/>
      <c r="EB63" s="231"/>
      <c r="EC63" s="231"/>
      <c r="ED63" s="231"/>
      <c r="EE63" s="231"/>
      <c r="EF63" s="231"/>
      <c r="EG63" s="231"/>
      <c r="EH63" s="231"/>
      <c r="EI63" s="231"/>
      <c r="EJ63" s="231"/>
      <c r="EK63" s="231"/>
      <c r="EL63" s="231"/>
      <c r="EM63" s="231"/>
      <c r="EN63" s="231"/>
      <c r="EO63" s="231"/>
      <c r="EP63" s="231"/>
      <c r="EQ63" s="231"/>
    </row>
    <row r="64" spans="1:147" ht="22.9" hidden="1" customHeight="1" outlineLevel="2" x14ac:dyDescent="0.2">
      <c r="A64" s="146" t="s">
        <v>545</v>
      </c>
      <c r="B64" s="53" t="s">
        <v>102</v>
      </c>
      <c r="C64" s="50" t="s">
        <v>133</v>
      </c>
      <c r="D64" s="165">
        <v>1</v>
      </c>
      <c r="E64" s="158">
        <v>1</v>
      </c>
      <c r="F64" s="52">
        <f>SUM(H64:DY64)*E64*Table1[[#This Row],[Cycles]]</f>
        <v>0</v>
      </c>
      <c r="G64" s="46">
        <f t="shared" si="29"/>
        <v>0</v>
      </c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  <c r="CW64" s="47"/>
      <c r="CX64" s="47"/>
      <c r="CY64" s="47"/>
      <c r="CZ64" s="47"/>
      <c r="DA64" s="47"/>
      <c r="DB64" s="47"/>
      <c r="DC64" s="47"/>
      <c r="DD64" s="47"/>
      <c r="DE64" s="47"/>
      <c r="DF64" s="47"/>
      <c r="DG64" s="47"/>
      <c r="DH64" s="47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219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</row>
    <row r="65" spans="1:147" ht="22.9" hidden="1" customHeight="1" outlineLevel="2" x14ac:dyDescent="0.2">
      <c r="A65" s="146" t="s">
        <v>546</v>
      </c>
      <c r="B65" s="53" t="s">
        <v>103</v>
      </c>
      <c r="C65" s="50" t="s">
        <v>133</v>
      </c>
      <c r="D65" s="165">
        <v>1</v>
      </c>
      <c r="E65" s="158">
        <v>1</v>
      </c>
      <c r="F65" s="52">
        <f>SUM(H65:DY65)*E65*Table1[[#This Row],[Cycles]]</f>
        <v>0</v>
      </c>
      <c r="G65" s="46">
        <f t="shared" si="29"/>
        <v>0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219"/>
      <c r="EA65" s="231"/>
      <c r="EB65" s="231"/>
      <c r="EC65" s="231"/>
      <c r="ED65" s="231"/>
      <c r="EE65" s="231"/>
      <c r="EF65" s="231"/>
      <c r="EG65" s="231"/>
      <c r="EH65" s="231"/>
      <c r="EI65" s="231"/>
      <c r="EJ65" s="231"/>
      <c r="EK65" s="231"/>
      <c r="EL65" s="231"/>
      <c r="EM65" s="231"/>
      <c r="EN65" s="231"/>
      <c r="EO65" s="231"/>
      <c r="EP65" s="231"/>
      <c r="EQ65" s="231"/>
    </row>
    <row r="66" spans="1:147" ht="22.9" hidden="1" customHeight="1" outlineLevel="2" x14ac:dyDescent="0.2">
      <c r="A66" s="146" t="s">
        <v>547</v>
      </c>
      <c r="B66" s="53" t="s">
        <v>25</v>
      </c>
      <c r="C66" s="50" t="s">
        <v>133</v>
      </c>
      <c r="D66" s="165">
        <v>1</v>
      </c>
      <c r="E66" s="158">
        <v>1</v>
      </c>
      <c r="F66" s="52">
        <f>SUM(H66:DY66)*E66*Table1[[#This Row],[Cycles]]</f>
        <v>0</v>
      </c>
      <c r="G66" s="46">
        <f t="shared" si="29"/>
        <v>0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219"/>
      <c r="EA66" s="231"/>
      <c r="EB66" s="231"/>
      <c r="EC66" s="231"/>
      <c r="ED66" s="231"/>
      <c r="EE66" s="231"/>
      <c r="EF66" s="231"/>
      <c r="EG66" s="231"/>
      <c r="EH66" s="231"/>
      <c r="EI66" s="231"/>
      <c r="EJ66" s="231"/>
      <c r="EK66" s="231"/>
      <c r="EL66" s="231"/>
      <c r="EM66" s="231"/>
      <c r="EN66" s="231"/>
      <c r="EO66" s="231"/>
      <c r="EP66" s="231"/>
      <c r="EQ66" s="231"/>
    </row>
    <row r="67" spans="1:147" ht="22.9" hidden="1" customHeight="1" outlineLevel="2" x14ac:dyDescent="0.2">
      <c r="A67" s="146" t="s">
        <v>548</v>
      </c>
      <c r="B67" s="53" t="s">
        <v>26</v>
      </c>
      <c r="C67" s="50" t="s">
        <v>133</v>
      </c>
      <c r="D67" s="165">
        <v>1</v>
      </c>
      <c r="E67" s="158">
        <v>1</v>
      </c>
      <c r="F67" s="52">
        <f>SUM(H67:DY67)*E67*Table1[[#This Row],[Cycles]]</f>
        <v>0</v>
      </c>
      <c r="G67" s="46">
        <f t="shared" si="29"/>
        <v>0</v>
      </c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219"/>
      <c r="EA67" s="231"/>
      <c r="EB67" s="231"/>
      <c r="EC67" s="231"/>
      <c r="ED67" s="231"/>
      <c r="EE67" s="231"/>
      <c r="EF67" s="231"/>
      <c r="EG67" s="231"/>
      <c r="EH67" s="231"/>
      <c r="EI67" s="231"/>
      <c r="EJ67" s="231"/>
      <c r="EK67" s="231"/>
      <c r="EL67" s="231"/>
      <c r="EM67" s="231"/>
      <c r="EN67" s="231"/>
      <c r="EO67" s="231"/>
      <c r="EP67" s="231"/>
      <c r="EQ67" s="231"/>
    </row>
    <row r="68" spans="1:147" ht="22.9" hidden="1" customHeight="1" outlineLevel="2" x14ac:dyDescent="0.2">
      <c r="A68" s="146" t="s">
        <v>549</v>
      </c>
      <c r="B68" s="53" t="s">
        <v>27</v>
      </c>
      <c r="C68" s="50" t="s">
        <v>133</v>
      </c>
      <c r="D68" s="165">
        <v>1</v>
      </c>
      <c r="E68" s="158">
        <v>1</v>
      </c>
      <c r="F68" s="52">
        <f>SUM(H68:DY68)*E68*Table1[[#This Row],[Cycles]]</f>
        <v>0</v>
      </c>
      <c r="G68" s="46">
        <f t="shared" si="29"/>
        <v>0</v>
      </c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  <c r="CW68" s="47"/>
      <c r="CX68" s="47"/>
      <c r="CY68" s="47"/>
      <c r="CZ68" s="47"/>
      <c r="DA68" s="47"/>
      <c r="DB68" s="47"/>
      <c r="DC68" s="47"/>
      <c r="DD68" s="47"/>
      <c r="DE68" s="47"/>
      <c r="DF68" s="47"/>
      <c r="DG68" s="47"/>
      <c r="DH68" s="47"/>
      <c r="DI68" s="47"/>
      <c r="DJ68" s="47"/>
      <c r="DK68" s="47"/>
      <c r="DL68" s="47"/>
      <c r="DM68" s="47"/>
      <c r="DN68" s="47"/>
      <c r="DO68" s="47"/>
      <c r="DP68" s="47"/>
      <c r="DQ68" s="47"/>
      <c r="DR68" s="47"/>
      <c r="DS68" s="47"/>
      <c r="DT68" s="47"/>
      <c r="DU68" s="47"/>
      <c r="DV68" s="47"/>
      <c r="DW68" s="47"/>
      <c r="DX68" s="47"/>
      <c r="DY68" s="47"/>
      <c r="DZ68" s="219"/>
      <c r="EA68" s="231"/>
      <c r="EB68" s="231"/>
      <c r="EC68" s="231"/>
      <c r="ED68" s="231"/>
      <c r="EE68" s="231"/>
      <c r="EF68" s="231"/>
      <c r="EG68" s="231"/>
      <c r="EH68" s="231"/>
      <c r="EI68" s="231"/>
      <c r="EJ68" s="231"/>
      <c r="EK68" s="231"/>
      <c r="EL68" s="231"/>
      <c r="EM68" s="231"/>
      <c r="EN68" s="231"/>
      <c r="EO68" s="231"/>
      <c r="EP68" s="231"/>
      <c r="EQ68" s="231"/>
    </row>
    <row r="69" spans="1:147" ht="22.9" hidden="1" customHeight="1" outlineLevel="2" x14ac:dyDescent="0.2">
      <c r="A69" s="146" t="s">
        <v>550</v>
      </c>
      <c r="B69" s="53" t="s">
        <v>211</v>
      </c>
      <c r="C69" s="50" t="s">
        <v>133</v>
      </c>
      <c r="D69" s="165">
        <v>1</v>
      </c>
      <c r="E69" s="158">
        <v>1</v>
      </c>
      <c r="F69" s="52">
        <f>SUM(H69:DY69)*E69*Table1[[#This Row],[Cycles]]</f>
        <v>0</v>
      </c>
      <c r="G69" s="46">
        <f t="shared" si="29"/>
        <v>0</v>
      </c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219"/>
      <c r="EA69" s="231"/>
      <c r="EB69" s="231"/>
      <c r="EC69" s="231"/>
      <c r="ED69" s="231"/>
      <c r="EE69" s="231"/>
      <c r="EF69" s="231"/>
      <c r="EG69" s="231"/>
      <c r="EH69" s="231"/>
      <c r="EI69" s="231"/>
      <c r="EJ69" s="231"/>
      <c r="EK69" s="231"/>
      <c r="EL69" s="231"/>
      <c r="EM69" s="231"/>
      <c r="EN69" s="231"/>
      <c r="EO69" s="231"/>
      <c r="EP69" s="231"/>
      <c r="EQ69" s="231"/>
    </row>
    <row r="70" spans="1:147" ht="22.9" hidden="1" customHeight="1" outlineLevel="2" x14ac:dyDescent="0.2">
      <c r="A70" s="146" t="s">
        <v>551</v>
      </c>
      <c r="B70" s="53" t="s">
        <v>212</v>
      </c>
      <c r="C70" s="50" t="s">
        <v>133</v>
      </c>
      <c r="D70" s="165">
        <v>1</v>
      </c>
      <c r="E70" s="158">
        <v>1</v>
      </c>
      <c r="F70" s="52">
        <f>SUM(H70:DY70)*E70*Table1[[#This Row],[Cycles]]</f>
        <v>0</v>
      </c>
      <c r="G70" s="46">
        <f t="shared" si="29"/>
        <v>0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219"/>
      <c r="EA70" s="231"/>
      <c r="EB70" s="231"/>
      <c r="EC70" s="231"/>
      <c r="ED70" s="231"/>
      <c r="EE70" s="231"/>
      <c r="EF70" s="231"/>
      <c r="EG70" s="231"/>
      <c r="EH70" s="231"/>
      <c r="EI70" s="231"/>
      <c r="EJ70" s="231"/>
      <c r="EK70" s="231"/>
      <c r="EL70" s="231"/>
      <c r="EM70" s="231"/>
      <c r="EN70" s="231"/>
      <c r="EO70" s="231"/>
      <c r="EP70" s="231"/>
      <c r="EQ70" s="231"/>
    </row>
    <row r="71" spans="1:147" ht="22.9" hidden="1" customHeight="1" outlineLevel="2" x14ac:dyDescent="0.2">
      <c r="A71" s="146" t="s">
        <v>552</v>
      </c>
      <c r="B71" s="53" t="s">
        <v>104</v>
      </c>
      <c r="C71" s="50" t="s">
        <v>133</v>
      </c>
      <c r="D71" s="165">
        <v>1</v>
      </c>
      <c r="E71" s="158">
        <v>1</v>
      </c>
      <c r="F71" s="52">
        <f>SUM(H71:DY71)*E71*Table1[[#This Row],[Cycles]]</f>
        <v>0</v>
      </c>
      <c r="G71" s="46">
        <f t="shared" si="29"/>
        <v>0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219"/>
      <c r="EA71" s="231"/>
      <c r="EB71" s="231"/>
      <c r="EC71" s="231"/>
      <c r="ED71" s="231"/>
      <c r="EE71" s="231"/>
      <c r="EF71" s="231"/>
      <c r="EG71" s="231"/>
      <c r="EH71" s="231"/>
      <c r="EI71" s="231"/>
      <c r="EJ71" s="231"/>
      <c r="EK71" s="231"/>
      <c r="EL71" s="231"/>
      <c r="EM71" s="231"/>
      <c r="EN71" s="231"/>
      <c r="EO71" s="231"/>
      <c r="EP71" s="231"/>
      <c r="EQ71" s="231"/>
    </row>
    <row r="72" spans="1:147" ht="22.9" hidden="1" customHeight="1" outlineLevel="2" x14ac:dyDescent="0.2">
      <c r="A72" s="146" t="s">
        <v>553</v>
      </c>
      <c r="B72" s="53" t="s">
        <v>106</v>
      </c>
      <c r="C72" s="50" t="s">
        <v>133</v>
      </c>
      <c r="D72" s="165">
        <v>1</v>
      </c>
      <c r="E72" s="158">
        <v>1</v>
      </c>
      <c r="F72" s="52">
        <f>SUM(H72:DY72)*E72*Table1[[#This Row],[Cycles]]</f>
        <v>0</v>
      </c>
      <c r="G72" s="46">
        <f t="shared" si="29"/>
        <v>0</v>
      </c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219"/>
      <c r="EA72" s="231"/>
      <c r="EB72" s="231"/>
      <c r="EC72" s="231"/>
      <c r="ED72" s="231"/>
      <c r="EE72" s="231"/>
      <c r="EF72" s="231"/>
      <c r="EG72" s="231"/>
      <c r="EH72" s="231"/>
      <c r="EI72" s="231"/>
      <c r="EJ72" s="231"/>
      <c r="EK72" s="231"/>
      <c r="EL72" s="231"/>
      <c r="EM72" s="231"/>
      <c r="EN72" s="231"/>
      <c r="EO72" s="231"/>
      <c r="EP72" s="231"/>
      <c r="EQ72" s="231"/>
    </row>
    <row r="73" spans="1:147" s="40" customFormat="1" ht="22.9" customHeight="1" outlineLevel="1" x14ac:dyDescent="0.2">
      <c r="A73" s="149" t="s">
        <v>539</v>
      </c>
      <c r="B73" s="34" t="s">
        <v>487</v>
      </c>
      <c r="C73" s="30" t="s">
        <v>100</v>
      </c>
      <c r="D73" s="164"/>
      <c r="E73" s="164"/>
      <c r="F73" s="45">
        <f>SUM(F74:F85)</f>
        <v>0</v>
      </c>
      <c r="G73" s="44">
        <f>SUM(G74:G85)</f>
        <v>0</v>
      </c>
      <c r="H73" s="45">
        <f>SUMPRODUCT($E$74:$E$85,$D$74:$D$85,H74:H85)</f>
        <v>0</v>
      </c>
      <c r="I73" s="45">
        <f t="shared" ref="I73:BT73" si="30">SUMPRODUCT($E$74:$E$85,$D$74:$D$85,I74:I85)</f>
        <v>0</v>
      </c>
      <c r="J73" s="45">
        <f t="shared" si="30"/>
        <v>0</v>
      </c>
      <c r="K73" s="45">
        <f t="shared" si="30"/>
        <v>0</v>
      </c>
      <c r="L73" s="45">
        <f t="shared" si="30"/>
        <v>0</v>
      </c>
      <c r="M73" s="45">
        <f t="shared" si="30"/>
        <v>0</v>
      </c>
      <c r="N73" s="45">
        <f t="shared" si="30"/>
        <v>0</v>
      </c>
      <c r="O73" s="45">
        <f t="shared" si="30"/>
        <v>0</v>
      </c>
      <c r="P73" s="45">
        <f t="shared" si="30"/>
        <v>0</v>
      </c>
      <c r="Q73" s="45">
        <f t="shared" si="30"/>
        <v>0</v>
      </c>
      <c r="R73" s="45">
        <f t="shared" si="30"/>
        <v>0</v>
      </c>
      <c r="S73" s="45">
        <f t="shared" si="30"/>
        <v>0</v>
      </c>
      <c r="T73" s="45">
        <f t="shared" si="30"/>
        <v>0</v>
      </c>
      <c r="U73" s="45">
        <f t="shared" si="30"/>
        <v>0</v>
      </c>
      <c r="V73" s="45">
        <f t="shared" si="30"/>
        <v>0</v>
      </c>
      <c r="W73" s="45">
        <f t="shared" si="30"/>
        <v>0</v>
      </c>
      <c r="X73" s="45">
        <f t="shared" si="30"/>
        <v>0</v>
      </c>
      <c r="Y73" s="45">
        <f t="shared" si="30"/>
        <v>0</v>
      </c>
      <c r="Z73" s="45">
        <f t="shared" si="30"/>
        <v>0</v>
      </c>
      <c r="AA73" s="45">
        <f t="shared" si="30"/>
        <v>0</v>
      </c>
      <c r="AB73" s="45">
        <f t="shared" si="30"/>
        <v>0</v>
      </c>
      <c r="AC73" s="45">
        <f t="shared" si="30"/>
        <v>0</v>
      </c>
      <c r="AD73" s="45">
        <f t="shared" si="30"/>
        <v>0</v>
      </c>
      <c r="AE73" s="45">
        <f t="shared" si="30"/>
        <v>0</v>
      </c>
      <c r="AF73" s="45">
        <f t="shared" si="30"/>
        <v>0</v>
      </c>
      <c r="AG73" s="45">
        <f t="shared" si="30"/>
        <v>0</v>
      </c>
      <c r="AH73" s="45">
        <f t="shared" si="30"/>
        <v>0</v>
      </c>
      <c r="AI73" s="45">
        <f t="shared" si="30"/>
        <v>0</v>
      </c>
      <c r="AJ73" s="45">
        <f t="shared" si="30"/>
        <v>0</v>
      </c>
      <c r="AK73" s="45">
        <f t="shared" si="30"/>
        <v>0</v>
      </c>
      <c r="AL73" s="45">
        <f t="shared" si="30"/>
        <v>0</v>
      </c>
      <c r="AM73" s="45">
        <f t="shared" si="30"/>
        <v>0</v>
      </c>
      <c r="AN73" s="45">
        <f t="shared" si="30"/>
        <v>0</v>
      </c>
      <c r="AO73" s="45">
        <f t="shared" si="30"/>
        <v>0</v>
      </c>
      <c r="AP73" s="45">
        <f t="shared" si="30"/>
        <v>0</v>
      </c>
      <c r="AQ73" s="45">
        <f t="shared" si="30"/>
        <v>0</v>
      </c>
      <c r="AR73" s="45">
        <f t="shared" si="30"/>
        <v>0</v>
      </c>
      <c r="AS73" s="45">
        <f t="shared" si="30"/>
        <v>0</v>
      </c>
      <c r="AT73" s="45">
        <f t="shared" si="30"/>
        <v>0</v>
      </c>
      <c r="AU73" s="45">
        <f t="shared" si="30"/>
        <v>0</v>
      </c>
      <c r="AV73" s="45">
        <f t="shared" si="30"/>
        <v>0</v>
      </c>
      <c r="AW73" s="45">
        <f t="shared" si="30"/>
        <v>0</v>
      </c>
      <c r="AX73" s="45">
        <f t="shared" si="30"/>
        <v>0</v>
      </c>
      <c r="AY73" s="45">
        <f t="shared" si="30"/>
        <v>0</v>
      </c>
      <c r="AZ73" s="45">
        <f t="shared" si="30"/>
        <v>0</v>
      </c>
      <c r="BA73" s="45">
        <f t="shared" si="30"/>
        <v>0</v>
      </c>
      <c r="BB73" s="45">
        <f t="shared" si="30"/>
        <v>0</v>
      </c>
      <c r="BC73" s="45">
        <f t="shared" si="30"/>
        <v>0</v>
      </c>
      <c r="BD73" s="45">
        <f t="shared" si="30"/>
        <v>0</v>
      </c>
      <c r="BE73" s="45">
        <f t="shared" si="30"/>
        <v>0</v>
      </c>
      <c r="BF73" s="45">
        <f t="shared" si="30"/>
        <v>0</v>
      </c>
      <c r="BG73" s="45">
        <f t="shared" si="30"/>
        <v>0</v>
      </c>
      <c r="BH73" s="45">
        <f t="shared" si="30"/>
        <v>0</v>
      </c>
      <c r="BI73" s="45">
        <f t="shared" si="30"/>
        <v>0</v>
      </c>
      <c r="BJ73" s="45">
        <f t="shared" si="30"/>
        <v>0</v>
      </c>
      <c r="BK73" s="45">
        <f t="shared" si="30"/>
        <v>0</v>
      </c>
      <c r="BL73" s="45">
        <f t="shared" si="30"/>
        <v>0</v>
      </c>
      <c r="BM73" s="45">
        <f t="shared" si="30"/>
        <v>0</v>
      </c>
      <c r="BN73" s="45">
        <f t="shared" si="30"/>
        <v>0</v>
      </c>
      <c r="BO73" s="45">
        <f t="shared" si="30"/>
        <v>0</v>
      </c>
      <c r="BP73" s="45">
        <f t="shared" si="30"/>
        <v>0</v>
      </c>
      <c r="BQ73" s="45">
        <f t="shared" si="30"/>
        <v>0</v>
      </c>
      <c r="BR73" s="45">
        <f t="shared" si="30"/>
        <v>0</v>
      </c>
      <c r="BS73" s="45">
        <f t="shared" si="30"/>
        <v>0</v>
      </c>
      <c r="BT73" s="45">
        <f t="shared" si="30"/>
        <v>0</v>
      </c>
      <c r="BU73" s="45">
        <f>SUMPRODUCT($E$74:$E$85,$D$74:$D$85,BU74:BU85)</f>
        <v>0</v>
      </c>
      <c r="BV73" s="45">
        <f t="shared" ref="BV73:DY73" si="31">SUMPRODUCT($E$74:$E$85,$D$74:$D$85,BV74:BV85)</f>
        <v>0</v>
      </c>
      <c r="BW73" s="45">
        <f t="shared" si="31"/>
        <v>0</v>
      </c>
      <c r="BX73" s="45">
        <f t="shared" si="31"/>
        <v>0</v>
      </c>
      <c r="BY73" s="45">
        <f t="shared" si="31"/>
        <v>0</v>
      </c>
      <c r="BZ73" s="45">
        <f t="shared" si="31"/>
        <v>0</v>
      </c>
      <c r="CA73" s="45">
        <f t="shared" si="31"/>
        <v>0</v>
      </c>
      <c r="CB73" s="45">
        <f t="shared" si="31"/>
        <v>0</v>
      </c>
      <c r="CC73" s="45">
        <f t="shared" si="31"/>
        <v>0</v>
      </c>
      <c r="CD73" s="45">
        <f t="shared" si="31"/>
        <v>0</v>
      </c>
      <c r="CE73" s="45">
        <f t="shared" si="31"/>
        <v>0</v>
      </c>
      <c r="CF73" s="45">
        <f t="shared" si="31"/>
        <v>0</v>
      </c>
      <c r="CG73" s="45">
        <f t="shared" si="31"/>
        <v>0</v>
      </c>
      <c r="CH73" s="45">
        <f t="shared" si="31"/>
        <v>0</v>
      </c>
      <c r="CI73" s="45">
        <f t="shared" si="31"/>
        <v>0</v>
      </c>
      <c r="CJ73" s="45">
        <f t="shared" si="31"/>
        <v>0</v>
      </c>
      <c r="CK73" s="45">
        <f t="shared" si="31"/>
        <v>0</v>
      </c>
      <c r="CL73" s="45">
        <f t="shared" si="31"/>
        <v>0</v>
      </c>
      <c r="CM73" s="45">
        <f t="shared" si="31"/>
        <v>0</v>
      </c>
      <c r="CN73" s="45">
        <f t="shared" si="31"/>
        <v>0</v>
      </c>
      <c r="CO73" s="45">
        <f t="shared" si="31"/>
        <v>0</v>
      </c>
      <c r="CP73" s="45">
        <f t="shared" si="31"/>
        <v>0</v>
      </c>
      <c r="CQ73" s="45">
        <f t="shared" si="31"/>
        <v>0</v>
      </c>
      <c r="CR73" s="45">
        <f t="shared" si="31"/>
        <v>0</v>
      </c>
      <c r="CS73" s="45">
        <f t="shared" si="31"/>
        <v>0</v>
      </c>
      <c r="CT73" s="45">
        <f t="shared" si="31"/>
        <v>0</v>
      </c>
      <c r="CU73" s="45">
        <f t="shared" si="31"/>
        <v>0</v>
      </c>
      <c r="CV73" s="45">
        <f t="shared" si="31"/>
        <v>0</v>
      </c>
      <c r="CW73" s="45">
        <f t="shared" si="31"/>
        <v>0</v>
      </c>
      <c r="CX73" s="45">
        <f t="shared" si="31"/>
        <v>0</v>
      </c>
      <c r="CY73" s="45">
        <f t="shared" si="31"/>
        <v>0</v>
      </c>
      <c r="CZ73" s="45">
        <f t="shared" si="31"/>
        <v>0</v>
      </c>
      <c r="DA73" s="45">
        <f t="shared" si="31"/>
        <v>0</v>
      </c>
      <c r="DB73" s="45">
        <f t="shared" si="31"/>
        <v>0</v>
      </c>
      <c r="DC73" s="45">
        <f t="shared" si="31"/>
        <v>0</v>
      </c>
      <c r="DD73" s="45">
        <f t="shared" si="31"/>
        <v>0</v>
      </c>
      <c r="DE73" s="45">
        <f t="shared" si="31"/>
        <v>0</v>
      </c>
      <c r="DF73" s="45">
        <f t="shared" si="31"/>
        <v>0</v>
      </c>
      <c r="DG73" s="45">
        <f t="shared" si="31"/>
        <v>0</v>
      </c>
      <c r="DH73" s="45">
        <f t="shared" si="31"/>
        <v>0</v>
      </c>
      <c r="DI73" s="45">
        <f t="shared" si="31"/>
        <v>0</v>
      </c>
      <c r="DJ73" s="45">
        <f t="shared" si="31"/>
        <v>0</v>
      </c>
      <c r="DK73" s="45">
        <f t="shared" si="31"/>
        <v>0</v>
      </c>
      <c r="DL73" s="45">
        <f t="shared" si="31"/>
        <v>0</v>
      </c>
      <c r="DM73" s="45">
        <f t="shared" si="31"/>
        <v>0</v>
      </c>
      <c r="DN73" s="45">
        <f t="shared" si="31"/>
        <v>0</v>
      </c>
      <c r="DO73" s="45">
        <f t="shared" si="31"/>
        <v>0</v>
      </c>
      <c r="DP73" s="45">
        <f t="shared" si="31"/>
        <v>0</v>
      </c>
      <c r="DQ73" s="45">
        <f t="shared" si="31"/>
        <v>0</v>
      </c>
      <c r="DR73" s="45">
        <f t="shared" si="31"/>
        <v>0</v>
      </c>
      <c r="DS73" s="45">
        <f t="shared" si="31"/>
        <v>0</v>
      </c>
      <c r="DT73" s="45">
        <f t="shared" si="31"/>
        <v>0</v>
      </c>
      <c r="DU73" s="45">
        <f t="shared" si="31"/>
        <v>0</v>
      </c>
      <c r="DV73" s="45">
        <f t="shared" si="31"/>
        <v>0</v>
      </c>
      <c r="DW73" s="45">
        <f t="shared" si="31"/>
        <v>0</v>
      </c>
      <c r="DX73" s="45">
        <f t="shared" si="31"/>
        <v>0</v>
      </c>
      <c r="DY73" s="45">
        <f t="shared" si="31"/>
        <v>0</v>
      </c>
      <c r="DZ73" s="218"/>
      <c r="EA73" s="231"/>
      <c r="EB73" s="231"/>
      <c r="EC73" s="231"/>
      <c r="ED73" s="231"/>
      <c r="EE73" s="231"/>
      <c r="EF73" s="231"/>
      <c r="EG73" s="231"/>
      <c r="EH73" s="231"/>
      <c r="EI73" s="231"/>
      <c r="EJ73" s="231"/>
      <c r="EK73" s="231"/>
      <c r="EL73" s="231"/>
      <c r="EM73" s="231"/>
      <c r="EN73" s="231"/>
      <c r="EO73" s="231"/>
      <c r="EP73" s="231"/>
      <c r="EQ73" s="231"/>
    </row>
    <row r="74" spans="1:147" ht="22.9" customHeight="1" outlineLevel="2" x14ac:dyDescent="0.2">
      <c r="A74" s="146" t="s">
        <v>554</v>
      </c>
      <c r="B74" s="53" t="s">
        <v>483</v>
      </c>
      <c r="C74" s="50" t="s">
        <v>133</v>
      </c>
      <c r="D74" s="165">
        <v>1</v>
      </c>
      <c r="E74" s="158">
        <v>1</v>
      </c>
      <c r="F74" s="52">
        <f>SUM(H74:DY74)*E74*Table1[[#This Row],[Cycles]]</f>
        <v>0</v>
      </c>
      <c r="G74" s="46">
        <f>SUMPRODUCT($H$3:$DY$3,$H74:$DY74)*E74*D74</f>
        <v>0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219"/>
      <c r="EA74" s="231"/>
      <c r="EB74" s="231"/>
      <c r="EC74" s="231"/>
      <c r="ED74" s="231"/>
      <c r="EE74" s="231"/>
      <c r="EF74" s="231"/>
      <c r="EG74" s="231"/>
      <c r="EH74" s="231"/>
      <c r="EI74" s="231"/>
      <c r="EJ74" s="231"/>
      <c r="EK74" s="231"/>
      <c r="EL74" s="231"/>
      <c r="EM74" s="231"/>
      <c r="EN74" s="231"/>
      <c r="EO74" s="231"/>
      <c r="EP74" s="231"/>
      <c r="EQ74" s="231"/>
    </row>
    <row r="75" spans="1:147" ht="22.9" customHeight="1" outlineLevel="2" x14ac:dyDescent="0.2">
      <c r="A75" s="146" t="s">
        <v>555</v>
      </c>
      <c r="B75" s="53" t="s">
        <v>113</v>
      </c>
      <c r="C75" s="50" t="s">
        <v>133</v>
      </c>
      <c r="D75" s="165">
        <v>1</v>
      </c>
      <c r="E75" s="158">
        <v>1</v>
      </c>
      <c r="F75" s="52">
        <f>SUM(H75:DY75)*E75*Table1[[#This Row],[Cycles]]</f>
        <v>0</v>
      </c>
      <c r="G75" s="46">
        <f t="shared" ref="G75:G85" si="32">SUMPRODUCT($H$3:$DY$3,$H75:$DY75)*E75*D75</f>
        <v>0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219"/>
      <c r="EA75" s="231"/>
      <c r="EB75" s="231"/>
      <c r="EC75" s="231"/>
      <c r="ED75" s="231"/>
      <c r="EE75" s="231"/>
      <c r="EF75" s="231"/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</row>
    <row r="76" spans="1:147" ht="22.9" customHeight="1" outlineLevel="2" x14ac:dyDescent="0.2">
      <c r="A76" s="146" t="s">
        <v>556</v>
      </c>
      <c r="B76" s="53" t="s">
        <v>442</v>
      </c>
      <c r="C76" s="50" t="s">
        <v>133</v>
      </c>
      <c r="D76" s="165">
        <v>1</v>
      </c>
      <c r="E76" s="158">
        <v>1</v>
      </c>
      <c r="F76" s="52">
        <f>SUM(H76:DY76)*E76*Table1[[#This Row],[Cycles]]</f>
        <v>0</v>
      </c>
      <c r="G76" s="46">
        <f t="shared" si="32"/>
        <v>0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219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</row>
    <row r="77" spans="1:147" ht="22.9" customHeight="1" outlineLevel="2" x14ac:dyDescent="0.2">
      <c r="A77" s="146" t="s">
        <v>557</v>
      </c>
      <c r="B77" s="53" t="s">
        <v>29</v>
      </c>
      <c r="C77" s="50" t="s">
        <v>133</v>
      </c>
      <c r="D77" s="165">
        <v>1</v>
      </c>
      <c r="E77" s="158">
        <v>1</v>
      </c>
      <c r="F77" s="52">
        <f>SUM(H77:DY77)*E77*Table1[[#This Row],[Cycles]]</f>
        <v>0</v>
      </c>
      <c r="G77" s="46">
        <f t="shared" si="32"/>
        <v>0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219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</row>
    <row r="78" spans="1:147" ht="22.9" customHeight="1" outlineLevel="2" x14ac:dyDescent="0.2">
      <c r="A78" s="146" t="s">
        <v>558</v>
      </c>
      <c r="B78" s="53" t="s">
        <v>108</v>
      </c>
      <c r="C78" s="50" t="s">
        <v>133</v>
      </c>
      <c r="D78" s="165">
        <v>1</v>
      </c>
      <c r="E78" s="158">
        <v>1</v>
      </c>
      <c r="F78" s="52">
        <f>SUM(H78:DY78)*E78*Table1[[#This Row],[Cycles]]</f>
        <v>0</v>
      </c>
      <c r="G78" s="46">
        <f t="shared" si="32"/>
        <v>0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219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</row>
    <row r="79" spans="1:147" ht="22.9" customHeight="1" outlineLevel="2" x14ac:dyDescent="0.2">
      <c r="A79" s="146" t="s">
        <v>559</v>
      </c>
      <c r="B79" s="53" t="s">
        <v>114</v>
      </c>
      <c r="C79" s="50" t="s">
        <v>133</v>
      </c>
      <c r="D79" s="165">
        <v>1</v>
      </c>
      <c r="E79" s="158">
        <v>1</v>
      </c>
      <c r="F79" s="52">
        <f>SUM(H79:DY79)*E79*Table1[[#This Row],[Cycles]]</f>
        <v>0</v>
      </c>
      <c r="G79" s="46">
        <f t="shared" si="32"/>
        <v>0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  <c r="CT79" s="47"/>
      <c r="CU79" s="47"/>
      <c r="CV79" s="47"/>
      <c r="CW79" s="47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47"/>
      <c r="DL79" s="47"/>
      <c r="DM79" s="47"/>
      <c r="DN79" s="47"/>
      <c r="DO79" s="47"/>
      <c r="DP79" s="47"/>
      <c r="DQ79" s="47"/>
      <c r="DR79" s="47"/>
      <c r="DS79" s="47"/>
      <c r="DT79" s="47"/>
      <c r="DU79" s="47"/>
      <c r="DV79" s="47"/>
      <c r="DW79" s="47"/>
      <c r="DX79" s="47"/>
      <c r="DY79" s="47"/>
      <c r="DZ79" s="219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</row>
    <row r="80" spans="1:147" ht="22.9" customHeight="1" outlineLevel="2" x14ac:dyDescent="0.2">
      <c r="A80" s="146" t="s">
        <v>560</v>
      </c>
      <c r="B80" s="53" t="s">
        <v>109</v>
      </c>
      <c r="C80" s="50" t="s">
        <v>133</v>
      </c>
      <c r="D80" s="165">
        <v>1</v>
      </c>
      <c r="E80" s="158">
        <v>1</v>
      </c>
      <c r="F80" s="52">
        <f>SUM(H80:DY80)*E80*Table1[[#This Row],[Cycles]]</f>
        <v>0</v>
      </c>
      <c r="G80" s="46">
        <f t="shared" si="32"/>
        <v>0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7"/>
      <c r="CY80" s="47"/>
      <c r="CZ80" s="47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7"/>
      <c r="DP80" s="47"/>
      <c r="DQ80" s="47"/>
      <c r="DR80" s="47"/>
      <c r="DS80" s="47"/>
      <c r="DT80" s="47"/>
      <c r="DU80" s="47"/>
      <c r="DV80" s="47"/>
      <c r="DW80" s="47"/>
      <c r="DX80" s="47"/>
      <c r="DY80" s="47"/>
      <c r="DZ80" s="219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</row>
    <row r="81" spans="1:147" ht="22.9" customHeight="1" outlineLevel="2" x14ac:dyDescent="0.2">
      <c r="A81" s="146" t="s">
        <v>561</v>
      </c>
      <c r="B81" s="53" t="s">
        <v>273</v>
      </c>
      <c r="C81" s="50" t="s">
        <v>133</v>
      </c>
      <c r="D81" s="165">
        <v>1</v>
      </c>
      <c r="E81" s="158">
        <v>1</v>
      </c>
      <c r="F81" s="52">
        <f>SUM(H81:DY81)*E81*Table1[[#This Row],[Cycles]]</f>
        <v>0</v>
      </c>
      <c r="G81" s="46">
        <f t="shared" si="32"/>
        <v>0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  <c r="CM81" s="47"/>
      <c r="CN81" s="47"/>
      <c r="CO81" s="47"/>
      <c r="CP81" s="47"/>
      <c r="CQ81" s="47"/>
      <c r="CR81" s="47"/>
      <c r="CS81" s="47"/>
      <c r="CT81" s="47"/>
      <c r="CU81" s="47"/>
      <c r="CV81" s="47"/>
      <c r="CW81" s="47"/>
      <c r="CX81" s="47"/>
      <c r="CY81" s="47"/>
      <c r="CZ81" s="47"/>
      <c r="DA81" s="47"/>
      <c r="DB81" s="47"/>
      <c r="DC81" s="47"/>
      <c r="DD81" s="47"/>
      <c r="DE81" s="47"/>
      <c r="DF81" s="47"/>
      <c r="DG81" s="47"/>
      <c r="DH81" s="47"/>
      <c r="DI81" s="47"/>
      <c r="DJ81" s="47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219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</row>
    <row r="82" spans="1:147" ht="22.9" customHeight="1" outlineLevel="2" x14ac:dyDescent="0.2">
      <c r="A82" s="146" t="s">
        <v>562</v>
      </c>
      <c r="B82" s="53" t="s">
        <v>110</v>
      </c>
      <c r="C82" s="50" t="s">
        <v>133</v>
      </c>
      <c r="D82" s="165">
        <v>1</v>
      </c>
      <c r="E82" s="158">
        <v>1</v>
      </c>
      <c r="F82" s="52">
        <f>SUM(H82:DY82)*E82*Table1[[#This Row],[Cycles]]</f>
        <v>0</v>
      </c>
      <c r="G82" s="46">
        <f t="shared" si="32"/>
        <v>0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  <c r="CM82" s="47"/>
      <c r="CN82" s="47"/>
      <c r="CO82" s="47"/>
      <c r="CP82" s="47"/>
      <c r="CQ82" s="47"/>
      <c r="CR82" s="47"/>
      <c r="CS82" s="47"/>
      <c r="CT82" s="47"/>
      <c r="CU82" s="47"/>
      <c r="CV82" s="47"/>
      <c r="CW82" s="47"/>
      <c r="CX82" s="47"/>
      <c r="CY82" s="47"/>
      <c r="CZ82" s="47"/>
      <c r="DA82" s="47"/>
      <c r="DB82" s="47"/>
      <c r="DC82" s="47"/>
      <c r="DD82" s="47"/>
      <c r="DE82" s="47"/>
      <c r="DF82" s="47"/>
      <c r="DG82" s="47"/>
      <c r="DH82" s="47"/>
      <c r="DI82" s="47"/>
      <c r="DJ82" s="47"/>
      <c r="DK82" s="47"/>
      <c r="DL82" s="47"/>
      <c r="DM82" s="47"/>
      <c r="DN82" s="47"/>
      <c r="DO82" s="47"/>
      <c r="DP82" s="47"/>
      <c r="DQ82" s="47"/>
      <c r="DR82" s="47"/>
      <c r="DS82" s="47"/>
      <c r="DT82" s="47"/>
      <c r="DU82" s="47"/>
      <c r="DV82" s="47"/>
      <c r="DW82" s="47"/>
      <c r="DX82" s="47"/>
      <c r="DY82" s="47"/>
      <c r="DZ82" s="219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</row>
    <row r="83" spans="1:147" ht="22.9" customHeight="1" outlineLevel="2" x14ac:dyDescent="0.2">
      <c r="A83" s="146" t="s">
        <v>563</v>
      </c>
      <c r="B83" s="53" t="s">
        <v>63</v>
      </c>
      <c r="C83" s="50" t="s">
        <v>133</v>
      </c>
      <c r="D83" s="165">
        <v>1</v>
      </c>
      <c r="E83" s="158">
        <v>1</v>
      </c>
      <c r="F83" s="52">
        <f>SUM(H83:DY83)*E83*Table1[[#This Row],[Cycles]]</f>
        <v>0</v>
      </c>
      <c r="G83" s="46">
        <f t="shared" si="32"/>
        <v>0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  <c r="CP83" s="47"/>
      <c r="CQ83" s="47"/>
      <c r="CR83" s="47"/>
      <c r="CS83" s="47"/>
      <c r="CT83" s="47"/>
      <c r="CU83" s="47"/>
      <c r="CV83" s="47"/>
      <c r="CW83" s="47"/>
      <c r="CX83" s="47"/>
      <c r="CY83" s="47"/>
      <c r="CZ83" s="47"/>
      <c r="DA83" s="47"/>
      <c r="DB83" s="47"/>
      <c r="DC83" s="47"/>
      <c r="DD83" s="47"/>
      <c r="DE83" s="47"/>
      <c r="DF83" s="47"/>
      <c r="DG83" s="47"/>
      <c r="DH83" s="47"/>
      <c r="DI83" s="47"/>
      <c r="DJ83" s="47"/>
      <c r="DK83" s="47"/>
      <c r="DL83" s="47"/>
      <c r="DM83" s="47"/>
      <c r="DN83" s="47"/>
      <c r="DO83" s="47"/>
      <c r="DP83" s="47"/>
      <c r="DQ83" s="47"/>
      <c r="DR83" s="47"/>
      <c r="DS83" s="47"/>
      <c r="DT83" s="47"/>
      <c r="DU83" s="47"/>
      <c r="DV83" s="47"/>
      <c r="DW83" s="47"/>
      <c r="DX83" s="47"/>
      <c r="DY83" s="47"/>
      <c r="DZ83" s="219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</row>
    <row r="84" spans="1:147" ht="22.9" customHeight="1" outlineLevel="2" x14ac:dyDescent="0.2">
      <c r="A84" s="146" t="s">
        <v>564</v>
      </c>
      <c r="B84" s="53" t="s">
        <v>111</v>
      </c>
      <c r="C84" s="50" t="s">
        <v>133</v>
      </c>
      <c r="D84" s="165">
        <v>1</v>
      </c>
      <c r="E84" s="158">
        <v>1</v>
      </c>
      <c r="F84" s="52">
        <f>SUM(H84:DY84)*E84*Table1[[#This Row],[Cycles]]</f>
        <v>0</v>
      </c>
      <c r="G84" s="46">
        <f t="shared" si="32"/>
        <v>0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  <c r="BS84" s="47"/>
      <c r="BT84" s="47"/>
      <c r="BU84" s="47"/>
      <c r="BV84" s="47"/>
      <c r="BW84" s="47"/>
      <c r="BX84" s="47"/>
      <c r="BY84" s="47"/>
      <c r="BZ84" s="47"/>
      <c r="CA84" s="47"/>
      <c r="CB84" s="47"/>
      <c r="CC84" s="47"/>
      <c r="CD84" s="47"/>
      <c r="CE84" s="47"/>
      <c r="CF84" s="47"/>
      <c r="CG84" s="47"/>
      <c r="CH84" s="47"/>
      <c r="CI84" s="47"/>
      <c r="CJ84" s="47"/>
      <c r="CK84" s="47"/>
      <c r="CL84" s="47"/>
      <c r="CM84" s="47"/>
      <c r="CN84" s="47"/>
      <c r="CO84" s="47"/>
      <c r="CP84" s="47"/>
      <c r="CQ84" s="47"/>
      <c r="CR84" s="47"/>
      <c r="CS84" s="47"/>
      <c r="CT84" s="47"/>
      <c r="CU84" s="47"/>
      <c r="CV84" s="47"/>
      <c r="CW84" s="47"/>
      <c r="CX84" s="47"/>
      <c r="CY84" s="47"/>
      <c r="CZ84" s="47"/>
      <c r="DA84" s="47"/>
      <c r="DB84" s="47"/>
      <c r="DC84" s="47"/>
      <c r="DD84" s="47"/>
      <c r="DE84" s="47"/>
      <c r="DF84" s="47"/>
      <c r="DG84" s="47"/>
      <c r="DH84" s="47"/>
      <c r="DI84" s="47"/>
      <c r="DJ84" s="47"/>
      <c r="DK84" s="47"/>
      <c r="DL84" s="47"/>
      <c r="DM84" s="47"/>
      <c r="DN84" s="47"/>
      <c r="DO84" s="47"/>
      <c r="DP84" s="47"/>
      <c r="DQ84" s="47"/>
      <c r="DR84" s="47"/>
      <c r="DS84" s="47"/>
      <c r="DT84" s="47"/>
      <c r="DU84" s="47"/>
      <c r="DV84" s="47"/>
      <c r="DW84" s="47"/>
      <c r="DX84" s="47"/>
      <c r="DY84" s="47"/>
      <c r="DZ84" s="219"/>
      <c r="EA84" s="231"/>
      <c r="EB84" s="231"/>
      <c r="EC84" s="231"/>
      <c r="ED84" s="231"/>
      <c r="EE84" s="231"/>
      <c r="EF84" s="231"/>
      <c r="EG84" s="231"/>
      <c r="EH84" s="231"/>
      <c r="EI84" s="231"/>
      <c r="EJ84" s="231"/>
      <c r="EK84" s="231"/>
      <c r="EL84" s="231"/>
      <c r="EM84" s="231"/>
      <c r="EN84" s="231"/>
      <c r="EO84" s="231"/>
      <c r="EP84" s="231"/>
      <c r="EQ84" s="231"/>
    </row>
    <row r="85" spans="1:147" ht="22.9" customHeight="1" outlineLevel="2" x14ac:dyDescent="0.2">
      <c r="A85" s="146" t="s">
        <v>565</v>
      </c>
      <c r="B85" s="53" t="s">
        <v>112</v>
      </c>
      <c r="C85" s="50" t="s">
        <v>133</v>
      </c>
      <c r="D85" s="165">
        <v>1</v>
      </c>
      <c r="E85" s="158">
        <v>1</v>
      </c>
      <c r="F85" s="52">
        <f>SUM(H85:DY85)*E85*Table1[[#This Row],[Cycles]]</f>
        <v>0</v>
      </c>
      <c r="G85" s="46">
        <f t="shared" si="32"/>
        <v>0</v>
      </c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  <c r="BA85" s="47"/>
      <c r="BB85" s="47"/>
      <c r="BC85" s="47"/>
      <c r="BD85" s="47"/>
      <c r="BE85" s="47"/>
      <c r="BF85" s="47"/>
      <c r="BG85" s="47"/>
      <c r="BH85" s="47"/>
      <c r="BI85" s="47"/>
      <c r="BJ85" s="47"/>
      <c r="BK85" s="47"/>
      <c r="BL85" s="47"/>
      <c r="BM85" s="47"/>
      <c r="BN85" s="47"/>
      <c r="BO85" s="47"/>
      <c r="BP85" s="47"/>
      <c r="BQ85" s="47"/>
      <c r="BR85" s="47"/>
      <c r="BS85" s="47"/>
      <c r="BT85" s="47"/>
      <c r="BU85" s="47"/>
      <c r="BV85" s="47"/>
      <c r="BW85" s="47"/>
      <c r="BX85" s="47"/>
      <c r="BY85" s="47"/>
      <c r="BZ85" s="47"/>
      <c r="CA85" s="47"/>
      <c r="CB85" s="47"/>
      <c r="CC85" s="47"/>
      <c r="CD85" s="47"/>
      <c r="CE85" s="47"/>
      <c r="CF85" s="47"/>
      <c r="CG85" s="47"/>
      <c r="CH85" s="47"/>
      <c r="CI85" s="47"/>
      <c r="CJ85" s="47"/>
      <c r="CK85" s="47"/>
      <c r="CL85" s="47"/>
      <c r="CM85" s="47"/>
      <c r="CN85" s="47"/>
      <c r="CO85" s="47"/>
      <c r="CP85" s="47"/>
      <c r="CQ85" s="47"/>
      <c r="CR85" s="47"/>
      <c r="CS85" s="47"/>
      <c r="CT85" s="47"/>
      <c r="CU85" s="47"/>
      <c r="CV85" s="47"/>
      <c r="CW85" s="47"/>
      <c r="CX85" s="47"/>
      <c r="CY85" s="47"/>
      <c r="CZ85" s="47"/>
      <c r="DA85" s="47"/>
      <c r="DB85" s="47"/>
      <c r="DC85" s="47"/>
      <c r="DD85" s="47"/>
      <c r="DE85" s="47"/>
      <c r="DF85" s="47"/>
      <c r="DG85" s="47"/>
      <c r="DH85" s="47"/>
      <c r="DI85" s="47"/>
      <c r="DJ85" s="47"/>
      <c r="DK85" s="47"/>
      <c r="DL85" s="47"/>
      <c r="DM85" s="47"/>
      <c r="DN85" s="47"/>
      <c r="DO85" s="47"/>
      <c r="DP85" s="47"/>
      <c r="DQ85" s="47"/>
      <c r="DR85" s="47"/>
      <c r="DS85" s="47"/>
      <c r="DT85" s="47"/>
      <c r="DU85" s="47"/>
      <c r="DV85" s="47"/>
      <c r="DW85" s="47"/>
      <c r="DX85" s="47"/>
      <c r="DY85" s="47"/>
      <c r="DZ85" s="219"/>
      <c r="EA85" s="231"/>
      <c r="EB85" s="231"/>
      <c r="EC85" s="231"/>
      <c r="ED85" s="231"/>
      <c r="EE85" s="231"/>
      <c r="EF85" s="231"/>
      <c r="EG85" s="231"/>
      <c r="EH85" s="231"/>
      <c r="EI85" s="231"/>
      <c r="EJ85" s="231"/>
      <c r="EK85" s="231"/>
      <c r="EL85" s="231"/>
      <c r="EM85" s="231"/>
      <c r="EN85" s="231"/>
      <c r="EO85" s="231"/>
      <c r="EP85" s="231"/>
      <c r="EQ85" s="231"/>
    </row>
    <row r="86" spans="1:147" s="40" customFormat="1" ht="22.9" customHeight="1" outlineLevel="1" x14ac:dyDescent="0.2">
      <c r="A86" s="149" t="s">
        <v>566</v>
      </c>
      <c r="B86" s="34" t="s">
        <v>30</v>
      </c>
      <c r="C86" s="30" t="s">
        <v>100</v>
      </c>
      <c r="D86" s="164"/>
      <c r="E86" s="164"/>
      <c r="F86" s="45">
        <f>SUM(F87:F96)</f>
        <v>0</v>
      </c>
      <c r="G86" s="44">
        <f>SUM(G87:G96)</f>
        <v>0</v>
      </c>
      <c r="H86" s="45">
        <f t="shared" ref="H86:AM86" si="33">SUMPRODUCT($D$87:$D$96,$E$87:$E$96,H87:H96)</f>
        <v>0</v>
      </c>
      <c r="I86" s="45">
        <f t="shared" si="33"/>
        <v>0</v>
      </c>
      <c r="J86" s="45">
        <f t="shared" si="33"/>
        <v>0</v>
      </c>
      <c r="K86" s="45">
        <f t="shared" si="33"/>
        <v>0</v>
      </c>
      <c r="L86" s="45">
        <f t="shared" si="33"/>
        <v>0</v>
      </c>
      <c r="M86" s="45">
        <f t="shared" si="33"/>
        <v>0</v>
      </c>
      <c r="N86" s="45">
        <f t="shared" si="33"/>
        <v>0</v>
      </c>
      <c r="O86" s="45">
        <f t="shared" si="33"/>
        <v>0</v>
      </c>
      <c r="P86" s="45">
        <f t="shared" si="33"/>
        <v>0</v>
      </c>
      <c r="Q86" s="45">
        <f t="shared" si="33"/>
        <v>0</v>
      </c>
      <c r="R86" s="45">
        <f t="shared" si="33"/>
        <v>0</v>
      </c>
      <c r="S86" s="45">
        <f t="shared" si="33"/>
        <v>0</v>
      </c>
      <c r="T86" s="45">
        <f t="shared" si="33"/>
        <v>0</v>
      </c>
      <c r="U86" s="45">
        <f t="shared" si="33"/>
        <v>0</v>
      </c>
      <c r="V86" s="45">
        <f t="shared" si="33"/>
        <v>0</v>
      </c>
      <c r="W86" s="45">
        <f t="shared" si="33"/>
        <v>0</v>
      </c>
      <c r="X86" s="45">
        <f t="shared" si="33"/>
        <v>0</v>
      </c>
      <c r="Y86" s="45">
        <f t="shared" si="33"/>
        <v>0</v>
      </c>
      <c r="Z86" s="45">
        <f t="shared" si="33"/>
        <v>0</v>
      </c>
      <c r="AA86" s="45">
        <f t="shared" si="33"/>
        <v>0</v>
      </c>
      <c r="AB86" s="45">
        <f t="shared" si="33"/>
        <v>0</v>
      </c>
      <c r="AC86" s="45">
        <f t="shared" si="33"/>
        <v>0</v>
      </c>
      <c r="AD86" s="45">
        <f t="shared" si="33"/>
        <v>0</v>
      </c>
      <c r="AE86" s="45">
        <f t="shared" si="33"/>
        <v>0</v>
      </c>
      <c r="AF86" s="45">
        <f t="shared" si="33"/>
        <v>0</v>
      </c>
      <c r="AG86" s="45">
        <f t="shared" si="33"/>
        <v>0</v>
      </c>
      <c r="AH86" s="45">
        <f t="shared" si="33"/>
        <v>0</v>
      </c>
      <c r="AI86" s="45">
        <f t="shared" si="33"/>
        <v>0</v>
      </c>
      <c r="AJ86" s="45">
        <f t="shared" si="33"/>
        <v>0</v>
      </c>
      <c r="AK86" s="45">
        <f t="shared" si="33"/>
        <v>0</v>
      </c>
      <c r="AL86" s="45">
        <f t="shared" si="33"/>
        <v>0</v>
      </c>
      <c r="AM86" s="45">
        <f t="shared" si="33"/>
        <v>0</v>
      </c>
      <c r="AN86" s="45">
        <f t="shared" ref="AN86:BS86" si="34">SUMPRODUCT($D$87:$D$96,$E$87:$E$96,AN87:AN96)</f>
        <v>0</v>
      </c>
      <c r="AO86" s="45">
        <f t="shared" si="34"/>
        <v>0</v>
      </c>
      <c r="AP86" s="45">
        <f t="shared" si="34"/>
        <v>0</v>
      </c>
      <c r="AQ86" s="45">
        <f t="shared" si="34"/>
        <v>0</v>
      </c>
      <c r="AR86" s="45">
        <f t="shared" si="34"/>
        <v>0</v>
      </c>
      <c r="AS86" s="45">
        <f t="shared" si="34"/>
        <v>0</v>
      </c>
      <c r="AT86" s="45">
        <f t="shared" si="34"/>
        <v>0</v>
      </c>
      <c r="AU86" s="45">
        <f t="shared" si="34"/>
        <v>0</v>
      </c>
      <c r="AV86" s="45">
        <f t="shared" si="34"/>
        <v>0</v>
      </c>
      <c r="AW86" s="45">
        <f t="shared" si="34"/>
        <v>0</v>
      </c>
      <c r="AX86" s="45">
        <f t="shared" si="34"/>
        <v>0</v>
      </c>
      <c r="AY86" s="45">
        <f t="shared" si="34"/>
        <v>0</v>
      </c>
      <c r="AZ86" s="45">
        <f t="shared" si="34"/>
        <v>0</v>
      </c>
      <c r="BA86" s="45">
        <f t="shared" si="34"/>
        <v>0</v>
      </c>
      <c r="BB86" s="45">
        <f t="shared" si="34"/>
        <v>0</v>
      </c>
      <c r="BC86" s="45">
        <f t="shared" si="34"/>
        <v>0</v>
      </c>
      <c r="BD86" s="45">
        <f t="shared" si="34"/>
        <v>0</v>
      </c>
      <c r="BE86" s="45">
        <f t="shared" si="34"/>
        <v>0</v>
      </c>
      <c r="BF86" s="45">
        <f t="shared" si="34"/>
        <v>0</v>
      </c>
      <c r="BG86" s="45">
        <f t="shared" si="34"/>
        <v>0</v>
      </c>
      <c r="BH86" s="45">
        <f t="shared" si="34"/>
        <v>0</v>
      </c>
      <c r="BI86" s="45">
        <f t="shared" si="34"/>
        <v>0</v>
      </c>
      <c r="BJ86" s="45">
        <f t="shared" si="34"/>
        <v>0</v>
      </c>
      <c r="BK86" s="45">
        <f t="shared" si="34"/>
        <v>0</v>
      </c>
      <c r="BL86" s="45">
        <f t="shared" si="34"/>
        <v>0</v>
      </c>
      <c r="BM86" s="45">
        <f t="shared" si="34"/>
        <v>0</v>
      </c>
      <c r="BN86" s="45">
        <f t="shared" si="34"/>
        <v>0</v>
      </c>
      <c r="BO86" s="45">
        <f t="shared" si="34"/>
        <v>0</v>
      </c>
      <c r="BP86" s="45">
        <f t="shared" si="34"/>
        <v>0</v>
      </c>
      <c r="BQ86" s="45">
        <f t="shared" si="34"/>
        <v>0</v>
      </c>
      <c r="BR86" s="45">
        <f t="shared" si="34"/>
        <v>0</v>
      </c>
      <c r="BS86" s="45">
        <f t="shared" si="34"/>
        <v>0</v>
      </c>
      <c r="BT86" s="45">
        <f>SUMPRODUCT($D$87:$D$96,$E$87:$E$96,BT87:BT96)</f>
        <v>0</v>
      </c>
      <c r="BU86" s="45">
        <f t="shared" ref="BU86:CY86" si="35">SUMPRODUCT($D$87:$D$96,$E$87:$E$96,BU87:BU96)</f>
        <v>0</v>
      </c>
      <c r="BV86" s="45">
        <f t="shared" si="35"/>
        <v>0</v>
      </c>
      <c r="BW86" s="45">
        <f t="shared" si="35"/>
        <v>0</v>
      </c>
      <c r="BX86" s="45">
        <f t="shared" si="35"/>
        <v>0</v>
      </c>
      <c r="BY86" s="45">
        <f t="shared" si="35"/>
        <v>0</v>
      </c>
      <c r="BZ86" s="45">
        <f t="shared" si="35"/>
        <v>0</v>
      </c>
      <c r="CA86" s="45">
        <f t="shared" si="35"/>
        <v>0</v>
      </c>
      <c r="CB86" s="45">
        <f t="shared" si="35"/>
        <v>0</v>
      </c>
      <c r="CC86" s="45">
        <f t="shared" si="35"/>
        <v>0</v>
      </c>
      <c r="CD86" s="45">
        <f t="shared" si="35"/>
        <v>0</v>
      </c>
      <c r="CE86" s="45">
        <f t="shared" si="35"/>
        <v>0</v>
      </c>
      <c r="CF86" s="45">
        <f t="shared" si="35"/>
        <v>0</v>
      </c>
      <c r="CG86" s="45">
        <f t="shared" si="35"/>
        <v>0</v>
      </c>
      <c r="CH86" s="45">
        <f t="shared" si="35"/>
        <v>0</v>
      </c>
      <c r="CI86" s="45">
        <f t="shared" si="35"/>
        <v>0</v>
      </c>
      <c r="CJ86" s="45">
        <f t="shared" si="35"/>
        <v>0</v>
      </c>
      <c r="CK86" s="45">
        <f t="shared" si="35"/>
        <v>0</v>
      </c>
      <c r="CL86" s="45">
        <f t="shared" si="35"/>
        <v>0</v>
      </c>
      <c r="CM86" s="45">
        <f t="shared" si="35"/>
        <v>0</v>
      </c>
      <c r="CN86" s="45">
        <f t="shared" si="35"/>
        <v>0</v>
      </c>
      <c r="CO86" s="45">
        <f t="shared" si="35"/>
        <v>0</v>
      </c>
      <c r="CP86" s="45">
        <f t="shared" si="35"/>
        <v>0</v>
      </c>
      <c r="CQ86" s="45">
        <f t="shared" si="35"/>
        <v>0</v>
      </c>
      <c r="CR86" s="45">
        <f t="shared" si="35"/>
        <v>0</v>
      </c>
      <c r="CS86" s="45">
        <f t="shared" si="35"/>
        <v>0</v>
      </c>
      <c r="CT86" s="45">
        <f t="shared" si="35"/>
        <v>0</v>
      </c>
      <c r="CU86" s="45">
        <f t="shared" si="35"/>
        <v>0</v>
      </c>
      <c r="CV86" s="45">
        <f t="shared" si="35"/>
        <v>0</v>
      </c>
      <c r="CW86" s="45">
        <f t="shared" si="35"/>
        <v>0</v>
      </c>
      <c r="CX86" s="45">
        <f t="shared" si="35"/>
        <v>0</v>
      </c>
      <c r="CY86" s="45">
        <f t="shared" si="35"/>
        <v>0</v>
      </c>
      <c r="CZ86" s="45">
        <f t="shared" ref="CZ86:DY86" si="36">SUMPRODUCT($D$87:$D$96,$E$87:$E$96,CZ87:CZ96)</f>
        <v>0</v>
      </c>
      <c r="DA86" s="45">
        <f t="shared" si="36"/>
        <v>0</v>
      </c>
      <c r="DB86" s="45">
        <f t="shared" si="36"/>
        <v>0</v>
      </c>
      <c r="DC86" s="45">
        <f t="shared" si="36"/>
        <v>0</v>
      </c>
      <c r="DD86" s="45">
        <f t="shared" si="36"/>
        <v>0</v>
      </c>
      <c r="DE86" s="45">
        <f t="shared" si="36"/>
        <v>0</v>
      </c>
      <c r="DF86" s="45">
        <f t="shared" si="36"/>
        <v>0</v>
      </c>
      <c r="DG86" s="45">
        <f t="shared" si="36"/>
        <v>0</v>
      </c>
      <c r="DH86" s="45">
        <f t="shared" si="36"/>
        <v>0</v>
      </c>
      <c r="DI86" s="45">
        <f t="shared" si="36"/>
        <v>0</v>
      </c>
      <c r="DJ86" s="45">
        <f t="shared" si="36"/>
        <v>0</v>
      </c>
      <c r="DK86" s="45">
        <f t="shared" si="36"/>
        <v>0</v>
      </c>
      <c r="DL86" s="45">
        <f t="shared" si="36"/>
        <v>0</v>
      </c>
      <c r="DM86" s="45">
        <f t="shared" si="36"/>
        <v>0</v>
      </c>
      <c r="DN86" s="45">
        <f t="shared" si="36"/>
        <v>0</v>
      </c>
      <c r="DO86" s="45">
        <f t="shared" si="36"/>
        <v>0</v>
      </c>
      <c r="DP86" s="45">
        <f t="shared" si="36"/>
        <v>0</v>
      </c>
      <c r="DQ86" s="45">
        <f t="shared" si="36"/>
        <v>0</v>
      </c>
      <c r="DR86" s="45">
        <f t="shared" si="36"/>
        <v>0</v>
      </c>
      <c r="DS86" s="45">
        <f t="shared" si="36"/>
        <v>0</v>
      </c>
      <c r="DT86" s="45">
        <f t="shared" si="36"/>
        <v>0</v>
      </c>
      <c r="DU86" s="45">
        <f t="shared" si="36"/>
        <v>0</v>
      </c>
      <c r="DV86" s="45">
        <f t="shared" si="36"/>
        <v>0</v>
      </c>
      <c r="DW86" s="45">
        <f t="shared" si="36"/>
        <v>0</v>
      </c>
      <c r="DX86" s="45">
        <f t="shared" si="36"/>
        <v>0</v>
      </c>
      <c r="DY86" s="45">
        <f t="shared" si="36"/>
        <v>0</v>
      </c>
      <c r="DZ86" s="218"/>
      <c r="EA86" s="231"/>
      <c r="EB86" s="231"/>
      <c r="EC86" s="231"/>
      <c r="ED86" s="231"/>
      <c r="EE86" s="231"/>
      <c r="EF86" s="231"/>
      <c r="EG86" s="231"/>
      <c r="EH86" s="231"/>
      <c r="EI86" s="231"/>
      <c r="EJ86" s="231"/>
      <c r="EK86" s="231"/>
      <c r="EL86" s="231"/>
      <c r="EM86" s="231"/>
      <c r="EN86" s="231"/>
      <c r="EO86" s="231"/>
      <c r="EP86" s="231"/>
      <c r="EQ86" s="231"/>
    </row>
    <row r="87" spans="1:147" ht="22.9" customHeight="1" outlineLevel="2" x14ac:dyDescent="0.2">
      <c r="A87" s="146" t="s">
        <v>567</v>
      </c>
      <c r="B87" s="53" t="s">
        <v>414</v>
      </c>
      <c r="C87" s="50" t="s">
        <v>133</v>
      </c>
      <c r="D87" s="165">
        <v>1</v>
      </c>
      <c r="E87" s="158">
        <v>1</v>
      </c>
      <c r="F87" s="52">
        <f>SUM(H87:DY87)*E87*Table1[[#This Row],[Cycles]]</f>
        <v>0</v>
      </c>
      <c r="G87" s="46">
        <f>SUMPRODUCT($H$3:$DY$3,$H87:$DY87)*E87*D87</f>
        <v>0</v>
      </c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CJ87" s="47"/>
      <c r="CK87" s="47"/>
      <c r="CL87" s="47"/>
      <c r="CM87" s="47"/>
      <c r="CN87" s="47"/>
      <c r="CO87" s="47"/>
      <c r="CP87" s="47"/>
      <c r="CQ87" s="47"/>
      <c r="CR87" s="47"/>
      <c r="CS87" s="47"/>
      <c r="CT87" s="47"/>
      <c r="CU87" s="47"/>
      <c r="CV87" s="47"/>
      <c r="CW87" s="47"/>
      <c r="CX87" s="47"/>
      <c r="CY87" s="47"/>
      <c r="CZ87" s="47"/>
      <c r="DA87" s="47"/>
      <c r="DB87" s="47"/>
      <c r="DC87" s="47"/>
      <c r="DD87" s="47"/>
      <c r="DE87" s="47"/>
      <c r="DF87" s="47"/>
      <c r="DG87" s="47"/>
      <c r="DH87" s="47"/>
      <c r="DI87" s="47"/>
      <c r="DJ87" s="47"/>
      <c r="DK87" s="47"/>
      <c r="DL87" s="47"/>
      <c r="DM87" s="47"/>
      <c r="DN87" s="47"/>
      <c r="DO87" s="47"/>
      <c r="DP87" s="47"/>
      <c r="DQ87" s="47"/>
      <c r="DR87" s="47"/>
      <c r="DS87" s="47"/>
      <c r="DT87" s="47"/>
      <c r="DU87" s="47"/>
      <c r="DV87" s="47"/>
      <c r="DW87" s="47"/>
      <c r="DX87" s="47"/>
      <c r="DY87" s="47"/>
      <c r="DZ87" s="219"/>
      <c r="EA87" s="231"/>
      <c r="EB87" s="231"/>
      <c r="EC87" s="231"/>
      <c r="ED87" s="231"/>
      <c r="EE87" s="231"/>
      <c r="EF87" s="231"/>
      <c r="EG87" s="231"/>
      <c r="EH87" s="231"/>
      <c r="EI87" s="231"/>
      <c r="EJ87" s="231"/>
      <c r="EK87" s="231"/>
      <c r="EL87" s="231"/>
      <c r="EM87" s="231"/>
      <c r="EN87" s="231"/>
      <c r="EO87" s="231"/>
      <c r="EP87" s="231"/>
      <c r="EQ87" s="231"/>
    </row>
    <row r="88" spans="1:147" ht="22.9" customHeight="1" outlineLevel="2" x14ac:dyDescent="0.2">
      <c r="A88" s="146" t="s">
        <v>568</v>
      </c>
      <c r="B88" s="53" t="s">
        <v>31</v>
      </c>
      <c r="C88" s="50" t="s">
        <v>133</v>
      </c>
      <c r="D88" s="165">
        <v>1</v>
      </c>
      <c r="E88" s="158">
        <v>1</v>
      </c>
      <c r="F88" s="52">
        <f>SUM(H88:DY88)*E88*Table1[[#This Row],[Cycles]]</f>
        <v>0</v>
      </c>
      <c r="G88" s="46">
        <f t="shared" ref="G88:G96" si="37">SUMPRODUCT($H$3:$DY$3,$H88:$DY88)*E88*D88</f>
        <v>0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CJ88" s="47"/>
      <c r="CK88" s="47"/>
      <c r="CL88" s="47"/>
      <c r="CM88" s="47"/>
      <c r="CN88" s="47"/>
      <c r="CO88" s="47"/>
      <c r="CP88" s="47"/>
      <c r="CQ88" s="47"/>
      <c r="CR88" s="47"/>
      <c r="CS88" s="47"/>
      <c r="CT88" s="47"/>
      <c r="CU88" s="47"/>
      <c r="CV88" s="47"/>
      <c r="CW88" s="47"/>
      <c r="CX88" s="47"/>
      <c r="CY88" s="47"/>
      <c r="CZ88" s="47"/>
      <c r="DA88" s="47"/>
      <c r="DB88" s="47"/>
      <c r="DC88" s="47"/>
      <c r="DD88" s="47"/>
      <c r="DE88" s="47"/>
      <c r="DF88" s="47"/>
      <c r="DG88" s="47"/>
      <c r="DH88" s="47"/>
      <c r="DI88" s="47"/>
      <c r="DJ88" s="47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219"/>
      <c r="EA88" s="231"/>
      <c r="EB88" s="231"/>
      <c r="EC88" s="231"/>
      <c r="ED88" s="231"/>
      <c r="EE88" s="231"/>
      <c r="EF88" s="231"/>
      <c r="EG88" s="231"/>
      <c r="EH88" s="231"/>
      <c r="EI88" s="231"/>
      <c r="EJ88" s="231"/>
      <c r="EK88" s="231"/>
      <c r="EL88" s="231"/>
      <c r="EM88" s="231"/>
      <c r="EN88" s="231"/>
      <c r="EO88" s="231"/>
      <c r="EP88" s="231"/>
      <c r="EQ88" s="231"/>
    </row>
    <row r="89" spans="1:147" ht="22.9" customHeight="1" outlineLevel="2" x14ac:dyDescent="0.2">
      <c r="A89" s="146" t="s">
        <v>569</v>
      </c>
      <c r="B89" s="53" t="s">
        <v>32</v>
      </c>
      <c r="C89" s="50" t="s">
        <v>133</v>
      </c>
      <c r="D89" s="165">
        <v>1</v>
      </c>
      <c r="E89" s="158">
        <v>1</v>
      </c>
      <c r="F89" s="52">
        <f>SUM(H89:DY89)*E89*Table1[[#This Row],[Cycles]]</f>
        <v>0</v>
      </c>
      <c r="G89" s="46">
        <f t="shared" si="37"/>
        <v>0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  <c r="BS89" s="47"/>
      <c r="BT89" s="47"/>
      <c r="BU89" s="47"/>
      <c r="BV89" s="47"/>
      <c r="BW89" s="47"/>
      <c r="BX89" s="47"/>
      <c r="BY89" s="47"/>
      <c r="BZ89" s="47"/>
      <c r="CA89" s="47"/>
      <c r="CB89" s="47"/>
      <c r="CC89" s="47"/>
      <c r="CD89" s="47"/>
      <c r="CE89" s="47"/>
      <c r="CF89" s="47"/>
      <c r="CG89" s="47"/>
      <c r="CH89" s="47"/>
      <c r="CI89" s="47"/>
      <c r="CJ89" s="47"/>
      <c r="CK89" s="47"/>
      <c r="CL89" s="47"/>
      <c r="CM89" s="47"/>
      <c r="CN89" s="47"/>
      <c r="CO89" s="47"/>
      <c r="CP89" s="47"/>
      <c r="CQ89" s="47"/>
      <c r="CR89" s="47"/>
      <c r="CS89" s="47"/>
      <c r="CT89" s="47"/>
      <c r="CU89" s="47"/>
      <c r="CV89" s="47"/>
      <c r="CW89" s="47"/>
      <c r="CX89" s="47"/>
      <c r="CY89" s="47"/>
      <c r="CZ89" s="47"/>
      <c r="DA89" s="47"/>
      <c r="DB89" s="47"/>
      <c r="DC89" s="47"/>
      <c r="DD89" s="47"/>
      <c r="DE89" s="47"/>
      <c r="DF89" s="47"/>
      <c r="DG89" s="47"/>
      <c r="DH89" s="47"/>
      <c r="DI89" s="47"/>
      <c r="DJ89" s="47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219"/>
      <c r="EA89" s="231"/>
      <c r="EB89" s="231"/>
      <c r="EC89" s="231"/>
      <c r="ED89" s="231"/>
      <c r="EE89" s="231"/>
      <c r="EF89" s="231"/>
      <c r="EG89" s="231"/>
      <c r="EH89" s="231"/>
      <c r="EI89" s="231"/>
      <c r="EJ89" s="231"/>
      <c r="EK89" s="231"/>
      <c r="EL89" s="231"/>
      <c r="EM89" s="231"/>
      <c r="EN89" s="231"/>
      <c r="EO89" s="231"/>
      <c r="EP89" s="231"/>
      <c r="EQ89" s="231"/>
    </row>
    <row r="90" spans="1:147" ht="22.9" customHeight="1" outlineLevel="2" x14ac:dyDescent="0.2">
      <c r="A90" s="146" t="s">
        <v>570</v>
      </c>
      <c r="B90" s="53" t="s">
        <v>33</v>
      </c>
      <c r="C90" s="50" t="s">
        <v>133</v>
      </c>
      <c r="D90" s="165">
        <v>1</v>
      </c>
      <c r="E90" s="158">
        <v>1</v>
      </c>
      <c r="F90" s="52">
        <f>SUM(H90:DY90)*E90*Table1[[#This Row],[Cycles]]</f>
        <v>0</v>
      </c>
      <c r="G90" s="46">
        <f t="shared" si="37"/>
        <v>0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  <c r="BS90" s="47"/>
      <c r="BT90" s="47"/>
      <c r="BU90" s="47"/>
      <c r="BV90" s="47"/>
      <c r="BW90" s="47"/>
      <c r="BX90" s="47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7"/>
      <c r="CQ90" s="47"/>
      <c r="CR90" s="47"/>
      <c r="CS90" s="47"/>
      <c r="CT90" s="47"/>
      <c r="CU90" s="47"/>
      <c r="CV90" s="47"/>
      <c r="CW90" s="47"/>
      <c r="CX90" s="47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219"/>
      <c r="EA90" s="231"/>
      <c r="EB90" s="231"/>
      <c r="EC90" s="231"/>
      <c r="ED90" s="231"/>
      <c r="EE90" s="231"/>
      <c r="EF90" s="231"/>
      <c r="EG90" s="231"/>
      <c r="EH90" s="231"/>
      <c r="EI90" s="231"/>
      <c r="EJ90" s="231"/>
      <c r="EK90" s="231"/>
      <c r="EL90" s="231"/>
      <c r="EM90" s="231"/>
      <c r="EN90" s="231"/>
      <c r="EO90" s="231"/>
      <c r="EP90" s="231"/>
      <c r="EQ90" s="231"/>
    </row>
    <row r="91" spans="1:147" ht="22.9" customHeight="1" outlineLevel="2" x14ac:dyDescent="0.2">
      <c r="A91" s="146" t="s">
        <v>571</v>
      </c>
      <c r="B91" s="53" t="s">
        <v>34</v>
      </c>
      <c r="C91" s="50" t="s">
        <v>133</v>
      </c>
      <c r="D91" s="165">
        <v>1</v>
      </c>
      <c r="E91" s="158">
        <v>1</v>
      </c>
      <c r="F91" s="52">
        <f>SUM(H91:DY91)*E91*Table1[[#This Row],[Cycles]]</f>
        <v>0</v>
      </c>
      <c r="G91" s="46">
        <f t="shared" si="37"/>
        <v>0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47"/>
      <c r="CF91" s="47"/>
      <c r="CG91" s="47"/>
      <c r="CH91" s="47"/>
      <c r="CI91" s="47"/>
      <c r="CJ91" s="47"/>
      <c r="CK91" s="47"/>
      <c r="CL91" s="47"/>
      <c r="CM91" s="47"/>
      <c r="CN91" s="47"/>
      <c r="CO91" s="47"/>
      <c r="CP91" s="47"/>
      <c r="CQ91" s="47"/>
      <c r="CR91" s="47"/>
      <c r="CS91" s="47"/>
      <c r="CT91" s="47"/>
      <c r="CU91" s="47"/>
      <c r="CV91" s="47"/>
      <c r="CW91" s="47"/>
      <c r="CX91" s="47"/>
      <c r="CY91" s="47"/>
      <c r="CZ91" s="47"/>
      <c r="DA91" s="47"/>
      <c r="DB91" s="47"/>
      <c r="DC91" s="47"/>
      <c r="DD91" s="47"/>
      <c r="DE91" s="47"/>
      <c r="DF91" s="47"/>
      <c r="DG91" s="47"/>
      <c r="DH91" s="47"/>
      <c r="DI91" s="47"/>
      <c r="DJ91" s="47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219"/>
      <c r="EA91" s="231"/>
      <c r="EB91" s="231"/>
      <c r="EC91" s="231"/>
      <c r="ED91" s="231"/>
      <c r="EE91" s="231"/>
      <c r="EF91" s="231"/>
      <c r="EG91" s="231"/>
      <c r="EH91" s="231"/>
      <c r="EI91" s="231"/>
      <c r="EJ91" s="231"/>
      <c r="EK91" s="231"/>
      <c r="EL91" s="231"/>
      <c r="EM91" s="231"/>
      <c r="EN91" s="231"/>
      <c r="EO91" s="231"/>
      <c r="EP91" s="231"/>
      <c r="EQ91" s="231"/>
    </row>
    <row r="92" spans="1:147" ht="22.9" customHeight="1" outlineLevel="2" x14ac:dyDescent="0.2">
      <c r="A92" s="146" t="s">
        <v>572</v>
      </c>
      <c r="B92" s="53" t="s">
        <v>139</v>
      </c>
      <c r="C92" s="50" t="s">
        <v>133</v>
      </c>
      <c r="D92" s="165">
        <v>1</v>
      </c>
      <c r="E92" s="158">
        <v>1</v>
      </c>
      <c r="F92" s="52">
        <f>SUM(H92:DY92)*E92*Table1[[#This Row],[Cycles]]</f>
        <v>0</v>
      </c>
      <c r="G92" s="46">
        <f t="shared" si="37"/>
        <v>0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  <c r="BS92" s="47"/>
      <c r="BT92" s="47"/>
      <c r="BU92" s="47"/>
      <c r="BV92" s="47"/>
      <c r="BW92" s="47"/>
      <c r="BX92" s="47"/>
      <c r="BY92" s="47"/>
      <c r="BZ92" s="47"/>
      <c r="CA92" s="47"/>
      <c r="CB92" s="47"/>
      <c r="CC92" s="47"/>
      <c r="CD92" s="4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7"/>
      <c r="CR92" s="47"/>
      <c r="CS92" s="47"/>
      <c r="CT92" s="47"/>
      <c r="CU92" s="47"/>
      <c r="CV92" s="47"/>
      <c r="CW92" s="47"/>
      <c r="CX92" s="47"/>
      <c r="CY92" s="47"/>
      <c r="CZ92" s="47"/>
      <c r="DA92" s="47"/>
      <c r="DB92" s="47"/>
      <c r="DC92" s="47"/>
      <c r="DD92" s="47"/>
      <c r="DE92" s="47"/>
      <c r="DF92" s="47"/>
      <c r="DG92" s="47"/>
      <c r="DH92" s="47"/>
      <c r="DI92" s="47"/>
      <c r="DJ92" s="47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219"/>
      <c r="EA92" s="231"/>
      <c r="EB92" s="231"/>
      <c r="EC92" s="231"/>
      <c r="ED92" s="231"/>
      <c r="EE92" s="231"/>
      <c r="EF92" s="231"/>
      <c r="EG92" s="231"/>
      <c r="EH92" s="231"/>
      <c r="EI92" s="231"/>
      <c r="EJ92" s="231"/>
      <c r="EK92" s="231"/>
      <c r="EL92" s="231"/>
      <c r="EM92" s="231"/>
      <c r="EN92" s="231"/>
      <c r="EO92" s="231"/>
      <c r="EP92" s="231"/>
      <c r="EQ92" s="231"/>
    </row>
    <row r="93" spans="1:147" ht="22.9" customHeight="1" outlineLevel="2" x14ac:dyDescent="0.2">
      <c r="A93" s="146" t="s">
        <v>573</v>
      </c>
      <c r="B93" s="53" t="s">
        <v>35</v>
      </c>
      <c r="C93" s="50" t="s">
        <v>133</v>
      </c>
      <c r="D93" s="165">
        <v>1</v>
      </c>
      <c r="E93" s="158">
        <v>1</v>
      </c>
      <c r="F93" s="52">
        <f>SUM(H93:DY93)*E93*Table1[[#This Row],[Cycles]]</f>
        <v>0</v>
      </c>
      <c r="G93" s="46">
        <f t="shared" si="37"/>
        <v>0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47"/>
      <c r="CG93" s="47"/>
      <c r="CH93" s="47"/>
      <c r="CI93" s="47"/>
      <c r="CJ93" s="47"/>
      <c r="CK93" s="47"/>
      <c r="CL93" s="47"/>
      <c r="CM93" s="47"/>
      <c r="CN93" s="47"/>
      <c r="CO93" s="47"/>
      <c r="CP93" s="47"/>
      <c r="CQ93" s="47"/>
      <c r="CR93" s="47"/>
      <c r="CS93" s="47"/>
      <c r="CT93" s="47"/>
      <c r="CU93" s="47"/>
      <c r="CV93" s="47"/>
      <c r="CW93" s="47"/>
      <c r="CX93" s="47"/>
      <c r="CY93" s="47"/>
      <c r="CZ93" s="47"/>
      <c r="DA93" s="47"/>
      <c r="DB93" s="47"/>
      <c r="DC93" s="47"/>
      <c r="DD93" s="47"/>
      <c r="DE93" s="47"/>
      <c r="DF93" s="47"/>
      <c r="DG93" s="47"/>
      <c r="DH93" s="47"/>
      <c r="DI93" s="47"/>
      <c r="DJ93" s="47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219"/>
      <c r="EA93" s="231"/>
      <c r="EB93" s="231"/>
      <c r="EC93" s="231"/>
      <c r="ED93" s="231"/>
      <c r="EE93" s="231"/>
      <c r="EF93" s="231"/>
      <c r="EG93" s="231"/>
      <c r="EH93" s="231"/>
      <c r="EI93" s="231"/>
      <c r="EJ93" s="231"/>
      <c r="EK93" s="231"/>
      <c r="EL93" s="231"/>
      <c r="EM93" s="231"/>
      <c r="EN93" s="231"/>
      <c r="EO93" s="231"/>
      <c r="EP93" s="231"/>
      <c r="EQ93" s="231"/>
    </row>
    <row r="94" spans="1:147" ht="22.9" customHeight="1" outlineLevel="2" x14ac:dyDescent="0.2">
      <c r="A94" s="146" t="s">
        <v>574</v>
      </c>
      <c r="B94" s="53" t="s">
        <v>36</v>
      </c>
      <c r="C94" s="50" t="s">
        <v>133</v>
      </c>
      <c r="D94" s="165">
        <v>1</v>
      </c>
      <c r="E94" s="158">
        <v>1</v>
      </c>
      <c r="F94" s="52">
        <f>SUM(H94:DY94)*E94*Table1[[#This Row],[Cycles]]</f>
        <v>0</v>
      </c>
      <c r="G94" s="46">
        <f t="shared" si="37"/>
        <v>0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7"/>
      <c r="CR94" s="47"/>
      <c r="CS94" s="47"/>
      <c r="CT94" s="47"/>
      <c r="CU94" s="47"/>
      <c r="CV94" s="47"/>
      <c r="CW94" s="47"/>
      <c r="CX94" s="47"/>
      <c r="CY94" s="47"/>
      <c r="CZ94" s="47"/>
      <c r="DA94" s="47"/>
      <c r="DB94" s="47"/>
      <c r="DC94" s="47"/>
      <c r="DD94" s="47"/>
      <c r="DE94" s="47"/>
      <c r="DF94" s="47"/>
      <c r="DG94" s="47"/>
      <c r="DH94" s="47"/>
      <c r="DI94" s="47"/>
      <c r="DJ94" s="47"/>
      <c r="DK94" s="47"/>
      <c r="DL94" s="47"/>
      <c r="DM94" s="47"/>
      <c r="DN94" s="47"/>
      <c r="DO94" s="47"/>
      <c r="DP94" s="47"/>
      <c r="DQ94" s="47"/>
      <c r="DR94" s="47"/>
      <c r="DS94" s="47"/>
      <c r="DT94" s="47"/>
      <c r="DU94" s="47"/>
      <c r="DV94" s="47"/>
      <c r="DW94" s="47"/>
      <c r="DX94" s="47"/>
      <c r="DY94" s="47"/>
      <c r="DZ94" s="219"/>
      <c r="EA94" s="231"/>
      <c r="EB94" s="231"/>
      <c r="EC94" s="231"/>
      <c r="ED94" s="231"/>
      <c r="EE94" s="231"/>
      <c r="EF94" s="231"/>
      <c r="EG94" s="231"/>
      <c r="EH94" s="231"/>
      <c r="EI94" s="231"/>
      <c r="EJ94" s="231"/>
      <c r="EK94" s="231"/>
      <c r="EL94" s="231"/>
      <c r="EM94" s="231"/>
      <c r="EN94" s="231"/>
      <c r="EO94" s="231"/>
      <c r="EP94" s="231"/>
      <c r="EQ94" s="231"/>
    </row>
    <row r="95" spans="1:147" ht="22.9" customHeight="1" outlineLevel="2" x14ac:dyDescent="0.2">
      <c r="A95" s="146" t="s">
        <v>575</v>
      </c>
      <c r="B95" s="53" t="s">
        <v>286</v>
      </c>
      <c r="C95" s="50" t="s">
        <v>133</v>
      </c>
      <c r="D95" s="165">
        <v>1</v>
      </c>
      <c r="E95" s="158">
        <v>1</v>
      </c>
      <c r="F95" s="52">
        <f>SUM(H95:DY95)*E95*Table1[[#This Row],[Cycles]]</f>
        <v>0</v>
      </c>
      <c r="G95" s="46">
        <f t="shared" si="37"/>
        <v>0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  <c r="DE95" s="47"/>
      <c r="DF95" s="47"/>
      <c r="DG95" s="47"/>
      <c r="DH95" s="47"/>
      <c r="DI95" s="47"/>
      <c r="DJ95" s="47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219"/>
      <c r="EA95" s="231"/>
      <c r="EB95" s="231"/>
      <c r="EC95" s="231"/>
      <c r="ED95" s="231"/>
      <c r="EE95" s="231"/>
      <c r="EF95" s="231"/>
      <c r="EG95" s="231"/>
      <c r="EH95" s="231"/>
      <c r="EI95" s="231"/>
      <c r="EJ95" s="231"/>
      <c r="EK95" s="231"/>
      <c r="EL95" s="231"/>
      <c r="EM95" s="231"/>
      <c r="EN95" s="231"/>
      <c r="EO95" s="231"/>
      <c r="EP95" s="231"/>
      <c r="EQ95" s="231"/>
    </row>
    <row r="96" spans="1:147" ht="22.9" customHeight="1" outlineLevel="2" x14ac:dyDescent="0.2">
      <c r="A96" s="146" t="s">
        <v>576</v>
      </c>
      <c r="B96" s="53" t="s">
        <v>485</v>
      </c>
      <c r="C96" s="50" t="s">
        <v>133</v>
      </c>
      <c r="D96" s="165">
        <v>1</v>
      </c>
      <c r="E96" s="158">
        <v>2</v>
      </c>
      <c r="F96" s="52">
        <f>SUM(H96:DY96)*E96*Table1[[#This Row],[Cycles]]</f>
        <v>0</v>
      </c>
      <c r="G96" s="46">
        <f t="shared" si="37"/>
        <v>0</v>
      </c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  <c r="BS96" s="47"/>
      <c r="BT96" s="47"/>
      <c r="BU96" s="47"/>
      <c r="BV96" s="47"/>
      <c r="BW96" s="47"/>
      <c r="BX96" s="47"/>
      <c r="BY96" s="47"/>
      <c r="BZ96" s="47"/>
      <c r="CA96" s="47"/>
      <c r="CB96" s="47"/>
      <c r="CC96" s="47"/>
      <c r="CD96" s="47"/>
      <c r="CE96" s="47"/>
      <c r="CF96" s="47"/>
      <c r="CG96" s="47"/>
      <c r="CH96" s="47"/>
      <c r="CI96" s="47"/>
      <c r="CJ96" s="47"/>
      <c r="CK96" s="47"/>
      <c r="CL96" s="47"/>
      <c r="CM96" s="47"/>
      <c r="CN96" s="47"/>
      <c r="CO96" s="47"/>
      <c r="CP96" s="47"/>
      <c r="CQ96" s="47"/>
      <c r="CR96" s="47"/>
      <c r="CS96" s="47"/>
      <c r="CT96" s="47"/>
      <c r="CU96" s="47"/>
      <c r="CV96" s="47"/>
      <c r="CW96" s="47"/>
      <c r="CX96" s="47"/>
      <c r="CY96" s="47"/>
      <c r="CZ96" s="47"/>
      <c r="DA96" s="47"/>
      <c r="DB96" s="47"/>
      <c r="DC96" s="47"/>
      <c r="DD96" s="47"/>
      <c r="DE96" s="47"/>
      <c r="DF96" s="47"/>
      <c r="DG96" s="47"/>
      <c r="DH96" s="47"/>
      <c r="DI96" s="47"/>
      <c r="DJ96" s="47"/>
      <c r="DK96" s="47"/>
      <c r="DL96" s="47"/>
      <c r="DM96" s="47"/>
      <c r="DN96" s="47"/>
      <c r="DO96" s="47"/>
      <c r="DP96" s="47"/>
      <c r="DQ96" s="47"/>
      <c r="DR96" s="47"/>
      <c r="DS96" s="47"/>
      <c r="DT96" s="47"/>
      <c r="DU96" s="47"/>
      <c r="DV96" s="47"/>
      <c r="DW96" s="47"/>
      <c r="DX96" s="47"/>
      <c r="DY96" s="47"/>
      <c r="DZ96" s="219"/>
      <c r="EA96" s="231"/>
      <c r="EB96" s="231"/>
      <c r="EC96" s="231"/>
      <c r="ED96" s="231"/>
      <c r="EE96" s="231"/>
      <c r="EF96" s="231"/>
      <c r="EG96" s="231"/>
      <c r="EH96" s="231"/>
      <c r="EI96" s="231"/>
      <c r="EJ96" s="231"/>
      <c r="EK96" s="231"/>
      <c r="EL96" s="231"/>
      <c r="EM96" s="231"/>
      <c r="EN96" s="231"/>
      <c r="EO96" s="231"/>
      <c r="EP96" s="231"/>
      <c r="EQ96" s="231"/>
    </row>
    <row r="97" spans="1:147" s="40" customFormat="1" ht="22.9" customHeight="1" outlineLevel="1" x14ac:dyDescent="0.2">
      <c r="A97" s="149" t="s">
        <v>577</v>
      </c>
      <c r="B97" s="34" t="s">
        <v>490</v>
      </c>
      <c r="C97" s="30" t="s">
        <v>100</v>
      </c>
      <c r="D97" s="164"/>
      <c r="E97" s="164"/>
      <c r="F97" s="45">
        <f>SUM(F98:F112)</f>
        <v>0</v>
      </c>
      <c r="G97" s="44">
        <f>SUM(G98:G112)</f>
        <v>0</v>
      </c>
      <c r="H97" s="45">
        <f>SUMPRODUCT($D$98:$D$112,$E$98:$E$112,H98:H112)</f>
        <v>0</v>
      </c>
      <c r="I97" s="45">
        <f t="shared" ref="I97:BT97" si="38">SUMPRODUCT($D$98:$D$112,$E$98:$E$112,I98:I112)</f>
        <v>0</v>
      </c>
      <c r="J97" s="45">
        <f t="shared" si="38"/>
        <v>0</v>
      </c>
      <c r="K97" s="45">
        <f t="shared" si="38"/>
        <v>0</v>
      </c>
      <c r="L97" s="45">
        <f t="shared" si="38"/>
        <v>0</v>
      </c>
      <c r="M97" s="45">
        <f t="shared" si="38"/>
        <v>0</v>
      </c>
      <c r="N97" s="45">
        <f t="shared" si="38"/>
        <v>0</v>
      </c>
      <c r="O97" s="45">
        <f t="shared" si="38"/>
        <v>0</v>
      </c>
      <c r="P97" s="45">
        <f t="shared" si="38"/>
        <v>0</v>
      </c>
      <c r="Q97" s="45">
        <f t="shared" si="38"/>
        <v>0</v>
      </c>
      <c r="R97" s="45">
        <f t="shared" si="38"/>
        <v>0</v>
      </c>
      <c r="S97" s="45">
        <f t="shared" si="38"/>
        <v>0</v>
      </c>
      <c r="T97" s="45">
        <f t="shared" si="38"/>
        <v>0</v>
      </c>
      <c r="U97" s="45">
        <f t="shared" si="38"/>
        <v>0</v>
      </c>
      <c r="V97" s="45">
        <f t="shared" si="38"/>
        <v>0</v>
      </c>
      <c r="W97" s="45">
        <f t="shared" si="38"/>
        <v>0</v>
      </c>
      <c r="X97" s="45">
        <f t="shared" si="38"/>
        <v>0</v>
      </c>
      <c r="Y97" s="45">
        <f t="shared" si="38"/>
        <v>0</v>
      </c>
      <c r="Z97" s="45">
        <f t="shared" si="38"/>
        <v>0</v>
      </c>
      <c r="AA97" s="45">
        <f t="shared" si="38"/>
        <v>0</v>
      </c>
      <c r="AB97" s="45">
        <f t="shared" si="38"/>
        <v>0</v>
      </c>
      <c r="AC97" s="45">
        <f t="shared" si="38"/>
        <v>0</v>
      </c>
      <c r="AD97" s="45">
        <f t="shared" si="38"/>
        <v>0</v>
      </c>
      <c r="AE97" s="45">
        <f t="shared" si="38"/>
        <v>0</v>
      </c>
      <c r="AF97" s="45">
        <f t="shared" si="38"/>
        <v>0</v>
      </c>
      <c r="AG97" s="45">
        <f t="shared" si="38"/>
        <v>0</v>
      </c>
      <c r="AH97" s="45">
        <f t="shared" si="38"/>
        <v>0</v>
      </c>
      <c r="AI97" s="45">
        <f t="shared" si="38"/>
        <v>0</v>
      </c>
      <c r="AJ97" s="45">
        <f t="shared" si="38"/>
        <v>0</v>
      </c>
      <c r="AK97" s="45">
        <f t="shared" si="38"/>
        <v>0</v>
      </c>
      <c r="AL97" s="45">
        <f t="shared" si="38"/>
        <v>0</v>
      </c>
      <c r="AM97" s="45">
        <f t="shared" si="38"/>
        <v>0</v>
      </c>
      <c r="AN97" s="45">
        <f t="shared" si="38"/>
        <v>0</v>
      </c>
      <c r="AO97" s="45">
        <f t="shared" si="38"/>
        <v>0</v>
      </c>
      <c r="AP97" s="45">
        <f t="shared" si="38"/>
        <v>0</v>
      </c>
      <c r="AQ97" s="45">
        <f t="shared" si="38"/>
        <v>0</v>
      </c>
      <c r="AR97" s="45">
        <f t="shared" si="38"/>
        <v>0</v>
      </c>
      <c r="AS97" s="45">
        <f t="shared" si="38"/>
        <v>0</v>
      </c>
      <c r="AT97" s="45">
        <f t="shared" si="38"/>
        <v>0</v>
      </c>
      <c r="AU97" s="45">
        <f t="shared" si="38"/>
        <v>0</v>
      </c>
      <c r="AV97" s="45">
        <f t="shared" si="38"/>
        <v>0</v>
      </c>
      <c r="AW97" s="45">
        <f t="shared" si="38"/>
        <v>0</v>
      </c>
      <c r="AX97" s="45">
        <f t="shared" si="38"/>
        <v>0</v>
      </c>
      <c r="AY97" s="45">
        <f t="shared" si="38"/>
        <v>0</v>
      </c>
      <c r="AZ97" s="45">
        <f t="shared" si="38"/>
        <v>0</v>
      </c>
      <c r="BA97" s="45">
        <f t="shared" si="38"/>
        <v>0</v>
      </c>
      <c r="BB97" s="45">
        <f t="shared" si="38"/>
        <v>0</v>
      </c>
      <c r="BC97" s="45">
        <f t="shared" si="38"/>
        <v>0</v>
      </c>
      <c r="BD97" s="45">
        <f t="shared" si="38"/>
        <v>0</v>
      </c>
      <c r="BE97" s="45">
        <f t="shared" si="38"/>
        <v>0</v>
      </c>
      <c r="BF97" s="45">
        <f t="shared" si="38"/>
        <v>0</v>
      </c>
      <c r="BG97" s="45">
        <f t="shared" si="38"/>
        <v>0</v>
      </c>
      <c r="BH97" s="45">
        <f t="shared" si="38"/>
        <v>0</v>
      </c>
      <c r="BI97" s="45">
        <f t="shared" si="38"/>
        <v>0</v>
      </c>
      <c r="BJ97" s="45">
        <f t="shared" si="38"/>
        <v>0</v>
      </c>
      <c r="BK97" s="45">
        <f t="shared" si="38"/>
        <v>0</v>
      </c>
      <c r="BL97" s="45">
        <f t="shared" si="38"/>
        <v>0</v>
      </c>
      <c r="BM97" s="45">
        <f t="shared" si="38"/>
        <v>0</v>
      </c>
      <c r="BN97" s="45">
        <f t="shared" si="38"/>
        <v>0</v>
      </c>
      <c r="BO97" s="45">
        <f t="shared" si="38"/>
        <v>0</v>
      </c>
      <c r="BP97" s="45">
        <f t="shared" si="38"/>
        <v>0</v>
      </c>
      <c r="BQ97" s="45">
        <f t="shared" si="38"/>
        <v>0</v>
      </c>
      <c r="BR97" s="45">
        <f t="shared" si="38"/>
        <v>0</v>
      </c>
      <c r="BS97" s="45">
        <f t="shared" si="38"/>
        <v>0</v>
      </c>
      <c r="BT97" s="45">
        <f t="shared" si="38"/>
        <v>0</v>
      </c>
      <c r="BU97" s="45">
        <f t="shared" ref="BU97:DY97" si="39">SUMPRODUCT($D$98:$D$112,$E$98:$E$112,BU98:BU112)</f>
        <v>0</v>
      </c>
      <c r="BV97" s="45">
        <f t="shared" si="39"/>
        <v>0</v>
      </c>
      <c r="BW97" s="45">
        <f t="shared" si="39"/>
        <v>0</v>
      </c>
      <c r="BX97" s="45">
        <f t="shared" si="39"/>
        <v>0</v>
      </c>
      <c r="BY97" s="45">
        <f t="shared" si="39"/>
        <v>0</v>
      </c>
      <c r="BZ97" s="45">
        <f t="shared" si="39"/>
        <v>0</v>
      </c>
      <c r="CA97" s="45">
        <f t="shared" si="39"/>
        <v>0</v>
      </c>
      <c r="CB97" s="45">
        <f t="shared" si="39"/>
        <v>0</v>
      </c>
      <c r="CC97" s="45">
        <f t="shared" si="39"/>
        <v>0</v>
      </c>
      <c r="CD97" s="45">
        <f t="shared" si="39"/>
        <v>0</v>
      </c>
      <c r="CE97" s="45">
        <f t="shared" si="39"/>
        <v>0</v>
      </c>
      <c r="CF97" s="45">
        <f t="shared" si="39"/>
        <v>0</v>
      </c>
      <c r="CG97" s="45">
        <f t="shared" si="39"/>
        <v>0</v>
      </c>
      <c r="CH97" s="45">
        <f t="shared" si="39"/>
        <v>0</v>
      </c>
      <c r="CI97" s="45">
        <f t="shared" si="39"/>
        <v>0</v>
      </c>
      <c r="CJ97" s="45">
        <f t="shared" si="39"/>
        <v>0</v>
      </c>
      <c r="CK97" s="45">
        <f t="shared" si="39"/>
        <v>0</v>
      </c>
      <c r="CL97" s="45">
        <f t="shared" si="39"/>
        <v>0</v>
      </c>
      <c r="CM97" s="45">
        <f t="shared" si="39"/>
        <v>0</v>
      </c>
      <c r="CN97" s="45">
        <f t="shared" si="39"/>
        <v>0</v>
      </c>
      <c r="CO97" s="45">
        <f t="shared" si="39"/>
        <v>0</v>
      </c>
      <c r="CP97" s="45">
        <f t="shared" si="39"/>
        <v>0</v>
      </c>
      <c r="CQ97" s="45">
        <f t="shared" si="39"/>
        <v>0</v>
      </c>
      <c r="CR97" s="45">
        <f t="shared" si="39"/>
        <v>0</v>
      </c>
      <c r="CS97" s="45">
        <f t="shared" si="39"/>
        <v>0</v>
      </c>
      <c r="CT97" s="45">
        <f t="shared" si="39"/>
        <v>0</v>
      </c>
      <c r="CU97" s="45">
        <f t="shared" si="39"/>
        <v>0</v>
      </c>
      <c r="CV97" s="45">
        <f t="shared" si="39"/>
        <v>0</v>
      </c>
      <c r="CW97" s="45">
        <f t="shared" si="39"/>
        <v>0</v>
      </c>
      <c r="CX97" s="45">
        <f t="shared" si="39"/>
        <v>0</v>
      </c>
      <c r="CY97" s="45">
        <f t="shared" si="39"/>
        <v>0</v>
      </c>
      <c r="CZ97" s="45">
        <f t="shared" si="39"/>
        <v>0</v>
      </c>
      <c r="DA97" s="45">
        <f t="shared" si="39"/>
        <v>0</v>
      </c>
      <c r="DB97" s="45">
        <f t="shared" si="39"/>
        <v>0</v>
      </c>
      <c r="DC97" s="45">
        <f t="shared" si="39"/>
        <v>0</v>
      </c>
      <c r="DD97" s="45">
        <f t="shared" si="39"/>
        <v>0</v>
      </c>
      <c r="DE97" s="45">
        <f t="shared" si="39"/>
        <v>0</v>
      </c>
      <c r="DF97" s="45">
        <f t="shared" si="39"/>
        <v>0</v>
      </c>
      <c r="DG97" s="45">
        <f t="shared" si="39"/>
        <v>0</v>
      </c>
      <c r="DH97" s="45">
        <f t="shared" si="39"/>
        <v>0</v>
      </c>
      <c r="DI97" s="45">
        <f t="shared" si="39"/>
        <v>0</v>
      </c>
      <c r="DJ97" s="45">
        <f t="shared" si="39"/>
        <v>0</v>
      </c>
      <c r="DK97" s="45">
        <f t="shared" si="39"/>
        <v>0</v>
      </c>
      <c r="DL97" s="45">
        <f t="shared" si="39"/>
        <v>0</v>
      </c>
      <c r="DM97" s="45">
        <f t="shared" si="39"/>
        <v>0</v>
      </c>
      <c r="DN97" s="45">
        <f t="shared" si="39"/>
        <v>0</v>
      </c>
      <c r="DO97" s="45">
        <f t="shared" si="39"/>
        <v>0</v>
      </c>
      <c r="DP97" s="45">
        <f t="shared" si="39"/>
        <v>0</v>
      </c>
      <c r="DQ97" s="45">
        <f t="shared" si="39"/>
        <v>0</v>
      </c>
      <c r="DR97" s="45">
        <f t="shared" si="39"/>
        <v>0</v>
      </c>
      <c r="DS97" s="45">
        <f t="shared" si="39"/>
        <v>0</v>
      </c>
      <c r="DT97" s="45">
        <f t="shared" si="39"/>
        <v>0</v>
      </c>
      <c r="DU97" s="45">
        <f t="shared" si="39"/>
        <v>0</v>
      </c>
      <c r="DV97" s="45">
        <f t="shared" si="39"/>
        <v>0</v>
      </c>
      <c r="DW97" s="45">
        <f t="shared" si="39"/>
        <v>0</v>
      </c>
      <c r="DX97" s="45">
        <f t="shared" si="39"/>
        <v>0</v>
      </c>
      <c r="DY97" s="45">
        <f t="shared" si="39"/>
        <v>0</v>
      </c>
      <c r="DZ97" s="218"/>
      <c r="EA97" s="231"/>
      <c r="EB97" s="231"/>
      <c r="EC97" s="231"/>
      <c r="ED97" s="231"/>
      <c r="EE97" s="231"/>
      <c r="EF97" s="231"/>
      <c r="EG97" s="231"/>
      <c r="EH97" s="231"/>
      <c r="EI97" s="231"/>
      <c r="EJ97" s="231"/>
      <c r="EK97" s="231"/>
      <c r="EL97" s="231"/>
      <c r="EM97" s="231"/>
      <c r="EN97" s="231"/>
      <c r="EO97" s="231"/>
      <c r="EP97" s="231"/>
      <c r="EQ97" s="231"/>
    </row>
    <row r="98" spans="1:147" ht="22.9" customHeight="1" outlineLevel="2" x14ac:dyDescent="0.2">
      <c r="A98" s="146" t="s">
        <v>578</v>
      </c>
      <c r="B98" s="53" t="s">
        <v>417</v>
      </c>
      <c r="C98" s="50" t="s">
        <v>133</v>
      </c>
      <c r="D98" s="165">
        <v>1</v>
      </c>
      <c r="E98" s="158">
        <v>1</v>
      </c>
      <c r="F98" s="52">
        <f>SUM(H98:DY98)*E98*Table1[[#This Row],[Cycles]]</f>
        <v>0</v>
      </c>
      <c r="G98" s="46">
        <f>SUMPRODUCT($H$3:$DY$3,$H98:$DY98)*E98*D98</f>
        <v>0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BX98" s="47"/>
      <c r="BY98" s="47"/>
      <c r="BZ98" s="47"/>
      <c r="CA98" s="47"/>
      <c r="CB98" s="47"/>
      <c r="CC98" s="47"/>
      <c r="CD98" s="4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7"/>
      <c r="CR98" s="47"/>
      <c r="CS98" s="47"/>
      <c r="CT98" s="47"/>
      <c r="CU98" s="47"/>
      <c r="CV98" s="47"/>
      <c r="CW98" s="47"/>
      <c r="CX98" s="47"/>
      <c r="CY98" s="47"/>
      <c r="CZ98" s="47"/>
      <c r="DA98" s="47"/>
      <c r="DB98" s="47"/>
      <c r="DC98" s="47"/>
      <c r="DD98" s="47"/>
      <c r="DE98" s="47"/>
      <c r="DF98" s="47"/>
      <c r="DG98" s="47"/>
      <c r="DH98" s="47"/>
      <c r="DI98" s="47"/>
      <c r="DJ98" s="47"/>
      <c r="DK98" s="47"/>
      <c r="DL98" s="47"/>
      <c r="DM98" s="47"/>
      <c r="DN98" s="47"/>
      <c r="DO98" s="47"/>
      <c r="DP98" s="47"/>
      <c r="DQ98" s="47"/>
      <c r="DR98" s="47"/>
      <c r="DS98" s="47"/>
      <c r="DT98" s="47"/>
      <c r="DU98" s="47"/>
      <c r="DV98" s="47"/>
      <c r="DW98" s="47"/>
      <c r="DX98" s="47"/>
      <c r="DY98" s="47"/>
      <c r="DZ98" s="219"/>
      <c r="EA98" s="231"/>
      <c r="EB98" s="231"/>
      <c r="EC98" s="231"/>
      <c r="ED98" s="231"/>
      <c r="EE98" s="231"/>
      <c r="EF98" s="231"/>
      <c r="EG98" s="231"/>
      <c r="EH98" s="231"/>
      <c r="EI98" s="231"/>
      <c r="EJ98" s="231"/>
      <c r="EK98" s="231"/>
      <c r="EL98" s="231"/>
      <c r="EM98" s="231"/>
      <c r="EN98" s="231"/>
      <c r="EO98" s="231"/>
      <c r="EP98" s="231"/>
      <c r="EQ98" s="231"/>
    </row>
    <row r="99" spans="1:147" ht="22.9" customHeight="1" outlineLevel="2" x14ac:dyDescent="0.2">
      <c r="A99" s="146" t="s">
        <v>579</v>
      </c>
      <c r="B99" s="53" t="s">
        <v>417</v>
      </c>
      <c r="C99" s="50" t="s">
        <v>133</v>
      </c>
      <c r="D99" s="165">
        <v>1</v>
      </c>
      <c r="E99" s="158">
        <v>1</v>
      </c>
      <c r="F99" s="52">
        <f>SUM(H99:DY99)*E99*Table1[[#This Row],[Cycles]]</f>
        <v>0</v>
      </c>
      <c r="G99" s="46">
        <f t="shared" ref="G99:G110" si="40">SUMPRODUCT($H$3:$DY$3,$H99:$DY99)*E99*D99</f>
        <v>0</v>
      </c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BX99" s="47"/>
      <c r="BY99" s="47"/>
      <c r="BZ99" s="47"/>
      <c r="CA99" s="47"/>
      <c r="CB99" s="47"/>
      <c r="CC99" s="47"/>
      <c r="CD99" s="47"/>
      <c r="CE99" s="47"/>
      <c r="CF99" s="47"/>
      <c r="CG99" s="47"/>
      <c r="CH99" s="47"/>
      <c r="CI99" s="47"/>
      <c r="CJ99" s="47"/>
      <c r="CK99" s="47"/>
      <c r="CL99" s="47"/>
      <c r="CM99" s="47"/>
      <c r="CN99" s="47"/>
      <c r="CO99" s="47"/>
      <c r="CP99" s="47"/>
      <c r="CQ99" s="47"/>
      <c r="CR99" s="47"/>
      <c r="CS99" s="47"/>
      <c r="CT99" s="47"/>
      <c r="CU99" s="47"/>
      <c r="CV99" s="47"/>
      <c r="CW99" s="47"/>
      <c r="CX99" s="47"/>
      <c r="CY99" s="47"/>
      <c r="CZ99" s="47"/>
      <c r="DA99" s="47"/>
      <c r="DB99" s="47"/>
      <c r="DC99" s="47"/>
      <c r="DD99" s="47"/>
      <c r="DE99" s="47"/>
      <c r="DF99" s="47"/>
      <c r="DG99" s="47"/>
      <c r="DH99" s="47"/>
      <c r="DI99" s="47"/>
      <c r="DJ99" s="47"/>
      <c r="DK99" s="47"/>
      <c r="DL99" s="47"/>
      <c r="DM99" s="47"/>
      <c r="DN99" s="47"/>
      <c r="DO99" s="47"/>
      <c r="DP99" s="47"/>
      <c r="DQ99" s="47"/>
      <c r="DR99" s="47"/>
      <c r="DS99" s="47"/>
      <c r="DT99" s="47"/>
      <c r="DU99" s="47"/>
      <c r="DV99" s="47"/>
      <c r="DW99" s="47"/>
      <c r="DX99" s="47"/>
      <c r="DY99" s="47"/>
      <c r="DZ99" s="219"/>
      <c r="EA99" s="231"/>
      <c r="EB99" s="231"/>
      <c r="EC99" s="231"/>
      <c r="ED99" s="231"/>
      <c r="EE99" s="231"/>
      <c r="EF99" s="231"/>
      <c r="EG99" s="231"/>
      <c r="EH99" s="231"/>
      <c r="EI99" s="231"/>
      <c r="EJ99" s="231"/>
      <c r="EK99" s="231"/>
      <c r="EL99" s="231"/>
      <c r="EM99" s="231"/>
      <c r="EN99" s="231"/>
      <c r="EO99" s="231"/>
      <c r="EP99" s="231"/>
      <c r="EQ99" s="231"/>
    </row>
    <row r="100" spans="1:147" ht="22.9" customHeight="1" outlineLevel="2" x14ac:dyDescent="0.2">
      <c r="A100" s="146" t="s">
        <v>580</v>
      </c>
      <c r="B100" s="53" t="s">
        <v>37</v>
      </c>
      <c r="C100" s="50" t="s">
        <v>133</v>
      </c>
      <c r="D100" s="165">
        <v>1</v>
      </c>
      <c r="E100" s="158">
        <v>1</v>
      </c>
      <c r="F100" s="52">
        <f>SUM(H100:DY100)*E100*Table1[[#This Row],[Cycles]]</f>
        <v>0</v>
      </c>
      <c r="G100" s="46">
        <f t="shared" si="40"/>
        <v>0</v>
      </c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7"/>
      <c r="CH100" s="47"/>
      <c r="CI100" s="47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7"/>
      <c r="CY100" s="47"/>
      <c r="CZ100" s="47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7"/>
      <c r="DP100" s="47"/>
      <c r="DQ100" s="47"/>
      <c r="DR100" s="47"/>
      <c r="DS100" s="47"/>
      <c r="DT100" s="47"/>
      <c r="DU100" s="47"/>
      <c r="DV100" s="47"/>
      <c r="DW100" s="47"/>
      <c r="DX100" s="47"/>
      <c r="DY100" s="47"/>
      <c r="DZ100" s="219"/>
      <c r="EA100" s="231"/>
      <c r="EB100" s="231"/>
      <c r="EC100" s="231"/>
      <c r="ED100" s="231"/>
      <c r="EE100" s="231"/>
      <c r="EF100" s="231"/>
      <c r="EG100" s="231"/>
      <c r="EH100" s="231"/>
      <c r="EI100" s="231"/>
      <c r="EJ100" s="231"/>
      <c r="EK100" s="231"/>
      <c r="EL100" s="231"/>
      <c r="EM100" s="231"/>
      <c r="EN100" s="231"/>
      <c r="EO100" s="231"/>
      <c r="EP100" s="231"/>
      <c r="EQ100" s="231"/>
    </row>
    <row r="101" spans="1:147" ht="22.9" customHeight="1" outlineLevel="2" x14ac:dyDescent="0.2">
      <c r="A101" s="146" t="s">
        <v>581</v>
      </c>
      <c r="B101" s="53" t="s">
        <v>38</v>
      </c>
      <c r="C101" s="50" t="s">
        <v>133</v>
      </c>
      <c r="D101" s="165">
        <v>1</v>
      </c>
      <c r="E101" s="158">
        <v>1</v>
      </c>
      <c r="F101" s="52">
        <f>SUM(H101:DY101)*E101*Table1[[#This Row],[Cycles]]</f>
        <v>0</v>
      </c>
      <c r="G101" s="46">
        <f t="shared" si="40"/>
        <v>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  <c r="CQ101" s="47"/>
      <c r="CR101" s="47"/>
      <c r="CS101" s="47"/>
      <c r="CT101" s="47"/>
      <c r="CU101" s="47"/>
      <c r="CV101" s="47"/>
      <c r="CW101" s="47"/>
      <c r="CX101" s="47"/>
      <c r="CY101" s="47"/>
      <c r="CZ101" s="47"/>
      <c r="DA101" s="47"/>
      <c r="DB101" s="47"/>
      <c r="DC101" s="47"/>
      <c r="DD101" s="47"/>
      <c r="DE101" s="47"/>
      <c r="DF101" s="47"/>
      <c r="DG101" s="47"/>
      <c r="DH101" s="47"/>
      <c r="DI101" s="47"/>
      <c r="DJ101" s="47"/>
      <c r="DK101" s="47"/>
      <c r="DL101" s="47"/>
      <c r="DM101" s="47"/>
      <c r="DN101" s="47"/>
      <c r="DO101" s="47"/>
      <c r="DP101" s="47"/>
      <c r="DQ101" s="47"/>
      <c r="DR101" s="47"/>
      <c r="DS101" s="47"/>
      <c r="DT101" s="47"/>
      <c r="DU101" s="47"/>
      <c r="DV101" s="47"/>
      <c r="DW101" s="47"/>
      <c r="DX101" s="47"/>
      <c r="DY101" s="47"/>
      <c r="DZ101" s="219"/>
      <c r="EA101" s="231"/>
      <c r="EB101" s="231"/>
      <c r="EC101" s="231"/>
      <c r="ED101" s="231"/>
      <c r="EE101" s="231"/>
      <c r="EF101" s="231"/>
      <c r="EG101" s="231"/>
      <c r="EH101" s="231"/>
      <c r="EI101" s="231"/>
      <c r="EJ101" s="231"/>
      <c r="EK101" s="231"/>
      <c r="EL101" s="231"/>
      <c r="EM101" s="231"/>
      <c r="EN101" s="231"/>
      <c r="EO101" s="231"/>
      <c r="EP101" s="231"/>
      <c r="EQ101" s="231"/>
    </row>
    <row r="102" spans="1:147" ht="22.9" customHeight="1" outlineLevel="2" x14ac:dyDescent="0.2">
      <c r="A102" s="146" t="s">
        <v>582</v>
      </c>
      <c r="B102" s="53" t="s">
        <v>39</v>
      </c>
      <c r="C102" s="50" t="s">
        <v>133</v>
      </c>
      <c r="D102" s="165">
        <v>1</v>
      </c>
      <c r="E102" s="158">
        <v>1</v>
      </c>
      <c r="F102" s="52">
        <f>SUM(H102:DY102)*E102*Table1[[#This Row],[Cycles]]</f>
        <v>0</v>
      </c>
      <c r="G102" s="46">
        <f t="shared" si="40"/>
        <v>0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  <c r="DE102" s="47"/>
      <c r="DF102" s="47"/>
      <c r="DG102" s="47"/>
      <c r="DH102" s="47"/>
      <c r="DI102" s="47"/>
      <c r="DJ102" s="47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219"/>
      <c r="EA102" s="231"/>
      <c r="EB102" s="231"/>
      <c r="EC102" s="231"/>
      <c r="ED102" s="231"/>
      <c r="EE102" s="231"/>
      <c r="EF102" s="231"/>
      <c r="EG102" s="231"/>
      <c r="EH102" s="231"/>
      <c r="EI102" s="231"/>
      <c r="EJ102" s="231"/>
      <c r="EK102" s="231"/>
      <c r="EL102" s="231"/>
      <c r="EM102" s="231"/>
      <c r="EN102" s="231"/>
      <c r="EO102" s="231"/>
      <c r="EP102" s="231"/>
      <c r="EQ102" s="231"/>
    </row>
    <row r="103" spans="1:147" ht="22.9" customHeight="1" outlineLevel="2" x14ac:dyDescent="0.2">
      <c r="A103" s="146" t="s">
        <v>583</v>
      </c>
      <c r="B103" s="53" t="s">
        <v>412</v>
      </c>
      <c r="C103" s="50" t="s">
        <v>133</v>
      </c>
      <c r="D103" s="165">
        <v>1</v>
      </c>
      <c r="E103" s="158">
        <v>1</v>
      </c>
      <c r="F103" s="52">
        <f>SUM(H103:DY103)*E103*Table1[[#This Row],[Cycles]]</f>
        <v>0</v>
      </c>
      <c r="G103" s="46">
        <f t="shared" si="40"/>
        <v>0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  <c r="CQ103" s="47"/>
      <c r="CR103" s="47"/>
      <c r="CS103" s="47"/>
      <c r="CT103" s="47"/>
      <c r="CU103" s="47"/>
      <c r="CV103" s="47"/>
      <c r="CW103" s="47"/>
      <c r="CX103" s="47"/>
      <c r="CY103" s="47"/>
      <c r="CZ103" s="47"/>
      <c r="DA103" s="47"/>
      <c r="DB103" s="47"/>
      <c r="DC103" s="47"/>
      <c r="DD103" s="47"/>
      <c r="DE103" s="47"/>
      <c r="DF103" s="47"/>
      <c r="DG103" s="47"/>
      <c r="DH103" s="47"/>
      <c r="DI103" s="47"/>
      <c r="DJ103" s="47"/>
      <c r="DK103" s="47"/>
      <c r="DL103" s="47"/>
      <c r="DM103" s="47"/>
      <c r="DN103" s="47"/>
      <c r="DO103" s="47"/>
      <c r="DP103" s="47"/>
      <c r="DQ103" s="47"/>
      <c r="DR103" s="47"/>
      <c r="DS103" s="47"/>
      <c r="DT103" s="47"/>
      <c r="DU103" s="47"/>
      <c r="DV103" s="47"/>
      <c r="DW103" s="47"/>
      <c r="DX103" s="47"/>
      <c r="DY103" s="47"/>
      <c r="DZ103" s="219"/>
      <c r="EA103" s="231"/>
      <c r="EB103" s="231"/>
      <c r="EC103" s="231"/>
      <c r="ED103" s="231"/>
      <c r="EE103" s="231"/>
      <c r="EF103" s="231"/>
      <c r="EG103" s="231"/>
      <c r="EH103" s="231"/>
      <c r="EI103" s="231"/>
      <c r="EJ103" s="231"/>
      <c r="EK103" s="231"/>
      <c r="EL103" s="231"/>
      <c r="EM103" s="231"/>
      <c r="EN103" s="231"/>
      <c r="EO103" s="231"/>
      <c r="EP103" s="231"/>
      <c r="EQ103" s="231"/>
    </row>
    <row r="104" spans="1:147" ht="22.9" customHeight="1" outlineLevel="2" x14ac:dyDescent="0.2">
      <c r="A104" s="146" t="s">
        <v>584</v>
      </c>
      <c r="B104" s="53" t="s">
        <v>413</v>
      </c>
      <c r="C104" s="50" t="s">
        <v>133</v>
      </c>
      <c r="D104" s="165">
        <v>1</v>
      </c>
      <c r="E104" s="158">
        <v>1</v>
      </c>
      <c r="F104" s="52">
        <f>SUM(H104:DY104)*E104*Table1[[#This Row],[Cycles]]</f>
        <v>0</v>
      </c>
      <c r="G104" s="46">
        <f t="shared" si="40"/>
        <v>0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  <c r="CQ104" s="47"/>
      <c r="CR104" s="47"/>
      <c r="CS104" s="47"/>
      <c r="CT104" s="47"/>
      <c r="CU104" s="47"/>
      <c r="CV104" s="47"/>
      <c r="CW104" s="47"/>
      <c r="CX104" s="47"/>
      <c r="CY104" s="47"/>
      <c r="CZ104" s="47"/>
      <c r="DA104" s="47"/>
      <c r="DB104" s="47"/>
      <c r="DC104" s="47"/>
      <c r="DD104" s="47"/>
      <c r="DE104" s="47"/>
      <c r="DF104" s="47"/>
      <c r="DG104" s="47"/>
      <c r="DH104" s="47"/>
      <c r="DI104" s="47"/>
      <c r="DJ104" s="47"/>
      <c r="DK104" s="47"/>
      <c r="DL104" s="47"/>
      <c r="DM104" s="47"/>
      <c r="DN104" s="47"/>
      <c r="DO104" s="47"/>
      <c r="DP104" s="47"/>
      <c r="DQ104" s="47"/>
      <c r="DR104" s="47"/>
      <c r="DS104" s="47"/>
      <c r="DT104" s="47"/>
      <c r="DU104" s="47"/>
      <c r="DV104" s="47"/>
      <c r="DW104" s="47"/>
      <c r="DX104" s="47"/>
      <c r="DY104" s="47"/>
      <c r="DZ104" s="219"/>
      <c r="EA104" s="231"/>
      <c r="EB104" s="231"/>
      <c r="EC104" s="231"/>
      <c r="ED104" s="231"/>
      <c r="EE104" s="231"/>
      <c r="EF104" s="231"/>
      <c r="EG104" s="231"/>
      <c r="EH104" s="231"/>
      <c r="EI104" s="231"/>
      <c r="EJ104" s="231"/>
      <c r="EK104" s="231"/>
      <c r="EL104" s="231"/>
      <c r="EM104" s="231"/>
      <c r="EN104" s="231"/>
      <c r="EO104" s="231"/>
      <c r="EP104" s="231"/>
      <c r="EQ104" s="231"/>
    </row>
    <row r="105" spans="1:147" ht="22.9" customHeight="1" outlineLevel="2" x14ac:dyDescent="0.2">
      <c r="A105" s="146" t="s">
        <v>585</v>
      </c>
      <c r="B105" s="53" t="s">
        <v>40</v>
      </c>
      <c r="C105" s="50" t="s">
        <v>133</v>
      </c>
      <c r="D105" s="165">
        <v>1</v>
      </c>
      <c r="E105" s="158">
        <v>1</v>
      </c>
      <c r="F105" s="52">
        <f>SUM(H105:DY105)*E105*Table1[[#This Row],[Cycles]]</f>
        <v>0</v>
      </c>
      <c r="G105" s="46">
        <f t="shared" si="40"/>
        <v>0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  <c r="CQ105" s="47"/>
      <c r="CR105" s="47"/>
      <c r="CS105" s="47"/>
      <c r="CT105" s="47"/>
      <c r="CU105" s="47"/>
      <c r="CV105" s="47"/>
      <c r="CW105" s="47"/>
      <c r="CX105" s="47"/>
      <c r="CY105" s="47"/>
      <c r="CZ105" s="47"/>
      <c r="DA105" s="47"/>
      <c r="DB105" s="47"/>
      <c r="DC105" s="47"/>
      <c r="DD105" s="47"/>
      <c r="DE105" s="47"/>
      <c r="DF105" s="47"/>
      <c r="DG105" s="47"/>
      <c r="DH105" s="47"/>
      <c r="DI105" s="47"/>
      <c r="DJ105" s="47"/>
      <c r="DK105" s="47"/>
      <c r="DL105" s="47"/>
      <c r="DM105" s="47"/>
      <c r="DN105" s="47"/>
      <c r="DO105" s="47"/>
      <c r="DP105" s="47"/>
      <c r="DQ105" s="47"/>
      <c r="DR105" s="47"/>
      <c r="DS105" s="47"/>
      <c r="DT105" s="47"/>
      <c r="DU105" s="47"/>
      <c r="DV105" s="47"/>
      <c r="DW105" s="47"/>
      <c r="DX105" s="47"/>
      <c r="DY105" s="47"/>
      <c r="DZ105" s="219"/>
      <c r="EA105" s="231"/>
      <c r="EB105" s="231"/>
      <c r="EC105" s="231"/>
      <c r="ED105" s="231"/>
      <c r="EE105" s="231"/>
      <c r="EF105" s="231"/>
      <c r="EG105" s="231"/>
      <c r="EH105" s="231"/>
      <c r="EI105" s="231"/>
      <c r="EJ105" s="231"/>
      <c r="EK105" s="231"/>
      <c r="EL105" s="231"/>
      <c r="EM105" s="231"/>
      <c r="EN105" s="231"/>
      <c r="EO105" s="231"/>
      <c r="EP105" s="231"/>
      <c r="EQ105" s="231"/>
    </row>
    <row r="106" spans="1:147" ht="22.9" customHeight="1" outlineLevel="2" x14ac:dyDescent="0.2">
      <c r="A106" s="146" t="s">
        <v>586</v>
      </c>
      <c r="B106" s="53" t="s">
        <v>41</v>
      </c>
      <c r="C106" s="50" t="s">
        <v>133</v>
      </c>
      <c r="D106" s="165">
        <v>1</v>
      </c>
      <c r="E106" s="158">
        <v>1</v>
      </c>
      <c r="F106" s="52">
        <f>SUM(H106:DY106)*E106*Table1[[#This Row],[Cycles]]</f>
        <v>0</v>
      </c>
      <c r="G106" s="46">
        <f t="shared" si="40"/>
        <v>0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  <c r="CQ106" s="47"/>
      <c r="CR106" s="47"/>
      <c r="CS106" s="47"/>
      <c r="CT106" s="47"/>
      <c r="CU106" s="47"/>
      <c r="CV106" s="47"/>
      <c r="CW106" s="47"/>
      <c r="CX106" s="47"/>
      <c r="CY106" s="47"/>
      <c r="CZ106" s="47"/>
      <c r="DA106" s="47"/>
      <c r="DB106" s="47"/>
      <c r="DC106" s="47"/>
      <c r="DD106" s="47"/>
      <c r="DE106" s="47"/>
      <c r="DF106" s="47"/>
      <c r="DG106" s="47"/>
      <c r="DH106" s="47"/>
      <c r="DI106" s="47"/>
      <c r="DJ106" s="47"/>
      <c r="DK106" s="47"/>
      <c r="DL106" s="47"/>
      <c r="DM106" s="47"/>
      <c r="DN106" s="47"/>
      <c r="DO106" s="47"/>
      <c r="DP106" s="47"/>
      <c r="DQ106" s="47"/>
      <c r="DR106" s="47"/>
      <c r="DS106" s="47"/>
      <c r="DT106" s="47"/>
      <c r="DU106" s="47"/>
      <c r="DV106" s="47"/>
      <c r="DW106" s="47"/>
      <c r="DX106" s="47"/>
      <c r="DY106" s="47"/>
      <c r="DZ106" s="219"/>
      <c r="EA106" s="231"/>
      <c r="EB106" s="231"/>
      <c r="EC106" s="231"/>
      <c r="ED106" s="231"/>
      <c r="EE106" s="231"/>
      <c r="EF106" s="231"/>
      <c r="EG106" s="231"/>
      <c r="EH106" s="231"/>
      <c r="EI106" s="231"/>
      <c r="EJ106" s="231"/>
      <c r="EK106" s="231"/>
      <c r="EL106" s="231"/>
      <c r="EM106" s="231"/>
      <c r="EN106" s="231"/>
      <c r="EO106" s="231"/>
      <c r="EP106" s="231"/>
      <c r="EQ106" s="231"/>
    </row>
    <row r="107" spans="1:147" ht="22.9" customHeight="1" outlineLevel="2" x14ac:dyDescent="0.2">
      <c r="A107" s="146" t="s">
        <v>587</v>
      </c>
      <c r="B107" s="53" t="s">
        <v>42</v>
      </c>
      <c r="C107" s="50" t="s">
        <v>133</v>
      </c>
      <c r="D107" s="165">
        <v>1</v>
      </c>
      <c r="E107" s="158">
        <v>1</v>
      </c>
      <c r="F107" s="52">
        <f>SUM(H107:DY107)*E107*Table1[[#This Row],[Cycles]]</f>
        <v>0</v>
      </c>
      <c r="G107" s="46">
        <f t="shared" si="40"/>
        <v>0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BX107" s="47"/>
      <c r="BY107" s="47"/>
      <c r="BZ107" s="47"/>
      <c r="CA107" s="47"/>
      <c r="CB107" s="47"/>
      <c r="CC107" s="47"/>
      <c r="CD107" s="47"/>
      <c r="CE107" s="47"/>
      <c r="CF107" s="47"/>
      <c r="CG107" s="47"/>
      <c r="CH107" s="47"/>
      <c r="CI107" s="47"/>
      <c r="CJ107" s="47"/>
      <c r="CK107" s="47"/>
      <c r="CL107" s="47"/>
      <c r="CM107" s="47"/>
      <c r="CN107" s="47"/>
      <c r="CO107" s="47"/>
      <c r="CP107" s="47"/>
      <c r="CQ107" s="47"/>
      <c r="CR107" s="47"/>
      <c r="CS107" s="47"/>
      <c r="CT107" s="47"/>
      <c r="CU107" s="47"/>
      <c r="CV107" s="47"/>
      <c r="CW107" s="47"/>
      <c r="CX107" s="47"/>
      <c r="CY107" s="47"/>
      <c r="CZ107" s="47"/>
      <c r="DA107" s="47"/>
      <c r="DB107" s="47"/>
      <c r="DC107" s="47"/>
      <c r="DD107" s="47"/>
      <c r="DE107" s="47"/>
      <c r="DF107" s="47"/>
      <c r="DG107" s="47"/>
      <c r="DH107" s="47"/>
      <c r="DI107" s="47"/>
      <c r="DJ107" s="47"/>
      <c r="DK107" s="47"/>
      <c r="DL107" s="47"/>
      <c r="DM107" s="47"/>
      <c r="DN107" s="47"/>
      <c r="DO107" s="47"/>
      <c r="DP107" s="47"/>
      <c r="DQ107" s="47"/>
      <c r="DR107" s="47"/>
      <c r="DS107" s="47"/>
      <c r="DT107" s="47"/>
      <c r="DU107" s="47"/>
      <c r="DV107" s="47"/>
      <c r="DW107" s="47"/>
      <c r="DX107" s="47"/>
      <c r="DY107" s="47"/>
      <c r="DZ107" s="219"/>
      <c r="EA107" s="231"/>
      <c r="EB107" s="231"/>
      <c r="EC107" s="231"/>
      <c r="ED107" s="231"/>
      <c r="EE107" s="231"/>
      <c r="EF107" s="231"/>
      <c r="EG107" s="231"/>
      <c r="EH107" s="231"/>
      <c r="EI107" s="231"/>
      <c r="EJ107" s="231"/>
      <c r="EK107" s="231"/>
      <c r="EL107" s="231"/>
      <c r="EM107" s="231"/>
      <c r="EN107" s="231"/>
      <c r="EO107" s="231"/>
      <c r="EP107" s="231"/>
      <c r="EQ107" s="231"/>
    </row>
    <row r="108" spans="1:147" ht="22.9" customHeight="1" outlineLevel="2" x14ac:dyDescent="0.2">
      <c r="A108" s="146" t="s">
        <v>588</v>
      </c>
      <c r="B108" s="53" t="s">
        <v>43</v>
      </c>
      <c r="C108" s="50" t="s">
        <v>133</v>
      </c>
      <c r="D108" s="165">
        <v>1</v>
      </c>
      <c r="E108" s="158">
        <v>1</v>
      </c>
      <c r="F108" s="52">
        <f>SUM(H108:DY108)*E108*Table1[[#This Row],[Cycles]]</f>
        <v>0</v>
      </c>
      <c r="G108" s="46">
        <f t="shared" si="40"/>
        <v>0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47"/>
      <c r="CA108" s="47"/>
      <c r="CB108" s="47"/>
      <c r="CC108" s="47"/>
      <c r="CD108" s="47"/>
      <c r="CE108" s="47"/>
      <c r="CF108" s="47"/>
      <c r="CG108" s="47"/>
      <c r="CH108" s="47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  <c r="DE108" s="47"/>
      <c r="DF108" s="47"/>
      <c r="DG108" s="47"/>
      <c r="DH108" s="47"/>
      <c r="DI108" s="47"/>
      <c r="DJ108" s="47"/>
      <c r="DK108" s="47"/>
      <c r="DL108" s="47"/>
      <c r="DM108" s="47"/>
      <c r="DN108" s="47"/>
      <c r="DO108" s="47"/>
      <c r="DP108" s="47"/>
      <c r="DQ108" s="47"/>
      <c r="DR108" s="47"/>
      <c r="DS108" s="47"/>
      <c r="DT108" s="47"/>
      <c r="DU108" s="47"/>
      <c r="DV108" s="47"/>
      <c r="DW108" s="47"/>
      <c r="DX108" s="47"/>
      <c r="DY108" s="47"/>
      <c r="DZ108" s="219"/>
      <c r="EA108" s="231"/>
      <c r="EB108" s="231"/>
      <c r="EC108" s="231"/>
      <c r="ED108" s="231"/>
      <c r="EE108" s="231"/>
      <c r="EF108" s="231"/>
      <c r="EG108" s="231"/>
      <c r="EH108" s="231"/>
      <c r="EI108" s="231"/>
      <c r="EJ108" s="231"/>
      <c r="EK108" s="231"/>
      <c r="EL108" s="231"/>
      <c r="EM108" s="231"/>
      <c r="EN108" s="231"/>
      <c r="EO108" s="231"/>
      <c r="EP108" s="231"/>
      <c r="EQ108" s="231"/>
    </row>
    <row r="109" spans="1:147" ht="22.9" customHeight="1" outlineLevel="2" x14ac:dyDescent="0.2">
      <c r="A109" s="146" t="s">
        <v>589</v>
      </c>
      <c r="B109" s="53" t="s">
        <v>44</v>
      </c>
      <c r="C109" s="50" t="s">
        <v>133</v>
      </c>
      <c r="D109" s="165">
        <v>1</v>
      </c>
      <c r="E109" s="158">
        <v>1</v>
      </c>
      <c r="F109" s="52">
        <f>SUM(H109:DY109)*E109*Table1[[#This Row],[Cycles]]</f>
        <v>0</v>
      </c>
      <c r="G109" s="46">
        <f t="shared" si="40"/>
        <v>0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219"/>
      <c r="EA109" s="231"/>
      <c r="EB109" s="231"/>
      <c r="EC109" s="231"/>
      <c r="ED109" s="231"/>
      <c r="EE109" s="231"/>
      <c r="EF109" s="231"/>
      <c r="EG109" s="231"/>
      <c r="EH109" s="231"/>
      <c r="EI109" s="231"/>
      <c r="EJ109" s="231"/>
      <c r="EK109" s="231"/>
      <c r="EL109" s="231"/>
      <c r="EM109" s="231"/>
      <c r="EN109" s="231"/>
      <c r="EO109" s="231"/>
      <c r="EP109" s="231"/>
      <c r="EQ109" s="231"/>
    </row>
    <row r="110" spans="1:147" ht="22.9" customHeight="1" outlineLevel="2" x14ac:dyDescent="0.2">
      <c r="A110" s="146" t="s">
        <v>590</v>
      </c>
      <c r="B110" s="53" t="s">
        <v>45</v>
      </c>
      <c r="C110" s="50" t="s">
        <v>133</v>
      </c>
      <c r="D110" s="165">
        <v>1</v>
      </c>
      <c r="E110" s="158">
        <v>1</v>
      </c>
      <c r="F110" s="52">
        <f>SUM(H110:DY110)*E110*Table1[[#This Row],[Cycles]]</f>
        <v>0</v>
      </c>
      <c r="G110" s="46">
        <f t="shared" si="40"/>
        <v>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  <c r="DE110" s="47"/>
      <c r="DF110" s="47"/>
      <c r="DG110" s="47"/>
      <c r="DH110" s="47"/>
      <c r="DI110" s="47"/>
      <c r="DJ110" s="47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219"/>
      <c r="EA110" s="231"/>
      <c r="EB110" s="231"/>
      <c r="EC110" s="231"/>
      <c r="ED110" s="231"/>
      <c r="EE110" s="231"/>
      <c r="EF110" s="231"/>
      <c r="EG110" s="231"/>
      <c r="EH110" s="231"/>
      <c r="EI110" s="231"/>
      <c r="EJ110" s="231"/>
      <c r="EK110" s="231"/>
      <c r="EL110" s="231"/>
      <c r="EM110" s="231"/>
      <c r="EN110" s="231"/>
      <c r="EO110" s="231"/>
      <c r="EP110" s="231"/>
      <c r="EQ110" s="231"/>
    </row>
    <row r="111" spans="1:147" ht="22.9" customHeight="1" outlineLevel="2" x14ac:dyDescent="0.2">
      <c r="A111" s="146" t="s">
        <v>591</v>
      </c>
      <c r="B111" s="53" t="s">
        <v>241</v>
      </c>
      <c r="C111" s="50" t="s">
        <v>133</v>
      </c>
      <c r="D111" s="165">
        <v>1</v>
      </c>
      <c r="E111" s="158">
        <v>2</v>
      </c>
      <c r="F111" s="52">
        <f>SUM(H111:DY111)*E111*Table1[[#This Row],[Cycles]]</f>
        <v>0</v>
      </c>
      <c r="G111" s="46">
        <f>SUMPRODUCT($H$3:$DY$3,$H111:$DY111)*E111*D111</f>
        <v>0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  <c r="DE111" s="47"/>
      <c r="DF111" s="47"/>
      <c r="DG111" s="47"/>
      <c r="DH111" s="47"/>
      <c r="DI111" s="47"/>
      <c r="DJ111" s="47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219"/>
      <c r="EA111" s="231"/>
      <c r="EB111" s="231"/>
      <c r="EC111" s="231"/>
      <c r="ED111" s="231"/>
      <c r="EE111" s="231"/>
      <c r="EF111" s="231"/>
      <c r="EG111" s="231"/>
      <c r="EH111" s="231"/>
      <c r="EI111" s="231"/>
      <c r="EJ111" s="231"/>
      <c r="EK111" s="231"/>
      <c r="EL111" s="231"/>
      <c r="EM111" s="231"/>
      <c r="EN111" s="231"/>
      <c r="EO111" s="231"/>
      <c r="EP111" s="231"/>
      <c r="EQ111" s="231"/>
    </row>
    <row r="112" spans="1:147" ht="22.9" customHeight="1" outlineLevel="2" x14ac:dyDescent="0.2">
      <c r="A112" s="146" t="s">
        <v>592</v>
      </c>
      <c r="B112" s="53" t="s">
        <v>418</v>
      </c>
      <c r="C112" s="50" t="s">
        <v>133</v>
      </c>
      <c r="D112" s="165">
        <v>1</v>
      </c>
      <c r="E112" s="158">
        <v>1</v>
      </c>
      <c r="F112" s="52">
        <f>SUM(H112:DY112)*E112*Table1[[#This Row],[Cycles]]</f>
        <v>0</v>
      </c>
      <c r="G112" s="46">
        <f>SUMPRODUCT($H$3:$DY$3,$H112:$DY112)*E112*D112</f>
        <v>0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  <c r="BS112" s="47"/>
      <c r="BT112" s="47"/>
      <c r="BU112" s="47"/>
      <c r="BV112" s="47"/>
      <c r="BW112" s="47"/>
      <c r="BX112" s="47"/>
      <c r="BY112" s="47"/>
      <c r="BZ112" s="47"/>
      <c r="CA112" s="47"/>
      <c r="CB112" s="47"/>
      <c r="CC112" s="47"/>
      <c r="CD112" s="47"/>
      <c r="CE112" s="47"/>
      <c r="CF112" s="47"/>
      <c r="CG112" s="47"/>
      <c r="CH112" s="47"/>
      <c r="CI112" s="47"/>
      <c r="CJ112" s="47"/>
      <c r="CK112" s="47"/>
      <c r="CL112" s="47"/>
      <c r="CM112" s="47"/>
      <c r="CN112" s="47"/>
      <c r="CO112" s="47"/>
      <c r="CP112" s="47"/>
      <c r="CQ112" s="47"/>
      <c r="CR112" s="47"/>
      <c r="CS112" s="47"/>
      <c r="CT112" s="47"/>
      <c r="CU112" s="47"/>
      <c r="CV112" s="47"/>
      <c r="CW112" s="47"/>
      <c r="CX112" s="47"/>
      <c r="CY112" s="47"/>
      <c r="CZ112" s="47"/>
      <c r="DA112" s="47"/>
      <c r="DB112" s="47"/>
      <c r="DC112" s="47"/>
      <c r="DD112" s="47"/>
      <c r="DE112" s="47"/>
      <c r="DF112" s="47"/>
      <c r="DG112" s="47"/>
      <c r="DH112" s="47"/>
      <c r="DI112" s="47"/>
      <c r="DJ112" s="47"/>
      <c r="DK112" s="47"/>
      <c r="DL112" s="47"/>
      <c r="DM112" s="47"/>
      <c r="DN112" s="47"/>
      <c r="DO112" s="47"/>
      <c r="DP112" s="47"/>
      <c r="DQ112" s="47"/>
      <c r="DR112" s="47"/>
      <c r="DS112" s="47"/>
      <c r="DT112" s="47"/>
      <c r="DU112" s="47"/>
      <c r="DV112" s="47"/>
      <c r="DW112" s="47"/>
      <c r="DX112" s="47"/>
      <c r="DY112" s="47"/>
      <c r="DZ112" s="219"/>
      <c r="EA112" s="231"/>
      <c r="EB112" s="231"/>
      <c r="EC112" s="231"/>
      <c r="ED112" s="231"/>
      <c r="EE112" s="231"/>
      <c r="EF112" s="231"/>
      <c r="EG112" s="231"/>
      <c r="EH112" s="231"/>
      <c r="EI112" s="231"/>
      <c r="EJ112" s="231"/>
      <c r="EK112" s="231"/>
      <c r="EL112" s="231"/>
      <c r="EM112" s="231"/>
      <c r="EN112" s="231"/>
      <c r="EO112" s="231"/>
      <c r="EP112" s="231"/>
      <c r="EQ112" s="231"/>
    </row>
    <row r="113" spans="1:147" ht="22.9" customHeight="1" outlineLevel="1" x14ac:dyDescent="0.2">
      <c r="A113" s="149" t="s">
        <v>593</v>
      </c>
      <c r="B113" s="34" t="s">
        <v>489</v>
      </c>
      <c r="C113" s="30" t="s">
        <v>100</v>
      </c>
      <c r="D113" s="164"/>
      <c r="E113" s="164"/>
      <c r="F113" s="45">
        <f>SUM(F114:F125)</f>
        <v>0</v>
      </c>
      <c r="G113" s="44">
        <f>SUM(G114:G125)</f>
        <v>0</v>
      </c>
      <c r="H113" s="45">
        <f>SUMPRODUCT($D$114:$D$125,$E$114:$E$125,H114:H125)</f>
        <v>0</v>
      </c>
      <c r="I113" s="45">
        <f t="shared" ref="I113:BT113" si="41">SUMPRODUCT($D$114:$D$125,$E$114:$E$125,I114:I125)</f>
        <v>0</v>
      </c>
      <c r="J113" s="45">
        <f t="shared" si="41"/>
        <v>0</v>
      </c>
      <c r="K113" s="45">
        <f t="shared" si="41"/>
        <v>0</v>
      </c>
      <c r="L113" s="45">
        <f t="shared" si="41"/>
        <v>0</v>
      </c>
      <c r="M113" s="45">
        <f t="shared" si="41"/>
        <v>0</v>
      </c>
      <c r="N113" s="45">
        <f t="shared" si="41"/>
        <v>0</v>
      </c>
      <c r="O113" s="45">
        <f t="shared" si="41"/>
        <v>0</v>
      </c>
      <c r="P113" s="45">
        <f t="shared" si="41"/>
        <v>0</v>
      </c>
      <c r="Q113" s="45">
        <f t="shared" si="41"/>
        <v>0</v>
      </c>
      <c r="R113" s="45">
        <f t="shared" si="41"/>
        <v>0</v>
      </c>
      <c r="S113" s="45">
        <f t="shared" si="41"/>
        <v>0</v>
      </c>
      <c r="T113" s="45">
        <f t="shared" si="41"/>
        <v>0</v>
      </c>
      <c r="U113" s="45">
        <f t="shared" si="41"/>
        <v>0</v>
      </c>
      <c r="V113" s="45">
        <f t="shared" si="41"/>
        <v>0</v>
      </c>
      <c r="W113" s="45">
        <f t="shared" si="41"/>
        <v>0</v>
      </c>
      <c r="X113" s="45">
        <f t="shared" si="41"/>
        <v>0</v>
      </c>
      <c r="Y113" s="45">
        <f t="shared" si="41"/>
        <v>0</v>
      </c>
      <c r="Z113" s="45">
        <f t="shared" si="41"/>
        <v>0</v>
      </c>
      <c r="AA113" s="45">
        <f t="shared" si="41"/>
        <v>0</v>
      </c>
      <c r="AB113" s="45">
        <f t="shared" si="41"/>
        <v>0</v>
      </c>
      <c r="AC113" s="45">
        <f t="shared" si="41"/>
        <v>0</v>
      </c>
      <c r="AD113" s="45">
        <f t="shared" si="41"/>
        <v>0</v>
      </c>
      <c r="AE113" s="45">
        <f t="shared" si="41"/>
        <v>0</v>
      </c>
      <c r="AF113" s="45">
        <f t="shared" si="41"/>
        <v>0</v>
      </c>
      <c r="AG113" s="45">
        <f t="shared" si="41"/>
        <v>0</v>
      </c>
      <c r="AH113" s="45">
        <f t="shared" si="41"/>
        <v>0</v>
      </c>
      <c r="AI113" s="45">
        <f t="shared" si="41"/>
        <v>0</v>
      </c>
      <c r="AJ113" s="45">
        <f t="shared" si="41"/>
        <v>0</v>
      </c>
      <c r="AK113" s="45">
        <f t="shared" si="41"/>
        <v>0</v>
      </c>
      <c r="AL113" s="45">
        <f t="shared" si="41"/>
        <v>0</v>
      </c>
      <c r="AM113" s="45">
        <f t="shared" si="41"/>
        <v>0</v>
      </c>
      <c r="AN113" s="45">
        <f t="shared" si="41"/>
        <v>0</v>
      </c>
      <c r="AO113" s="45">
        <f t="shared" si="41"/>
        <v>0</v>
      </c>
      <c r="AP113" s="45">
        <f t="shared" si="41"/>
        <v>0</v>
      </c>
      <c r="AQ113" s="45">
        <f t="shared" si="41"/>
        <v>0</v>
      </c>
      <c r="AR113" s="45">
        <f t="shared" si="41"/>
        <v>0</v>
      </c>
      <c r="AS113" s="45">
        <f t="shared" si="41"/>
        <v>0</v>
      </c>
      <c r="AT113" s="45">
        <f t="shared" si="41"/>
        <v>0</v>
      </c>
      <c r="AU113" s="45">
        <f t="shared" si="41"/>
        <v>0</v>
      </c>
      <c r="AV113" s="45">
        <f t="shared" si="41"/>
        <v>0</v>
      </c>
      <c r="AW113" s="45">
        <f t="shared" si="41"/>
        <v>0</v>
      </c>
      <c r="AX113" s="45">
        <f t="shared" si="41"/>
        <v>0</v>
      </c>
      <c r="AY113" s="45">
        <f t="shared" si="41"/>
        <v>0</v>
      </c>
      <c r="AZ113" s="45">
        <f t="shared" si="41"/>
        <v>0</v>
      </c>
      <c r="BA113" s="45">
        <f t="shared" si="41"/>
        <v>0</v>
      </c>
      <c r="BB113" s="45">
        <f t="shared" si="41"/>
        <v>0</v>
      </c>
      <c r="BC113" s="45">
        <f t="shared" si="41"/>
        <v>0</v>
      </c>
      <c r="BD113" s="45">
        <f t="shared" si="41"/>
        <v>0</v>
      </c>
      <c r="BE113" s="45">
        <f t="shared" si="41"/>
        <v>0</v>
      </c>
      <c r="BF113" s="45">
        <f t="shared" si="41"/>
        <v>0</v>
      </c>
      <c r="BG113" s="45">
        <f t="shared" si="41"/>
        <v>0</v>
      </c>
      <c r="BH113" s="45">
        <f t="shared" si="41"/>
        <v>0</v>
      </c>
      <c r="BI113" s="45">
        <f t="shared" si="41"/>
        <v>0</v>
      </c>
      <c r="BJ113" s="45">
        <f t="shared" si="41"/>
        <v>0</v>
      </c>
      <c r="BK113" s="45">
        <f t="shared" si="41"/>
        <v>0</v>
      </c>
      <c r="BL113" s="45">
        <f t="shared" si="41"/>
        <v>0</v>
      </c>
      <c r="BM113" s="45">
        <f t="shared" si="41"/>
        <v>0</v>
      </c>
      <c r="BN113" s="45">
        <f t="shared" si="41"/>
        <v>0</v>
      </c>
      <c r="BO113" s="45">
        <f t="shared" si="41"/>
        <v>0</v>
      </c>
      <c r="BP113" s="45">
        <f t="shared" si="41"/>
        <v>0</v>
      </c>
      <c r="BQ113" s="45">
        <f t="shared" si="41"/>
        <v>0</v>
      </c>
      <c r="BR113" s="45">
        <f t="shared" si="41"/>
        <v>0</v>
      </c>
      <c r="BS113" s="45">
        <f t="shared" si="41"/>
        <v>0</v>
      </c>
      <c r="BT113" s="45">
        <f t="shared" si="41"/>
        <v>0</v>
      </c>
      <c r="BU113" s="45">
        <f t="shared" ref="BU113:DY113" si="42">SUMPRODUCT($D$114:$D$125,$E$114:$E$125,BU114:BU125)</f>
        <v>0</v>
      </c>
      <c r="BV113" s="45">
        <f t="shared" si="42"/>
        <v>0</v>
      </c>
      <c r="BW113" s="45">
        <f t="shared" si="42"/>
        <v>0</v>
      </c>
      <c r="BX113" s="45">
        <f t="shared" si="42"/>
        <v>0</v>
      </c>
      <c r="BY113" s="45">
        <f t="shared" si="42"/>
        <v>0</v>
      </c>
      <c r="BZ113" s="45">
        <f t="shared" si="42"/>
        <v>0</v>
      </c>
      <c r="CA113" s="45">
        <f t="shared" si="42"/>
        <v>0</v>
      </c>
      <c r="CB113" s="45">
        <f t="shared" si="42"/>
        <v>0</v>
      </c>
      <c r="CC113" s="45">
        <f t="shared" si="42"/>
        <v>0</v>
      </c>
      <c r="CD113" s="45">
        <f t="shared" si="42"/>
        <v>0</v>
      </c>
      <c r="CE113" s="45">
        <f t="shared" si="42"/>
        <v>0</v>
      </c>
      <c r="CF113" s="45">
        <f t="shared" si="42"/>
        <v>0</v>
      </c>
      <c r="CG113" s="45">
        <f t="shared" si="42"/>
        <v>0</v>
      </c>
      <c r="CH113" s="45">
        <f t="shared" si="42"/>
        <v>0</v>
      </c>
      <c r="CI113" s="45">
        <f t="shared" si="42"/>
        <v>0</v>
      </c>
      <c r="CJ113" s="45">
        <f t="shared" si="42"/>
        <v>0</v>
      </c>
      <c r="CK113" s="45">
        <f t="shared" si="42"/>
        <v>0</v>
      </c>
      <c r="CL113" s="45">
        <f t="shared" si="42"/>
        <v>0</v>
      </c>
      <c r="CM113" s="45">
        <f t="shared" si="42"/>
        <v>0</v>
      </c>
      <c r="CN113" s="45">
        <f t="shared" si="42"/>
        <v>0</v>
      </c>
      <c r="CO113" s="45">
        <f t="shared" si="42"/>
        <v>0</v>
      </c>
      <c r="CP113" s="45">
        <f t="shared" si="42"/>
        <v>0</v>
      </c>
      <c r="CQ113" s="45">
        <f t="shared" si="42"/>
        <v>0</v>
      </c>
      <c r="CR113" s="45">
        <f t="shared" si="42"/>
        <v>0</v>
      </c>
      <c r="CS113" s="45">
        <f t="shared" si="42"/>
        <v>0</v>
      </c>
      <c r="CT113" s="45">
        <f t="shared" si="42"/>
        <v>0</v>
      </c>
      <c r="CU113" s="45">
        <f t="shared" si="42"/>
        <v>0</v>
      </c>
      <c r="CV113" s="45">
        <f t="shared" si="42"/>
        <v>0</v>
      </c>
      <c r="CW113" s="45">
        <f t="shared" si="42"/>
        <v>0</v>
      </c>
      <c r="CX113" s="45">
        <f t="shared" si="42"/>
        <v>0</v>
      </c>
      <c r="CY113" s="45">
        <f t="shared" si="42"/>
        <v>0</v>
      </c>
      <c r="CZ113" s="45">
        <f t="shared" si="42"/>
        <v>0</v>
      </c>
      <c r="DA113" s="45">
        <f t="shared" si="42"/>
        <v>0</v>
      </c>
      <c r="DB113" s="45">
        <f t="shared" si="42"/>
        <v>0</v>
      </c>
      <c r="DC113" s="45">
        <f t="shared" si="42"/>
        <v>0</v>
      </c>
      <c r="DD113" s="45">
        <f t="shared" si="42"/>
        <v>0</v>
      </c>
      <c r="DE113" s="45">
        <f t="shared" si="42"/>
        <v>0</v>
      </c>
      <c r="DF113" s="45">
        <f t="shared" si="42"/>
        <v>0</v>
      </c>
      <c r="DG113" s="45">
        <f t="shared" si="42"/>
        <v>0</v>
      </c>
      <c r="DH113" s="45">
        <f t="shared" si="42"/>
        <v>0</v>
      </c>
      <c r="DI113" s="45">
        <f t="shared" si="42"/>
        <v>0</v>
      </c>
      <c r="DJ113" s="45">
        <f t="shared" si="42"/>
        <v>0</v>
      </c>
      <c r="DK113" s="45">
        <f t="shared" si="42"/>
        <v>0</v>
      </c>
      <c r="DL113" s="45">
        <f t="shared" si="42"/>
        <v>0</v>
      </c>
      <c r="DM113" s="45">
        <f t="shared" si="42"/>
        <v>0</v>
      </c>
      <c r="DN113" s="45">
        <f t="shared" si="42"/>
        <v>0</v>
      </c>
      <c r="DO113" s="45">
        <f t="shared" si="42"/>
        <v>0</v>
      </c>
      <c r="DP113" s="45">
        <f t="shared" si="42"/>
        <v>0</v>
      </c>
      <c r="DQ113" s="45">
        <f t="shared" si="42"/>
        <v>0</v>
      </c>
      <c r="DR113" s="45">
        <f t="shared" si="42"/>
        <v>0</v>
      </c>
      <c r="DS113" s="45">
        <f t="shared" si="42"/>
        <v>0</v>
      </c>
      <c r="DT113" s="45">
        <f t="shared" si="42"/>
        <v>0</v>
      </c>
      <c r="DU113" s="45">
        <f t="shared" si="42"/>
        <v>0</v>
      </c>
      <c r="DV113" s="45">
        <f t="shared" si="42"/>
        <v>0</v>
      </c>
      <c r="DW113" s="45">
        <f t="shared" si="42"/>
        <v>0</v>
      </c>
      <c r="DX113" s="45">
        <f t="shared" si="42"/>
        <v>0</v>
      </c>
      <c r="DY113" s="45">
        <f t="shared" si="42"/>
        <v>0</v>
      </c>
      <c r="DZ113" s="218"/>
      <c r="EA113" s="231"/>
      <c r="EB113" s="231"/>
      <c r="EC113" s="231"/>
      <c r="ED113" s="231"/>
      <c r="EE113" s="231"/>
      <c r="EF113" s="231"/>
      <c r="EG113" s="231"/>
      <c r="EH113" s="231"/>
      <c r="EI113" s="231"/>
      <c r="EJ113" s="231"/>
      <c r="EK113" s="231"/>
      <c r="EL113" s="231"/>
      <c r="EM113" s="231"/>
      <c r="EN113" s="231"/>
      <c r="EO113" s="231"/>
      <c r="EP113" s="231"/>
      <c r="EQ113" s="231"/>
    </row>
    <row r="114" spans="1:147" ht="22.9" customHeight="1" outlineLevel="2" x14ac:dyDescent="0.2">
      <c r="A114" s="146" t="s">
        <v>594</v>
      </c>
      <c r="B114" s="53" t="s">
        <v>488</v>
      </c>
      <c r="C114" s="50" t="s">
        <v>133</v>
      </c>
      <c r="D114" s="165">
        <v>1</v>
      </c>
      <c r="E114" s="158">
        <v>1</v>
      </c>
      <c r="F114" s="52">
        <f>SUM(H114:DY114)*E114*Table1[[#This Row],[Cycles]]</f>
        <v>0</v>
      </c>
      <c r="G114" s="46">
        <f>SUMPRODUCT($H$3:$DY$3,$H114:$DY114)*E114*D114</f>
        <v>0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  <c r="DE114" s="47"/>
      <c r="DF114" s="47"/>
      <c r="DG114" s="47"/>
      <c r="DH114" s="47"/>
      <c r="DI114" s="47"/>
      <c r="DJ114" s="47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219"/>
      <c r="EA114" s="231"/>
      <c r="EB114" s="231"/>
      <c r="EC114" s="231"/>
      <c r="ED114" s="231"/>
      <c r="EE114" s="231"/>
      <c r="EF114" s="231"/>
      <c r="EG114" s="231"/>
      <c r="EH114" s="231"/>
      <c r="EI114" s="231"/>
      <c r="EJ114" s="231"/>
      <c r="EK114" s="231"/>
      <c r="EL114" s="231"/>
      <c r="EM114" s="231"/>
      <c r="EN114" s="231"/>
      <c r="EO114" s="231"/>
      <c r="EP114" s="231"/>
      <c r="EQ114" s="231"/>
    </row>
    <row r="115" spans="1:147" ht="22.9" customHeight="1" outlineLevel="2" x14ac:dyDescent="0.2">
      <c r="A115" s="146" t="s">
        <v>595</v>
      </c>
      <c r="B115" s="53" t="s">
        <v>433</v>
      </c>
      <c r="C115" s="50" t="s">
        <v>133</v>
      </c>
      <c r="D115" s="165">
        <v>1</v>
      </c>
      <c r="E115" s="158">
        <v>1</v>
      </c>
      <c r="F115" s="52">
        <f>SUM(H115:DY115)*E115*Table1[[#This Row],[Cycles]]</f>
        <v>0</v>
      </c>
      <c r="G115" s="46">
        <f>SUMPRODUCT($H$3:$DY$3,$H115:$DY115)*E115*D115</f>
        <v>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  <c r="DE115" s="47"/>
      <c r="DF115" s="47"/>
      <c r="DG115" s="47"/>
      <c r="DH115" s="47"/>
      <c r="DI115" s="47"/>
      <c r="DJ115" s="47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219"/>
      <c r="EA115" s="231"/>
      <c r="EB115" s="231"/>
      <c r="EC115" s="231"/>
      <c r="ED115" s="231"/>
      <c r="EE115" s="231"/>
      <c r="EF115" s="231"/>
      <c r="EG115" s="231"/>
      <c r="EH115" s="231"/>
      <c r="EI115" s="231"/>
      <c r="EJ115" s="231"/>
      <c r="EK115" s="231"/>
      <c r="EL115" s="231"/>
      <c r="EM115" s="231"/>
      <c r="EN115" s="231"/>
      <c r="EO115" s="231"/>
      <c r="EP115" s="231"/>
      <c r="EQ115" s="231"/>
    </row>
    <row r="116" spans="1:147" ht="22.9" customHeight="1" outlineLevel="2" x14ac:dyDescent="0.2">
      <c r="A116" s="146" t="s">
        <v>596</v>
      </c>
      <c r="B116" s="53" t="s">
        <v>434</v>
      </c>
      <c r="C116" s="50" t="s">
        <v>133</v>
      </c>
      <c r="D116" s="165">
        <v>1</v>
      </c>
      <c r="E116" s="158">
        <v>1</v>
      </c>
      <c r="F116" s="52">
        <f>SUM(H116:DY116)*E116*Table1[[#This Row],[Cycles]]</f>
        <v>0</v>
      </c>
      <c r="G116" s="46">
        <f>SUMPRODUCT($H$3:$DY$3,$H116:$DY116)*E116*D116</f>
        <v>0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219"/>
      <c r="EA116" s="231"/>
      <c r="EB116" s="231"/>
      <c r="EC116" s="231"/>
      <c r="ED116" s="231"/>
      <c r="EE116" s="231"/>
      <c r="EF116" s="231"/>
      <c r="EG116" s="231"/>
      <c r="EH116" s="231"/>
      <c r="EI116" s="231"/>
      <c r="EJ116" s="231"/>
      <c r="EK116" s="231"/>
      <c r="EL116" s="231"/>
      <c r="EM116" s="231"/>
      <c r="EN116" s="231"/>
      <c r="EO116" s="231"/>
      <c r="EP116" s="231"/>
      <c r="EQ116" s="231"/>
    </row>
    <row r="117" spans="1:147" ht="22.9" customHeight="1" outlineLevel="2" x14ac:dyDescent="0.2">
      <c r="A117" s="146" t="s">
        <v>597</v>
      </c>
      <c r="B117" s="53" t="s">
        <v>435</v>
      </c>
      <c r="C117" s="50" t="s">
        <v>133</v>
      </c>
      <c r="D117" s="165">
        <v>1</v>
      </c>
      <c r="E117" s="158">
        <v>1</v>
      </c>
      <c r="F117" s="52">
        <f>SUM(H117:DY117)*E117*Table1[[#This Row],[Cycles]]</f>
        <v>0</v>
      </c>
      <c r="G117" s="46">
        <f t="shared" ref="G117:G125" si="43">SUMPRODUCT($H$3:$DY$3,$H117:$DY117)*E117*D117</f>
        <v>0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  <c r="DE117" s="47"/>
      <c r="DF117" s="47"/>
      <c r="DG117" s="47"/>
      <c r="DH117" s="47"/>
      <c r="DI117" s="47"/>
      <c r="DJ117" s="47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219"/>
      <c r="EA117" s="231"/>
      <c r="EB117" s="231"/>
      <c r="EC117" s="231"/>
      <c r="ED117" s="231"/>
      <c r="EE117" s="231"/>
      <c r="EF117" s="231"/>
      <c r="EG117" s="231"/>
      <c r="EH117" s="231"/>
      <c r="EI117" s="231"/>
      <c r="EJ117" s="231"/>
      <c r="EK117" s="231"/>
      <c r="EL117" s="231"/>
      <c r="EM117" s="231"/>
      <c r="EN117" s="231"/>
      <c r="EO117" s="231"/>
      <c r="EP117" s="231"/>
      <c r="EQ117" s="231"/>
    </row>
    <row r="118" spans="1:147" ht="22.9" customHeight="1" outlineLevel="2" x14ac:dyDescent="0.2">
      <c r="A118" s="146" t="s">
        <v>598</v>
      </c>
      <c r="B118" s="53" t="s">
        <v>51</v>
      </c>
      <c r="C118" s="50" t="s">
        <v>133</v>
      </c>
      <c r="D118" s="165">
        <v>1</v>
      </c>
      <c r="E118" s="158">
        <v>1</v>
      </c>
      <c r="F118" s="52">
        <f>SUM(H118:DY118)*E118*Table1[[#This Row],[Cycles]]</f>
        <v>0</v>
      </c>
      <c r="G118" s="46">
        <f t="shared" si="43"/>
        <v>0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  <c r="DE118" s="47"/>
      <c r="DF118" s="47"/>
      <c r="DG118" s="47"/>
      <c r="DH118" s="47"/>
      <c r="DI118" s="47"/>
      <c r="DJ118" s="47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219"/>
      <c r="EA118" s="231"/>
      <c r="EB118" s="231"/>
      <c r="EC118" s="231"/>
      <c r="ED118" s="231"/>
      <c r="EE118" s="231"/>
      <c r="EF118" s="231"/>
      <c r="EG118" s="231"/>
      <c r="EH118" s="231"/>
      <c r="EI118" s="231"/>
      <c r="EJ118" s="231"/>
      <c r="EK118" s="231"/>
      <c r="EL118" s="231"/>
      <c r="EM118" s="231"/>
      <c r="EN118" s="231"/>
      <c r="EO118" s="231"/>
      <c r="EP118" s="231"/>
      <c r="EQ118" s="231"/>
    </row>
    <row r="119" spans="1:147" ht="22.9" customHeight="1" outlineLevel="2" x14ac:dyDescent="0.2">
      <c r="A119" s="146" t="s">
        <v>599</v>
      </c>
      <c r="B119" s="53" t="s">
        <v>439</v>
      </c>
      <c r="C119" s="50" t="s">
        <v>133</v>
      </c>
      <c r="D119" s="165">
        <v>1</v>
      </c>
      <c r="E119" s="158">
        <v>2</v>
      </c>
      <c r="F119" s="52">
        <f>SUM(H119:DY119)*E119*Table1[[#This Row],[Cycles]]</f>
        <v>0</v>
      </c>
      <c r="G119" s="46">
        <f t="shared" si="43"/>
        <v>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  <c r="DE119" s="47"/>
      <c r="DF119" s="47"/>
      <c r="DG119" s="47"/>
      <c r="DH119" s="47"/>
      <c r="DI119" s="47"/>
      <c r="DJ119" s="47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219"/>
      <c r="EA119" s="231"/>
      <c r="EB119" s="231"/>
      <c r="EC119" s="231"/>
      <c r="ED119" s="231"/>
      <c r="EE119" s="231"/>
      <c r="EF119" s="231"/>
      <c r="EG119" s="231"/>
      <c r="EH119" s="231"/>
      <c r="EI119" s="231"/>
      <c r="EJ119" s="231"/>
      <c r="EK119" s="231"/>
      <c r="EL119" s="231"/>
      <c r="EM119" s="231"/>
      <c r="EN119" s="231"/>
      <c r="EO119" s="231"/>
      <c r="EP119" s="231"/>
      <c r="EQ119" s="231"/>
    </row>
    <row r="120" spans="1:147" ht="22.9" customHeight="1" outlineLevel="2" x14ac:dyDescent="0.2">
      <c r="A120" s="146" t="s">
        <v>600</v>
      </c>
      <c r="B120" s="53" t="s">
        <v>440</v>
      </c>
      <c r="C120" s="50" t="s">
        <v>133</v>
      </c>
      <c r="D120" s="165">
        <v>1</v>
      </c>
      <c r="E120" s="158">
        <v>3</v>
      </c>
      <c r="F120" s="52">
        <f>SUM(H120:DY120)*E120*Table1[[#This Row],[Cycles]]</f>
        <v>0</v>
      </c>
      <c r="G120" s="46">
        <f t="shared" si="43"/>
        <v>0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219"/>
      <c r="EA120" s="231"/>
      <c r="EB120" s="231"/>
      <c r="EC120" s="231"/>
      <c r="ED120" s="231"/>
      <c r="EE120" s="231"/>
      <c r="EF120" s="231"/>
      <c r="EG120" s="231"/>
      <c r="EH120" s="231"/>
      <c r="EI120" s="231"/>
      <c r="EJ120" s="231"/>
      <c r="EK120" s="231"/>
      <c r="EL120" s="231"/>
      <c r="EM120" s="231"/>
      <c r="EN120" s="231"/>
      <c r="EO120" s="231"/>
      <c r="EP120" s="231"/>
      <c r="EQ120" s="231"/>
    </row>
    <row r="121" spans="1:147" ht="22.9" customHeight="1" outlineLevel="2" x14ac:dyDescent="0.2">
      <c r="A121" s="146" t="s">
        <v>601</v>
      </c>
      <c r="B121" s="53" t="s">
        <v>52</v>
      </c>
      <c r="C121" s="50" t="s">
        <v>133</v>
      </c>
      <c r="D121" s="165">
        <v>1</v>
      </c>
      <c r="E121" s="158">
        <v>1</v>
      </c>
      <c r="F121" s="52">
        <f>SUM(H121:DY121)*E121*Table1[[#This Row],[Cycles]]</f>
        <v>0</v>
      </c>
      <c r="G121" s="46">
        <f t="shared" si="43"/>
        <v>0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  <c r="DE121" s="47"/>
      <c r="DF121" s="47"/>
      <c r="DG121" s="47"/>
      <c r="DH121" s="47"/>
      <c r="DI121" s="47"/>
      <c r="DJ121" s="47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219"/>
      <c r="EA121" s="231"/>
      <c r="EB121" s="231"/>
      <c r="EC121" s="231"/>
      <c r="ED121" s="231"/>
      <c r="EE121" s="231"/>
      <c r="EF121" s="231"/>
      <c r="EG121" s="231"/>
      <c r="EH121" s="231"/>
      <c r="EI121" s="231"/>
      <c r="EJ121" s="231"/>
      <c r="EK121" s="231"/>
      <c r="EL121" s="231"/>
      <c r="EM121" s="231"/>
      <c r="EN121" s="231"/>
      <c r="EO121" s="231"/>
      <c r="EP121" s="231"/>
      <c r="EQ121" s="231"/>
    </row>
    <row r="122" spans="1:147" ht="22.9" customHeight="1" outlineLevel="2" x14ac:dyDescent="0.2">
      <c r="A122" s="146" t="s">
        <v>602</v>
      </c>
      <c r="B122" s="53" t="s">
        <v>441</v>
      </c>
      <c r="C122" s="50" t="s">
        <v>133</v>
      </c>
      <c r="D122" s="165">
        <v>1</v>
      </c>
      <c r="E122" s="158">
        <v>2</v>
      </c>
      <c r="F122" s="52">
        <f>SUM(H122:DY122)*E122*Table1[[#This Row],[Cycles]]</f>
        <v>0</v>
      </c>
      <c r="G122" s="46">
        <f t="shared" si="43"/>
        <v>0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  <c r="DE122" s="47"/>
      <c r="DF122" s="47"/>
      <c r="DG122" s="47"/>
      <c r="DH122" s="47"/>
      <c r="DI122" s="47"/>
      <c r="DJ122" s="47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219"/>
      <c r="EA122" s="231"/>
      <c r="EB122" s="231"/>
      <c r="EC122" s="231"/>
      <c r="ED122" s="231"/>
      <c r="EE122" s="231"/>
      <c r="EF122" s="231"/>
      <c r="EG122" s="231"/>
      <c r="EH122" s="231"/>
      <c r="EI122" s="231"/>
      <c r="EJ122" s="231"/>
      <c r="EK122" s="231"/>
      <c r="EL122" s="231"/>
      <c r="EM122" s="231"/>
      <c r="EN122" s="231"/>
      <c r="EO122" s="231"/>
      <c r="EP122" s="231"/>
      <c r="EQ122" s="231"/>
    </row>
    <row r="123" spans="1:147" ht="22.9" customHeight="1" outlineLevel="2" x14ac:dyDescent="0.2">
      <c r="A123" s="146" t="s">
        <v>603</v>
      </c>
      <c r="B123" s="53" t="s">
        <v>53</v>
      </c>
      <c r="C123" s="50" t="s">
        <v>133</v>
      </c>
      <c r="D123" s="165">
        <v>1</v>
      </c>
      <c r="E123" s="158">
        <v>1</v>
      </c>
      <c r="F123" s="52">
        <f>SUM(H123:DY123)*E123*Table1[[#This Row],[Cycles]]</f>
        <v>0</v>
      </c>
      <c r="G123" s="46">
        <f t="shared" si="43"/>
        <v>0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219"/>
      <c r="EA123" s="231"/>
      <c r="EB123" s="231"/>
      <c r="EC123" s="231"/>
      <c r="ED123" s="231"/>
      <c r="EE123" s="231"/>
      <c r="EF123" s="231"/>
      <c r="EG123" s="231"/>
      <c r="EH123" s="231"/>
      <c r="EI123" s="231"/>
      <c r="EJ123" s="231"/>
      <c r="EK123" s="231"/>
      <c r="EL123" s="231"/>
      <c r="EM123" s="231"/>
      <c r="EN123" s="231"/>
      <c r="EO123" s="231"/>
      <c r="EP123" s="231"/>
      <c r="EQ123" s="231"/>
    </row>
    <row r="124" spans="1:147" ht="22.9" customHeight="1" outlineLevel="2" x14ac:dyDescent="0.2">
      <c r="A124" s="146" t="s">
        <v>604</v>
      </c>
      <c r="B124" s="53" t="s">
        <v>291</v>
      </c>
      <c r="C124" s="50" t="s">
        <v>133</v>
      </c>
      <c r="D124" s="165">
        <v>1</v>
      </c>
      <c r="E124" s="158">
        <v>2</v>
      </c>
      <c r="F124" s="52">
        <f>SUM(H124:DY124)*E124*Table1[[#This Row],[Cycles]]</f>
        <v>0</v>
      </c>
      <c r="G124" s="46">
        <f t="shared" si="43"/>
        <v>0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  <c r="DE124" s="47"/>
      <c r="DF124" s="47"/>
      <c r="DG124" s="47"/>
      <c r="DH124" s="47"/>
      <c r="DI124" s="47"/>
      <c r="DJ124" s="47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219"/>
      <c r="EA124" s="231"/>
      <c r="EB124" s="231"/>
      <c r="EC124" s="231"/>
      <c r="ED124" s="231"/>
      <c r="EE124" s="231"/>
      <c r="EF124" s="231"/>
      <c r="EG124" s="231"/>
      <c r="EH124" s="231"/>
      <c r="EI124" s="231"/>
      <c r="EJ124" s="231"/>
      <c r="EK124" s="231"/>
      <c r="EL124" s="231"/>
      <c r="EM124" s="231"/>
      <c r="EN124" s="231"/>
      <c r="EO124" s="231"/>
      <c r="EP124" s="231"/>
      <c r="EQ124" s="231"/>
    </row>
    <row r="125" spans="1:147" ht="22.9" customHeight="1" outlineLevel="2" x14ac:dyDescent="0.2">
      <c r="A125" s="146" t="s">
        <v>605</v>
      </c>
      <c r="B125" s="53" t="s">
        <v>54</v>
      </c>
      <c r="C125" s="50" t="s">
        <v>133</v>
      </c>
      <c r="D125" s="165">
        <v>1</v>
      </c>
      <c r="E125" s="158">
        <v>1</v>
      </c>
      <c r="F125" s="52">
        <f>SUM(H125:DY125)*E125*Table1[[#This Row],[Cycles]]</f>
        <v>0</v>
      </c>
      <c r="G125" s="46">
        <f t="shared" si="43"/>
        <v>0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47"/>
      <c r="BT125" s="47"/>
      <c r="BU125" s="47"/>
      <c r="BV125" s="47"/>
      <c r="BW125" s="47"/>
      <c r="BX125" s="47"/>
      <c r="BY125" s="47"/>
      <c r="BZ125" s="47"/>
      <c r="CA125" s="47"/>
      <c r="CB125" s="47"/>
      <c r="CC125" s="47"/>
      <c r="CD125" s="47"/>
      <c r="CE125" s="47"/>
      <c r="CF125" s="47"/>
      <c r="CG125" s="47"/>
      <c r="CH125" s="47"/>
      <c r="CI125" s="47"/>
      <c r="CJ125" s="47"/>
      <c r="CK125" s="47"/>
      <c r="CL125" s="47"/>
      <c r="CM125" s="47"/>
      <c r="CN125" s="47"/>
      <c r="CO125" s="47"/>
      <c r="CP125" s="47"/>
      <c r="CQ125" s="47"/>
      <c r="CR125" s="47"/>
      <c r="CS125" s="47"/>
      <c r="CT125" s="47"/>
      <c r="CU125" s="47"/>
      <c r="CV125" s="47"/>
      <c r="CW125" s="47"/>
      <c r="CX125" s="47"/>
      <c r="CY125" s="47"/>
      <c r="CZ125" s="47"/>
      <c r="DA125" s="47"/>
      <c r="DB125" s="47"/>
      <c r="DC125" s="47"/>
      <c r="DD125" s="47"/>
      <c r="DE125" s="47"/>
      <c r="DF125" s="47"/>
      <c r="DG125" s="47"/>
      <c r="DH125" s="47"/>
      <c r="DI125" s="47"/>
      <c r="DJ125" s="47"/>
      <c r="DK125" s="47"/>
      <c r="DL125" s="47"/>
      <c r="DM125" s="47"/>
      <c r="DN125" s="47"/>
      <c r="DO125" s="47"/>
      <c r="DP125" s="47"/>
      <c r="DQ125" s="47"/>
      <c r="DR125" s="47"/>
      <c r="DS125" s="47"/>
      <c r="DT125" s="47"/>
      <c r="DU125" s="47"/>
      <c r="DV125" s="47"/>
      <c r="DW125" s="47"/>
      <c r="DX125" s="47"/>
      <c r="DY125" s="47"/>
      <c r="DZ125" s="219"/>
      <c r="EA125" s="231"/>
      <c r="EB125" s="231"/>
      <c r="EC125" s="231"/>
      <c r="ED125" s="231"/>
      <c r="EE125" s="231"/>
      <c r="EF125" s="231"/>
      <c r="EG125" s="231"/>
      <c r="EH125" s="231"/>
      <c r="EI125" s="231"/>
      <c r="EJ125" s="231"/>
      <c r="EK125" s="231"/>
      <c r="EL125" s="231"/>
      <c r="EM125" s="231"/>
      <c r="EN125" s="231"/>
      <c r="EO125" s="231"/>
      <c r="EP125" s="231"/>
      <c r="EQ125" s="231"/>
    </row>
    <row r="126" spans="1:147" s="40" customFormat="1" ht="22.9" customHeight="1" outlineLevel="1" x14ac:dyDescent="0.2">
      <c r="A126" s="149" t="s">
        <v>606</v>
      </c>
      <c r="B126" s="34" t="s">
        <v>46</v>
      </c>
      <c r="C126" s="30" t="s">
        <v>100</v>
      </c>
      <c r="D126" s="164"/>
      <c r="E126" s="164"/>
      <c r="F126" s="45">
        <f>SUM(F127:F132)</f>
        <v>0</v>
      </c>
      <c r="G126" s="44">
        <f>SUM(G127:G132)</f>
        <v>0</v>
      </c>
      <c r="H126" s="45">
        <f>SUMPRODUCT($D$127:$D$132,$E$127:$E$132,H127:H132)</f>
        <v>0</v>
      </c>
      <c r="I126" s="45">
        <f t="shared" ref="I126:BT126" si="44">SUMPRODUCT($D$127:$D$132,$E$127:$E$132,I127:I132)</f>
        <v>0</v>
      </c>
      <c r="J126" s="45">
        <f t="shared" si="44"/>
        <v>0</v>
      </c>
      <c r="K126" s="45">
        <f t="shared" si="44"/>
        <v>0</v>
      </c>
      <c r="L126" s="45">
        <f t="shared" si="44"/>
        <v>0</v>
      </c>
      <c r="M126" s="45">
        <f t="shared" si="44"/>
        <v>0</v>
      </c>
      <c r="N126" s="45">
        <f t="shared" si="44"/>
        <v>0</v>
      </c>
      <c r="O126" s="45">
        <f t="shared" si="44"/>
        <v>0</v>
      </c>
      <c r="P126" s="45">
        <f t="shared" si="44"/>
        <v>0</v>
      </c>
      <c r="Q126" s="45">
        <f t="shared" si="44"/>
        <v>0</v>
      </c>
      <c r="R126" s="45">
        <f t="shared" si="44"/>
        <v>0</v>
      </c>
      <c r="S126" s="45">
        <f t="shared" si="44"/>
        <v>0</v>
      </c>
      <c r="T126" s="45">
        <f t="shared" si="44"/>
        <v>0</v>
      </c>
      <c r="U126" s="45">
        <f t="shared" si="44"/>
        <v>0</v>
      </c>
      <c r="V126" s="45">
        <f t="shared" si="44"/>
        <v>0</v>
      </c>
      <c r="W126" s="45">
        <f t="shared" si="44"/>
        <v>0</v>
      </c>
      <c r="X126" s="45">
        <f t="shared" si="44"/>
        <v>0</v>
      </c>
      <c r="Y126" s="45">
        <f t="shared" si="44"/>
        <v>0</v>
      </c>
      <c r="Z126" s="45">
        <f t="shared" si="44"/>
        <v>0</v>
      </c>
      <c r="AA126" s="45">
        <f t="shared" si="44"/>
        <v>0</v>
      </c>
      <c r="AB126" s="45">
        <f t="shared" si="44"/>
        <v>0</v>
      </c>
      <c r="AC126" s="45">
        <f t="shared" si="44"/>
        <v>0</v>
      </c>
      <c r="AD126" s="45">
        <f t="shared" si="44"/>
        <v>0</v>
      </c>
      <c r="AE126" s="45">
        <f t="shared" si="44"/>
        <v>0</v>
      </c>
      <c r="AF126" s="45">
        <f t="shared" si="44"/>
        <v>0</v>
      </c>
      <c r="AG126" s="45">
        <f t="shared" si="44"/>
        <v>0</v>
      </c>
      <c r="AH126" s="45">
        <f t="shared" si="44"/>
        <v>0</v>
      </c>
      <c r="AI126" s="45">
        <f t="shared" si="44"/>
        <v>0</v>
      </c>
      <c r="AJ126" s="45">
        <f t="shared" si="44"/>
        <v>0</v>
      </c>
      <c r="AK126" s="45">
        <f t="shared" si="44"/>
        <v>0</v>
      </c>
      <c r="AL126" s="45">
        <f t="shared" si="44"/>
        <v>0</v>
      </c>
      <c r="AM126" s="45">
        <f t="shared" si="44"/>
        <v>0</v>
      </c>
      <c r="AN126" s="45">
        <f t="shared" si="44"/>
        <v>0</v>
      </c>
      <c r="AO126" s="45">
        <f t="shared" si="44"/>
        <v>0</v>
      </c>
      <c r="AP126" s="45">
        <f t="shared" si="44"/>
        <v>0</v>
      </c>
      <c r="AQ126" s="45">
        <f t="shared" si="44"/>
        <v>0</v>
      </c>
      <c r="AR126" s="45">
        <f t="shared" si="44"/>
        <v>0</v>
      </c>
      <c r="AS126" s="45">
        <f t="shared" si="44"/>
        <v>0</v>
      </c>
      <c r="AT126" s="45">
        <f t="shared" si="44"/>
        <v>0</v>
      </c>
      <c r="AU126" s="45">
        <f t="shared" si="44"/>
        <v>0</v>
      </c>
      <c r="AV126" s="45">
        <f t="shared" si="44"/>
        <v>0</v>
      </c>
      <c r="AW126" s="45">
        <f t="shared" si="44"/>
        <v>0</v>
      </c>
      <c r="AX126" s="45">
        <f t="shared" si="44"/>
        <v>0</v>
      </c>
      <c r="AY126" s="45">
        <f t="shared" si="44"/>
        <v>0</v>
      </c>
      <c r="AZ126" s="45">
        <f t="shared" si="44"/>
        <v>0</v>
      </c>
      <c r="BA126" s="45">
        <f t="shared" si="44"/>
        <v>0</v>
      </c>
      <c r="BB126" s="45">
        <f t="shared" si="44"/>
        <v>0</v>
      </c>
      <c r="BC126" s="45">
        <f t="shared" si="44"/>
        <v>0</v>
      </c>
      <c r="BD126" s="45">
        <f t="shared" si="44"/>
        <v>0</v>
      </c>
      <c r="BE126" s="45">
        <f t="shared" si="44"/>
        <v>0</v>
      </c>
      <c r="BF126" s="45">
        <f t="shared" si="44"/>
        <v>0</v>
      </c>
      <c r="BG126" s="45">
        <f t="shared" si="44"/>
        <v>0</v>
      </c>
      <c r="BH126" s="45">
        <f t="shared" si="44"/>
        <v>0</v>
      </c>
      <c r="BI126" s="45">
        <f t="shared" si="44"/>
        <v>0</v>
      </c>
      <c r="BJ126" s="45">
        <f t="shared" si="44"/>
        <v>0</v>
      </c>
      <c r="BK126" s="45">
        <f t="shared" si="44"/>
        <v>0</v>
      </c>
      <c r="BL126" s="45">
        <f t="shared" si="44"/>
        <v>0</v>
      </c>
      <c r="BM126" s="45">
        <f t="shared" si="44"/>
        <v>0</v>
      </c>
      <c r="BN126" s="45">
        <f t="shared" si="44"/>
        <v>0</v>
      </c>
      <c r="BO126" s="45">
        <f t="shared" si="44"/>
        <v>0</v>
      </c>
      <c r="BP126" s="45">
        <f t="shared" si="44"/>
        <v>0</v>
      </c>
      <c r="BQ126" s="45">
        <f t="shared" si="44"/>
        <v>0</v>
      </c>
      <c r="BR126" s="45">
        <f t="shared" si="44"/>
        <v>0</v>
      </c>
      <c r="BS126" s="45">
        <f t="shared" si="44"/>
        <v>0</v>
      </c>
      <c r="BT126" s="45">
        <f t="shared" si="44"/>
        <v>0</v>
      </c>
      <c r="BU126" s="45">
        <f t="shared" ref="BU126:DY126" si="45">SUMPRODUCT($D$127:$D$132,$E$127:$E$132,BU127:BU132)</f>
        <v>0</v>
      </c>
      <c r="BV126" s="45">
        <f t="shared" si="45"/>
        <v>0</v>
      </c>
      <c r="BW126" s="45">
        <f t="shared" si="45"/>
        <v>0</v>
      </c>
      <c r="BX126" s="45">
        <f t="shared" si="45"/>
        <v>0</v>
      </c>
      <c r="BY126" s="45">
        <f t="shared" si="45"/>
        <v>0</v>
      </c>
      <c r="BZ126" s="45">
        <f t="shared" si="45"/>
        <v>0</v>
      </c>
      <c r="CA126" s="45">
        <f t="shared" si="45"/>
        <v>0</v>
      </c>
      <c r="CB126" s="45">
        <f t="shared" si="45"/>
        <v>0</v>
      </c>
      <c r="CC126" s="45">
        <f t="shared" si="45"/>
        <v>0</v>
      </c>
      <c r="CD126" s="45">
        <f t="shared" si="45"/>
        <v>0</v>
      </c>
      <c r="CE126" s="45">
        <f t="shared" si="45"/>
        <v>0</v>
      </c>
      <c r="CF126" s="45">
        <f t="shared" si="45"/>
        <v>0</v>
      </c>
      <c r="CG126" s="45">
        <f t="shared" si="45"/>
        <v>0</v>
      </c>
      <c r="CH126" s="45">
        <f t="shared" si="45"/>
        <v>0</v>
      </c>
      <c r="CI126" s="45">
        <f t="shared" si="45"/>
        <v>0</v>
      </c>
      <c r="CJ126" s="45">
        <f t="shared" si="45"/>
        <v>0</v>
      </c>
      <c r="CK126" s="45">
        <f t="shared" si="45"/>
        <v>0</v>
      </c>
      <c r="CL126" s="45">
        <f t="shared" si="45"/>
        <v>0</v>
      </c>
      <c r="CM126" s="45">
        <f t="shared" si="45"/>
        <v>0</v>
      </c>
      <c r="CN126" s="45">
        <f t="shared" si="45"/>
        <v>0</v>
      </c>
      <c r="CO126" s="45">
        <f t="shared" si="45"/>
        <v>0</v>
      </c>
      <c r="CP126" s="45">
        <f t="shared" si="45"/>
        <v>0</v>
      </c>
      <c r="CQ126" s="45">
        <f t="shared" si="45"/>
        <v>0</v>
      </c>
      <c r="CR126" s="45">
        <f t="shared" si="45"/>
        <v>0</v>
      </c>
      <c r="CS126" s="45">
        <f t="shared" si="45"/>
        <v>0</v>
      </c>
      <c r="CT126" s="45">
        <f t="shared" si="45"/>
        <v>0</v>
      </c>
      <c r="CU126" s="45">
        <f t="shared" si="45"/>
        <v>0</v>
      </c>
      <c r="CV126" s="45">
        <f t="shared" si="45"/>
        <v>0</v>
      </c>
      <c r="CW126" s="45">
        <f t="shared" si="45"/>
        <v>0</v>
      </c>
      <c r="CX126" s="45">
        <f t="shared" si="45"/>
        <v>0</v>
      </c>
      <c r="CY126" s="45">
        <f t="shared" si="45"/>
        <v>0</v>
      </c>
      <c r="CZ126" s="45">
        <f t="shared" si="45"/>
        <v>0</v>
      </c>
      <c r="DA126" s="45">
        <f t="shared" si="45"/>
        <v>0</v>
      </c>
      <c r="DB126" s="45">
        <f t="shared" si="45"/>
        <v>0</v>
      </c>
      <c r="DC126" s="45">
        <f t="shared" si="45"/>
        <v>0</v>
      </c>
      <c r="DD126" s="45">
        <f t="shared" si="45"/>
        <v>0</v>
      </c>
      <c r="DE126" s="45">
        <f t="shared" si="45"/>
        <v>0</v>
      </c>
      <c r="DF126" s="45">
        <f t="shared" si="45"/>
        <v>0</v>
      </c>
      <c r="DG126" s="45">
        <f t="shared" si="45"/>
        <v>0</v>
      </c>
      <c r="DH126" s="45">
        <f t="shared" si="45"/>
        <v>0</v>
      </c>
      <c r="DI126" s="45">
        <f t="shared" si="45"/>
        <v>0</v>
      </c>
      <c r="DJ126" s="45">
        <f t="shared" si="45"/>
        <v>0</v>
      </c>
      <c r="DK126" s="45">
        <f t="shared" si="45"/>
        <v>0</v>
      </c>
      <c r="DL126" s="45">
        <f t="shared" si="45"/>
        <v>0</v>
      </c>
      <c r="DM126" s="45">
        <f t="shared" si="45"/>
        <v>0</v>
      </c>
      <c r="DN126" s="45">
        <f t="shared" si="45"/>
        <v>0</v>
      </c>
      <c r="DO126" s="45">
        <f t="shared" si="45"/>
        <v>0</v>
      </c>
      <c r="DP126" s="45">
        <f t="shared" si="45"/>
        <v>0</v>
      </c>
      <c r="DQ126" s="45">
        <f t="shared" si="45"/>
        <v>0</v>
      </c>
      <c r="DR126" s="45">
        <f t="shared" si="45"/>
        <v>0</v>
      </c>
      <c r="DS126" s="45">
        <f t="shared" si="45"/>
        <v>0</v>
      </c>
      <c r="DT126" s="45">
        <f t="shared" si="45"/>
        <v>0</v>
      </c>
      <c r="DU126" s="45">
        <f t="shared" si="45"/>
        <v>0</v>
      </c>
      <c r="DV126" s="45">
        <f t="shared" si="45"/>
        <v>0</v>
      </c>
      <c r="DW126" s="45">
        <f t="shared" si="45"/>
        <v>0</v>
      </c>
      <c r="DX126" s="45">
        <f t="shared" si="45"/>
        <v>0</v>
      </c>
      <c r="DY126" s="45">
        <f t="shared" si="45"/>
        <v>0</v>
      </c>
      <c r="DZ126" s="218"/>
      <c r="EA126" s="231"/>
      <c r="EB126" s="231"/>
      <c r="EC126" s="231"/>
      <c r="ED126" s="231"/>
      <c r="EE126" s="231"/>
      <c r="EF126" s="231"/>
      <c r="EG126" s="231"/>
      <c r="EH126" s="231"/>
      <c r="EI126" s="231"/>
      <c r="EJ126" s="231"/>
      <c r="EK126" s="231"/>
      <c r="EL126" s="231"/>
      <c r="EM126" s="231"/>
      <c r="EN126" s="231"/>
      <c r="EO126" s="231"/>
      <c r="EP126" s="231"/>
      <c r="EQ126" s="231"/>
    </row>
    <row r="127" spans="1:147" ht="22.9" customHeight="1" outlineLevel="2" x14ac:dyDescent="0.2">
      <c r="A127" s="146" t="s">
        <v>607</v>
      </c>
      <c r="B127" s="53" t="s">
        <v>491</v>
      </c>
      <c r="C127" s="50" t="s">
        <v>133</v>
      </c>
      <c r="D127" s="165">
        <v>1</v>
      </c>
      <c r="E127" s="158">
        <v>1</v>
      </c>
      <c r="F127" s="52">
        <f>SUM(H127:DY127)*E127*Table1[[#This Row],[Cycles]]</f>
        <v>0</v>
      </c>
      <c r="G127" s="46">
        <f t="shared" ref="G127:G132" si="46">SUMPRODUCT($H$3:$DY$3,$H127:$DY127)*E127*D127</f>
        <v>0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  <c r="DE127" s="47"/>
      <c r="DF127" s="47"/>
      <c r="DG127" s="47"/>
      <c r="DH127" s="47"/>
      <c r="DI127" s="47"/>
      <c r="DJ127" s="47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219"/>
      <c r="EA127" s="231"/>
      <c r="EB127" s="231"/>
      <c r="EC127" s="231"/>
      <c r="ED127" s="231"/>
      <c r="EE127" s="231"/>
      <c r="EF127" s="231"/>
      <c r="EG127" s="231"/>
      <c r="EH127" s="231"/>
      <c r="EI127" s="231"/>
      <c r="EJ127" s="231"/>
      <c r="EK127" s="231"/>
      <c r="EL127" s="231"/>
      <c r="EM127" s="231"/>
      <c r="EN127" s="231"/>
      <c r="EO127" s="231"/>
      <c r="EP127" s="231"/>
      <c r="EQ127" s="231"/>
    </row>
    <row r="128" spans="1:147" ht="22.9" customHeight="1" outlineLevel="2" x14ac:dyDescent="0.2">
      <c r="A128" s="146" t="s">
        <v>608</v>
      </c>
      <c r="B128" s="53" t="s">
        <v>47</v>
      </c>
      <c r="C128" s="50" t="s">
        <v>133</v>
      </c>
      <c r="D128" s="165">
        <v>1</v>
      </c>
      <c r="E128" s="158">
        <v>1</v>
      </c>
      <c r="F128" s="52">
        <f>SUM(H128:DY128)*E128*Table1[[#This Row],[Cycles]]</f>
        <v>0</v>
      </c>
      <c r="G128" s="46">
        <f t="shared" si="46"/>
        <v>0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  <c r="DE128" s="47"/>
      <c r="DF128" s="47"/>
      <c r="DG128" s="47"/>
      <c r="DH128" s="47"/>
      <c r="DI128" s="47"/>
      <c r="DJ128" s="47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219"/>
      <c r="EA128" s="231"/>
      <c r="EB128" s="231"/>
      <c r="EC128" s="231"/>
      <c r="ED128" s="231"/>
      <c r="EE128" s="231"/>
      <c r="EF128" s="231"/>
      <c r="EG128" s="231"/>
      <c r="EH128" s="231"/>
      <c r="EI128" s="231"/>
      <c r="EJ128" s="231"/>
      <c r="EK128" s="231"/>
      <c r="EL128" s="231"/>
      <c r="EM128" s="231"/>
      <c r="EN128" s="231"/>
      <c r="EO128" s="231"/>
      <c r="EP128" s="231"/>
      <c r="EQ128" s="231"/>
    </row>
    <row r="129" spans="1:147" ht="22.9" customHeight="1" outlineLevel="2" x14ac:dyDescent="0.2">
      <c r="A129" s="146" t="s">
        <v>609</v>
      </c>
      <c r="B129" s="53" t="s">
        <v>274</v>
      </c>
      <c r="C129" s="50" t="s">
        <v>133</v>
      </c>
      <c r="D129" s="165">
        <v>1</v>
      </c>
      <c r="E129" s="158">
        <v>1</v>
      </c>
      <c r="F129" s="52">
        <f>SUM(H129:DY129)*E129*Table1[[#This Row],[Cycles]]</f>
        <v>0</v>
      </c>
      <c r="G129" s="46">
        <f t="shared" si="46"/>
        <v>0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  <c r="DE129" s="47"/>
      <c r="DF129" s="47"/>
      <c r="DG129" s="47"/>
      <c r="DH129" s="47"/>
      <c r="DI129" s="47"/>
      <c r="DJ129" s="47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219"/>
      <c r="EA129" s="231"/>
      <c r="EB129" s="231"/>
      <c r="EC129" s="231"/>
      <c r="ED129" s="231"/>
      <c r="EE129" s="231"/>
      <c r="EF129" s="231"/>
      <c r="EG129" s="231"/>
      <c r="EH129" s="231"/>
      <c r="EI129" s="231"/>
      <c r="EJ129" s="231"/>
      <c r="EK129" s="231"/>
      <c r="EL129" s="231"/>
      <c r="EM129" s="231"/>
      <c r="EN129" s="231"/>
      <c r="EO129" s="231"/>
      <c r="EP129" s="231"/>
      <c r="EQ129" s="231"/>
    </row>
    <row r="130" spans="1:147" ht="22.9" customHeight="1" outlineLevel="2" x14ac:dyDescent="0.2">
      <c r="A130" s="146" t="s">
        <v>610</v>
      </c>
      <c r="B130" s="53" t="s">
        <v>48</v>
      </c>
      <c r="C130" s="50" t="s">
        <v>133</v>
      </c>
      <c r="D130" s="165">
        <v>1</v>
      </c>
      <c r="E130" s="158">
        <v>1</v>
      </c>
      <c r="F130" s="52">
        <f>SUM(H130:DY130)*E130*Table1[[#This Row],[Cycles]]</f>
        <v>0</v>
      </c>
      <c r="G130" s="46">
        <f t="shared" si="46"/>
        <v>0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219"/>
      <c r="EA130" s="231"/>
      <c r="EB130" s="231"/>
      <c r="EC130" s="231"/>
      <c r="ED130" s="231"/>
      <c r="EE130" s="231"/>
      <c r="EF130" s="231"/>
      <c r="EG130" s="231"/>
      <c r="EH130" s="231"/>
      <c r="EI130" s="231"/>
      <c r="EJ130" s="231"/>
      <c r="EK130" s="231"/>
      <c r="EL130" s="231"/>
      <c r="EM130" s="231"/>
      <c r="EN130" s="231"/>
      <c r="EO130" s="231"/>
      <c r="EP130" s="231"/>
      <c r="EQ130" s="231"/>
    </row>
    <row r="131" spans="1:147" ht="22.9" customHeight="1" outlineLevel="2" x14ac:dyDescent="0.2">
      <c r="A131" s="146" t="s">
        <v>611</v>
      </c>
      <c r="B131" s="53" t="s">
        <v>49</v>
      </c>
      <c r="C131" s="50" t="s">
        <v>133</v>
      </c>
      <c r="D131" s="165">
        <v>1</v>
      </c>
      <c r="E131" s="158">
        <v>1</v>
      </c>
      <c r="F131" s="52">
        <f>SUM(H131:DY131)*E131*Table1[[#This Row],[Cycles]]</f>
        <v>0</v>
      </c>
      <c r="G131" s="46">
        <f t="shared" si="46"/>
        <v>0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  <c r="DE131" s="47"/>
      <c r="DF131" s="47"/>
      <c r="DG131" s="47"/>
      <c r="DH131" s="47"/>
      <c r="DI131" s="47"/>
      <c r="DJ131" s="47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219"/>
      <c r="EA131" s="231"/>
      <c r="EB131" s="231"/>
      <c r="EC131" s="231"/>
      <c r="ED131" s="231"/>
      <c r="EE131" s="231"/>
      <c r="EF131" s="231"/>
      <c r="EG131" s="231"/>
      <c r="EH131" s="231"/>
      <c r="EI131" s="231"/>
      <c r="EJ131" s="231"/>
      <c r="EK131" s="231"/>
      <c r="EL131" s="231"/>
      <c r="EM131" s="231"/>
      <c r="EN131" s="231"/>
      <c r="EO131" s="231"/>
      <c r="EP131" s="231"/>
      <c r="EQ131" s="231"/>
    </row>
    <row r="132" spans="1:147" ht="22.9" customHeight="1" outlineLevel="2" x14ac:dyDescent="0.2">
      <c r="A132" s="146" t="s">
        <v>612</v>
      </c>
      <c r="B132" s="53" t="s">
        <v>50</v>
      </c>
      <c r="C132" s="50" t="s">
        <v>133</v>
      </c>
      <c r="D132" s="165">
        <v>1</v>
      </c>
      <c r="E132" s="158">
        <v>1</v>
      </c>
      <c r="F132" s="52">
        <f>SUM(H132:DY132)*E132*Table1[[#This Row],[Cycles]]</f>
        <v>0</v>
      </c>
      <c r="G132" s="46">
        <f t="shared" si="46"/>
        <v>0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47"/>
      <c r="BT132" s="47"/>
      <c r="BU132" s="47"/>
      <c r="BV132" s="47"/>
      <c r="BW132" s="47"/>
      <c r="BX132" s="47"/>
      <c r="BY132" s="47"/>
      <c r="BZ132" s="47"/>
      <c r="CA132" s="47"/>
      <c r="CB132" s="47"/>
      <c r="CC132" s="47"/>
      <c r="CD132" s="47"/>
      <c r="CE132" s="47"/>
      <c r="CF132" s="47"/>
      <c r="CG132" s="47"/>
      <c r="CH132" s="47"/>
      <c r="CI132" s="47"/>
      <c r="CJ132" s="47"/>
      <c r="CK132" s="47"/>
      <c r="CL132" s="47"/>
      <c r="CM132" s="47"/>
      <c r="CN132" s="47"/>
      <c r="CO132" s="47"/>
      <c r="CP132" s="47"/>
      <c r="CQ132" s="47"/>
      <c r="CR132" s="47"/>
      <c r="CS132" s="47"/>
      <c r="CT132" s="47"/>
      <c r="CU132" s="47"/>
      <c r="CV132" s="47"/>
      <c r="CW132" s="47"/>
      <c r="CX132" s="47"/>
      <c r="CY132" s="47"/>
      <c r="CZ132" s="47"/>
      <c r="DA132" s="47"/>
      <c r="DB132" s="47"/>
      <c r="DC132" s="47"/>
      <c r="DD132" s="47"/>
      <c r="DE132" s="47"/>
      <c r="DF132" s="47"/>
      <c r="DG132" s="47"/>
      <c r="DH132" s="47"/>
      <c r="DI132" s="47"/>
      <c r="DJ132" s="47"/>
      <c r="DK132" s="47"/>
      <c r="DL132" s="47"/>
      <c r="DM132" s="47"/>
      <c r="DN132" s="47"/>
      <c r="DO132" s="47"/>
      <c r="DP132" s="47"/>
      <c r="DQ132" s="47"/>
      <c r="DR132" s="47"/>
      <c r="DS132" s="47"/>
      <c r="DT132" s="47"/>
      <c r="DU132" s="47"/>
      <c r="DV132" s="47"/>
      <c r="DW132" s="47"/>
      <c r="DX132" s="47"/>
      <c r="DY132" s="47"/>
      <c r="DZ132" s="219"/>
      <c r="EA132" s="231"/>
      <c r="EB132" s="231"/>
      <c r="EC132" s="231"/>
      <c r="ED132" s="231"/>
      <c r="EE132" s="231"/>
      <c r="EF132" s="231"/>
      <c r="EG132" s="231"/>
      <c r="EH132" s="231"/>
      <c r="EI132" s="231"/>
      <c r="EJ132" s="231"/>
      <c r="EK132" s="231"/>
      <c r="EL132" s="231"/>
      <c r="EM132" s="231"/>
      <c r="EN132" s="231"/>
      <c r="EO132" s="231"/>
      <c r="EP132" s="231"/>
      <c r="EQ132" s="231"/>
    </row>
    <row r="133" spans="1:147" s="40" customFormat="1" ht="22.9" customHeight="1" x14ac:dyDescent="0.2">
      <c r="A133" s="148" t="s">
        <v>613</v>
      </c>
      <c r="B133" s="48" t="s">
        <v>213</v>
      </c>
      <c r="C133" s="33"/>
      <c r="D133" s="163"/>
      <c r="E133" s="163"/>
      <c r="F133" s="31" cm="1">
        <f t="array" ref="F133">SumByColor(F134:F206,REFERENCE!$G$2)</f>
        <v>0</v>
      </c>
      <c r="G133" s="31" cm="1">
        <f t="array" ref="G133">SumByColor(G134:G206,REFERENCE!$G$2)</f>
        <v>0</v>
      </c>
      <c r="H133" s="31" cm="1">
        <f t="array" ref="H133">SumByColor(H134:H206,REFERENCE!$G$2)</f>
        <v>0</v>
      </c>
      <c r="I133" s="31" cm="1">
        <f t="array" ref="I133">SumByColor(I134:I206,REFERENCE!$G$2)</f>
        <v>0</v>
      </c>
      <c r="J133" s="31" cm="1">
        <f t="array" ref="J133">SumByColor(J134:J206,REFERENCE!$G$2)</f>
        <v>0</v>
      </c>
      <c r="K133" s="31" cm="1">
        <f t="array" ref="K133">SumByColor(K134:K206,REFERENCE!$G$2)</f>
        <v>0</v>
      </c>
      <c r="L133" s="31" cm="1">
        <f t="array" ref="L133">SumByColor(L134:L206,REFERENCE!$G$2)</f>
        <v>0</v>
      </c>
      <c r="M133" s="31" cm="1">
        <f t="array" ref="M133">SumByColor(M134:M206,REFERENCE!$G$2)</f>
        <v>0</v>
      </c>
      <c r="N133" s="31" cm="1">
        <f t="array" ref="N133">SumByColor(N134:N206,REFERENCE!$G$2)</f>
        <v>0</v>
      </c>
      <c r="O133" s="31" cm="1">
        <f t="array" ref="O133">SumByColor(O134:O206,REFERENCE!$G$2)</f>
        <v>0</v>
      </c>
      <c r="P133" s="31" cm="1">
        <f t="array" ref="P133">SumByColor(P134:P206,REFERENCE!$G$2)</f>
        <v>0</v>
      </c>
      <c r="Q133" s="31" cm="1">
        <f t="array" ref="Q133">SumByColor(Q134:Q206,REFERENCE!$G$2)</f>
        <v>0</v>
      </c>
      <c r="R133" s="31" cm="1">
        <f t="array" ref="R133">SumByColor(R134:R206,REFERENCE!$G$2)</f>
        <v>0</v>
      </c>
      <c r="S133" s="31" cm="1">
        <f t="array" ref="S133">SumByColor(S134:S206,REFERENCE!$G$2)</f>
        <v>0</v>
      </c>
      <c r="T133" s="31" cm="1">
        <f t="array" ref="T133">SumByColor(T134:T206,REFERENCE!$G$2)</f>
        <v>0</v>
      </c>
      <c r="U133" s="31" cm="1">
        <f t="array" ref="U133">SumByColor(U134:U206,REFERENCE!$G$2)</f>
        <v>0</v>
      </c>
      <c r="V133" s="31" cm="1">
        <f t="array" ref="V133">SumByColor(V134:V206,REFERENCE!$G$2)</f>
        <v>0</v>
      </c>
      <c r="W133" s="31" cm="1">
        <f t="array" ref="W133">SumByColor(W134:W206,REFERENCE!$G$2)</f>
        <v>0</v>
      </c>
      <c r="X133" s="31" cm="1">
        <f t="array" ref="X133">SumByColor(X134:X206,REFERENCE!$G$2)</f>
        <v>0</v>
      </c>
      <c r="Y133" s="31" cm="1">
        <f t="array" ref="Y133">SumByColor(Y134:Y206,REFERENCE!$G$2)</f>
        <v>0</v>
      </c>
      <c r="Z133" s="31" cm="1">
        <f t="array" ref="Z133">SumByColor(Z134:Z206,REFERENCE!$G$2)</f>
        <v>0</v>
      </c>
      <c r="AA133" s="31" cm="1">
        <f t="array" ref="AA133">SumByColor(AA134:AA206,REFERENCE!$G$2)</f>
        <v>0</v>
      </c>
      <c r="AB133" s="31" cm="1">
        <f t="array" ref="AB133">SumByColor(AB134:AB206,REFERENCE!$G$2)</f>
        <v>0</v>
      </c>
      <c r="AC133" s="31" cm="1">
        <f t="array" ref="AC133">SumByColor(AC134:AC206,REFERENCE!$G$2)</f>
        <v>0</v>
      </c>
      <c r="AD133" s="31" cm="1">
        <f t="array" ref="AD133">SumByColor(AD134:AD206,REFERENCE!$G$2)</f>
        <v>0</v>
      </c>
      <c r="AE133" s="31" cm="1">
        <f t="array" ref="AE133">SumByColor(AE134:AE206,REFERENCE!$G$2)</f>
        <v>0</v>
      </c>
      <c r="AF133" s="31" cm="1">
        <f t="array" ref="AF133">SumByColor(AF134:AF206,REFERENCE!$G$2)</f>
        <v>0</v>
      </c>
      <c r="AG133" s="31" cm="1">
        <f t="array" ref="AG133">SumByColor(AG134:AG206,REFERENCE!$G$2)</f>
        <v>0</v>
      </c>
      <c r="AH133" s="31" cm="1">
        <f t="array" ref="AH133">SumByColor(AH134:AH206,REFERENCE!$G$2)</f>
        <v>0</v>
      </c>
      <c r="AI133" s="31" cm="1">
        <f t="array" ref="AI133">SumByColor(AI134:AI206,REFERENCE!$G$2)</f>
        <v>0</v>
      </c>
      <c r="AJ133" s="31" cm="1">
        <f t="array" ref="AJ133">SumByColor(AJ134:AJ206,REFERENCE!$G$2)</f>
        <v>0</v>
      </c>
      <c r="AK133" s="31" cm="1">
        <f t="array" ref="AK133">SumByColor(AK134:AK206,REFERENCE!$G$2)</f>
        <v>0</v>
      </c>
      <c r="AL133" s="31" cm="1">
        <f t="array" ref="AL133">SumByColor(AL134:AL206,REFERENCE!$G$2)</f>
        <v>0</v>
      </c>
      <c r="AM133" s="31" cm="1">
        <f t="array" ref="AM133">SumByColor(AM134:AM206,REFERENCE!$G$2)</f>
        <v>0</v>
      </c>
      <c r="AN133" s="31" cm="1">
        <f t="array" ref="AN133">SumByColor(AN134:AN206,REFERENCE!$G$2)</f>
        <v>0</v>
      </c>
      <c r="AO133" s="31" cm="1">
        <f t="array" ref="AO133">SumByColor(AO134:AO206,REFERENCE!$G$2)</f>
        <v>0</v>
      </c>
      <c r="AP133" s="31" cm="1">
        <f t="array" ref="AP133">SumByColor(AP134:AP206,REFERENCE!$G$2)</f>
        <v>0</v>
      </c>
      <c r="AQ133" s="31" cm="1">
        <f t="array" ref="AQ133">SumByColor(AQ134:AQ206,REFERENCE!$G$2)</f>
        <v>0</v>
      </c>
      <c r="AR133" s="31" cm="1">
        <f t="array" ref="AR133">SumByColor(AR134:AR206,REFERENCE!$G$2)</f>
        <v>0</v>
      </c>
      <c r="AS133" s="31" cm="1">
        <f t="array" ref="AS133">SumByColor(AS134:AS206,REFERENCE!$G$2)</f>
        <v>0</v>
      </c>
      <c r="AT133" s="31" cm="1">
        <f t="array" ref="AT133">SumByColor(AT134:AT206,REFERENCE!$G$2)</f>
        <v>0</v>
      </c>
      <c r="AU133" s="31" cm="1">
        <f t="array" ref="AU133">SumByColor(AU134:AU206,REFERENCE!$G$2)</f>
        <v>0</v>
      </c>
      <c r="AV133" s="31" cm="1">
        <f t="array" ref="AV133">SumByColor(AV134:AV206,REFERENCE!$G$2)</f>
        <v>0</v>
      </c>
      <c r="AW133" s="31" cm="1">
        <f t="array" ref="AW133">SumByColor(AW134:AW206,REFERENCE!$G$2)</f>
        <v>0</v>
      </c>
      <c r="AX133" s="31" cm="1">
        <f t="array" ref="AX133">SumByColor(AX134:AX206,REFERENCE!$G$2)</f>
        <v>0</v>
      </c>
      <c r="AY133" s="31" cm="1">
        <f t="array" ref="AY133">SumByColor(AY134:AY206,REFERENCE!$G$2)</f>
        <v>0</v>
      </c>
      <c r="AZ133" s="31" cm="1">
        <f t="array" ref="AZ133">SumByColor(AZ134:AZ206,REFERENCE!$G$2)</f>
        <v>0</v>
      </c>
      <c r="BA133" s="31" cm="1">
        <f t="array" ref="BA133">SumByColor(BA134:BA206,REFERENCE!$G$2)</f>
        <v>0</v>
      </c>
      <c r="BB133" s="31" cm="1">
        <f t="array" ref="BB133">SumByColor(BB134:BB206,REFERENCE!$G$2)</f>
        <v>0</v>
      </c>
      <c r="BC133" s="31" cm="1">
        <f t="array" ref="BC133">SumByColor(BC134:BC206,REFERENCE!$G$2)</f>
        <v>0</v>
      </c>
      <c r="BD133" s="31" cm="1">
        <f t="array" ref="BD133">SumByColor(BD134:BD206,REFERENCE!$G$2)</f>
        <v>0</v>
      </c>
      <c r="BE133" s="31" cm="1">
        <f t="array" ref="BE133">SumByColor(BE134:BE206,REFERENCE!$G$2)</f>
        <v>0</v>
      </c>
      <c r="BF133" s="31" cm="1">
        <f t="array" ref="BF133">SumByColor(BF134:BF206,REFERENCE!$G$2)</f>
        <v>0</v>
      </c>
      <c r="BG133" s="31" cm="1">
        <f t="array" ref="BG133">SumByColor(BG134:BG206,REFERENCE!$G$2)</f>
        <v>0</v>
      </c>
      <c r="BH133" s="31" cm="1">
        <f t="array" ref="BH133">SumByColor(BH134:BH206,REFERENCE!$G$2)</f>
        <v>0</v>
      </c>
      <c r="BI133" s="31" cm="1">
        <f t="array" ref="BI133">SumByColor(BI134:BI206,REFERENCE!$G$2)</f>
        <v>0</v>
      </c>
      <c r="BJ133" s="31" cm="1">
        <f t="array" ref="BJ133">SumByColor(BJ134:BJ206,REFERENCE!$G$2)</f>
        <v>0</v>
      </c>
      <c r="BK133" s="31" cm="1">
        <f t="array" ref="BK133">SumByColor(BK134:BK206,REFERENCE!$G$2)</f>
        <v>0</v>
      </c>
      <c r="BL133" s="31" cm="1">
        <f t="array" ref="BL133">SumByColor(BL134:BL206,REFERENCE!$G$2)</f>
        <v>0</v>
      </c>
      <c r="BM133" s="31" cm="1">
        <f t="array" ref="BM133">SumByColor(BM134:BM206,REFERENCE!$G$2)</f>
        <v>0</v>
      </c>
      <c r="BN133" s="31" cm="1">
        <f t="array" ref="BN133">SumByColor(BN134:BN206,REFERENCE!$G$2)</f>
        <v>0</v>
      </c>
      <c r="BO133" s="31" cm="1">
        <f t="array" ref="BO133">SumByColor(BO134:BO206,REFERENCE!$G$2)</f>
        <v>0</v>
      </c>
      <c r="BP133" s="31" cm="1">
        <f t="array" ref="BP133">SumByColor(BP134:BP206,REFERENCE!$G$2)</f>
        <v>0</v>
      </c>
      <c r="BQ133" s="31" cm="1">
        <f t="array" ref="BQ133">SumByColor(BQ134:BQ206,REFERENCE!$G$2)</f>
        <v>0</v>
      </c>
      <c r="BR133" s="31" cm="1">
        <f t="array" ref="BR133">SumByColor(BR134:BR206,REFERENCE!$G$2)</f>
        <v>0</v>
      </c>
      <c r="BS133" s="31" cm="1">
        <f t="array" ref="BS133">SumByColor(BS134:BS206,REFERENCE!$G$2)</f>
        <v>0</v>
      </c>
      <c r="BT133" s="31" cm="1">
        <f t="array" ref="BT133">SumByColor(BT134:BT206,REFERENCE!$G$2)</f>
        <v>0</v>
      </c>
      <c r="BU133" s="31" cm="1">
        <f t="array" ref="BU133">SumByColor(BU134:BU206,REFERENCE!$G$2)</f>
        <v>0</v>
      </c>
      <c r="BV133" s="31" cm="1">
        <f t="array" ref="BV133">SumByColor(BV134:BV206,REFERENCE!$G$2)</f>
        <v>0</v>
      </c>
      <c r="BW133" s="31" cm="1">
        <f t="array" ref="BW133">SumByColor(BW134:BW206,REFERENCE!$G$2)</f>
        <v>0</v>
      </c>
      <c r="BX133" s="31" cm="1">
        <f t="array" ref="BX133">SumByColor(BX134:BX206,REFERENCE!$G$2)</f>
        <v>0</v>
      </c>
      <c r="BY133" s="31" cm="1">
        <f t="array" ref="BY133">SumByColor(BY134:BY206,REFERENCE!$G$2)</f>
        <v>0</v>
      </c>
      <c r="BZ133" s="31" cm="1">
        <f t="array" ref="BZ133">SumByColor(BZ134:BZ206,REFERENCE!$G$2)</f>
        <v>0</v>
      </c>
      <c r="CA133" s="31" cm="1">
        <f t="array" ref="CA133">SumByColor(CA134:CA206,REFERENCE!$G$2)</f>
        <v>0</v>
      </c>
      <c r="CB133" s="31" cm="1">
        <f t="array" ref="CB133">SumByColor(CB134:CB206,REFERENCE!$G$2)</f>
        <v>0</v>
      </c>
      <c r="CC133" s="31" cm="1">
        <f t="array" ref="CC133">SumByColor(CC134:CC206,REFERENCE!$G$2)</f>
        <v>0</v>
      </c>
      <c r="CD133" s="31" cm="1">
        <f t="array" ref="CD133">SumByColor(CD134:CD206,REFERENCE!$G$2)</f>
        <v>0</v>
      </c>
      <c r="CE133" s="31" cm="1">
        <f t="array" ref="CE133">SumByColor(CE134:CE206,REFERENCE!$G$2)</f>
        <v>0</v>
      </c>
      <c r="CF133" s="31" cm="1">
        <f t="array" ref="CF133">SumByColor(CF134:CF206,REFERENCE!$G$2)</f>
        <v>0</v>
      </c>
      <c r="CG133" s="31" cm="1">
        <f t="array" ref="CG133">SumByColor(CG134:CG206,REFERENCE!$G$2)</f>
        <v>0</v>
      </c>
      <c r="CH133" s="31" cm="1">
        <f t="array" ref="CH133">SumByColor(CH134:CH206,REFERENCE!$G$2)</f>
        <v>0</v>
      </c>
      <c r="CI133" s="31" cm="1">
        <f t="array" ref="CI133">SumByColor(CI134:CI206,REFERENCE!$G$2)</f>
        <v>0</v>
      </c>
      <c r="CJ133" s="31" cm="1">
        <f t="array" ref="CJ133">SumByColor(CJ134:CJ206,REFERENCE!$G$2)</f>
        <v>0</v>
      </c>
      <c r="CK133" s="31" cm="1">
        <f t="array" ref="CK133">SumByColor(CK134:CK206,REFERENCE!$G$2)</f>
        <v>0</v>
      </c>
      <c r="CL133" s="31" cm="1">
        <f t="array" ref="CL133">SumByColor(CL134:CL206,REFERENCE!$G$2)</f>
        <v>0</v>
      </c>
      <c r="CM133" s="31" cm="1">
        <f t="array" ref="CM133">SumByColor(CM134:CM206,REFERENCE!$G$2)</f>
        <v>0</v>
      </c>
      <c r="CN133" s="31" cm="1">
        <f t="array" ref="CN133">SumByColor(CN134:CN206,REFERENCE!$G$2)</f>
        <v>0</v>
      </c>
      <c r="CO133" s="31" cm="1">
        <f t="array" ref="CO133">SumByColor(CO134:CO206,REFERENCE!$G$2)</f>
        <v>0</v>
      </c>
      <c r="CP133" s="31" cm="1">
        <f t="array" ref="CP133">SumByColor(CP134:CP206,REFERENCE!$G$2)</f>
        <v>0</v>
      </c>
      <c r="CQ133" s="31" cm="1">
        <f t="array" ref="CQ133">SumByColor(CQ134:CQ206,REFERENCE!$G$2)</f>
        <v>0</v>
      </c>
      <c r="CR133" s="31" cm="1">
        <f t="array" ref="CR133">SumByColor(CR134:CR206,REFERENCE!$G$2)</f>
        <v>0</v>
      </c>
      <c r="CS133" s="31" cm="1">
        <f t="array" ref="CS133">SumByColor(CS134:CS206,REFERENCE!$G$2)</f>
        <v>0</v>
      </c>
      <c r="CT133" s="31" cm="1">
        <f t="array" ref="CT133">SumByColor(CT134:CT206,REFERENCE!$G$2)</f>
        <v>0</v>
      </c>
      <c r="CU133" s="31" cm="1">
        <f t="array" ref="CU133">SumByColor(CU134:CU206,REFERENCE!$G$2)</f>
        <v>0</v>
      </c>
      <c r="CV133" s="31" cm="1">
        <f t="array" ref="CV133">SumByColor(CV134:CV206,REFERENCE!$G$2)</f>
        <v>0</v>
      </c>
      <c r="CW133" s="31" cm="1">
        <f t="array" ref="CW133">SumByColor(CW134:CW206,REFERENCE!$G$2)</f>
        <v>0</v>
      </c>
      <c r="CX133" s="31" cm="1">
        <f t="array" ref="CX133">SumByColor(CX134:CX206,REFERENCE!$G$2)</f>
        <v>0</v>
      </c>
      <c r="CY133" s="31" cm="1">
        <f t="array" ref="CY133">SumByColor(CY134:CY206,REFERENCE!$G$2)</f>
        <v>0</v>
      </c>
      <c r="CZ133" s="31" cm="1">
        <f t="array" ref="CZ133">SumByColor(CZ134:CZ206,REFERENCE!$G$2)</f>
        <v>0</v>
      </c>
      <c r="DA133" s="31" cm="1">
        <f t="array" ref="DA133">SumByColor(DA134:DA206,REFERENCE!$G$2)</f>
        <v>0</v>
      </c>
      <c r="DB133" s="31" cm="1">
        <f t="array" ref="DB133">SumByColor(DB134:DB206,REFERENCE!$G$2)</f>
        <v>0</v>
      </c>
      <c r="DC133" s="31" cm="1">
        <f t="array" ref="DC133">SumByColor(DC134:DC206,REFERENCE!$G$2)</f>
        <v>0</v>
      </c>
      <c r="DD133" s="31" cm="1">
        <f t="array" ref="DD133">SumByColor(DD134:DD206,REFERENCE!$G$2)</f>
        <v>0</v>
      </c>
      <c r="DE133" s="31" cm="1">
        <f t="array" ref="DE133">SumByColor(DE134:DE206,REFERENCE!$G$2)</f>
        <v>0</v>
      </c>
      <c r="DF133" s="31" cm="1">
        <f t="array" ref="DF133">SumByColor(DF134:DF206,REFERENCE!$G$2)</f>
        <v>0</v>
      </c>
      <c r="DG133" s="31" cm="1">
        <f t="array" ref="DG133">SumByColor(DG134:DG206,REFERENCE!$G$2)</f>
        <v>0</v>
      </c>
      <c r="DH133" s="31" cm="1">
        <f t="array" ref="DH133">SumByColor(DH134:DH206,REFERENCE!$G$2)</f>
        <v>0</v>
      </c>
      <c r="DI133" s="31" cm="1">
        <f t="array" ref="DI133">SumByColor(DI134:DI206,REFERENCE!$G$2)</f>
        <v>0</v>
      </c>
      <c r="DJ133" s="31" cm="1">
        <f t="array" ref="DJ133">SumByColor(DJ134:DJ206,REFERENCE!$G$2)</f>
        <v>0</v>
      </c>
      <c r="DK133" s="31" cm="1">
        <f t="array" ref="DK133">SumByColor(DK134:DK206,REFERENCE!$G$2)</f>
        <v>0</v>
      </c>
      <c r="DL133" s="31" cm="1">
        <f t="array" ref="DL133">SumByColor(DL134:DL206,REFERENCE!$G$2)</f>
        <v>0</v>
      </c>
      <c r="DM133" s="31" cm="1">
        <f t="array" ref="DM133">SumByColor(DM134:DM206,REFERENCE!$G$2)</f>
        <v>0</v>
      </c>
      <c r="DN133" s="31" cm="1">
        <f t="array" ref="DN133">SumByColor(DN134:DN206,REFERENCE!$G$2)</f>
        <v>0</v>
      </c>
      <c r="DO133" s="31" cm="1">
        <f t="array" ref="DO133">SumByColor(DO134:DO206,REFERENCE!$G$2)</f>
        <v>0</v>
      </c>
      <c r="DP133" s="31" cm="1">
        <f t="array" ref="DP133">SumByColor(DP134:DP206,REFERENCE!$G$2)</f>
        <v>0</v>
      </c>
      <c r="DQ133" s="31" cm="1">
        <f t="array" ref="DQ133">SumByColor(DQ134:DQ206,REFERENCE!$G$2)</f>
        <v>0</v>
      </c>
      <c r="DR133" s="31" cm="1">
        <f t="array" ref="DR133">SumByColor(DR134:DR206,REFERENCE!$G$2)</f>
        <v>0</v>
      </c>
      <c r="DS133" s="31" cm="1">
        <f t="array" ref="DS133">SumByColor(DS134:DS206,REFERENCE!$G$2)</f>
        <v>0</v>
      </c>
      <c r="DT133" s="31" cm="1">
        <f t="array" ref="DT133">SumByColor(DT134:DT206,REFERENCE!$G$2)</f>
        <v>0</v>
      </c>
      <c r="DU133" s="31" cm="1">
        <f t="array" ref="DU133">SumByColor(DU134:DU206,REFERENCE!$G$2)</f>
        <v>0</v>
      </c>
      <c r="DV133" s="31" cm="1">
        <f t="array" ref="DV133">SumByColor(DV134:DV206,REFERENCE!$G$2)</f>
        <v>0</v>
      </c>
      <c r="DW133" s="31" cm="1">
        <f t="array" ref="DW133">SumByColor(DW134:DW206,REFERENCE!$G$2)</f>
        <v>0</v>
      </c>
      <c r="DX133" s="31" cm="1">
        <f t="array" ref="DX133">SumByColor(DX134:DX206,REFERENCE!$G$2)</f>
        <v>0</v>
      </c>
      <c r="DY133" s="31" cm="1">
        <f t="array" ref="DY133">SumByColor(DY134:DY206,REFERENCE!$G$2)</f>
        <v>0</v>
      </c>
      <c r="DZ133" s="218"/>
      <c r="EA133" s="232"/>
      <c r="EB133" s="232"/>
      <c r="EC133" s="232"/>
      <c r="ED133" s="232"/>
      <c r="EE133" s="232"/>
      <c r="EF133" s="232"/>
      <c r="EG133" s="232"/>
      <c r="EH133" s="232"/>
      <c r="EI133" s="232"/>
      <c r="EJ133" s="232"/>
      <c r="EK133" s="232"/>
      <c r="EL133" s="232"/>
      <c r="EM133" s="232"/>
      <c r="EN133" s="232"/>
      <c r="EO133" s="232"/>
      <c r="EP133" s="232"/>
      <c r="EQ133" s="232"/>
    </row>
    <row r="134" spans="1:147" s="40" customFormat="1" ht="22.9" customHeight="1" outlineLevel="1" collapsed="1" x14ac:dyDescent="0.2">
      <c r="A134" s="149" t="s">
        <v>614</v>
      </c>
      <c r="B134" s="34" t="s">
        <v>143</v>
      </c>
      <c r="C134" s="30" t="s">
        <v>100</v>
      </c>
      <c r="D134" s="164"/>
      <c r="E134" s="164"/>
      <c r="F134" s="45">
        <f>SUM(F135:F136)</f>
        <v>0</v>
      </c>
      <c r="G134" s="45">
        <f>SUM(G135:G136)</f>
        <v>0</v>
      </c>
      <c r="H134" s="45">
        <f>SUMPRODUCT($D$135:$D$136,$E$135:$E$136,H135:H136)</f>
        <v>0</v>
      </c>
      <c r="I134" s="45">
        <f t="shared" ref="I134:BT134" si="47">SUMPRODUCT($D$135:$D$136,$E$135:$E$136,I135:I136)</f>
        <v>0</v>
      </c>
      <c r="J134" s="45">
        <f t="shared" si="47"/>
        <v>0</v>
      </c>
      <c r="K134" s="45">
        <f t="shared" si="47"/>
        <v>0</v>
      </c>
      <c r="L134" s="45">
        <f t="shared" si="47"/>
        <v>0</v>
      </c>
      <c r="M134" s="45">
        <f t="shared" si="47"/>
        <v>0</v>
      </c>
      <c r="N134" s="45">
        <f t="shared" si="47"/>
        <v>0</v>
      </c>
      <c r="O134" s="45">
        <f t="shared" si="47"/>
        <v>0</v>
      </c>
      <c r="P134" s="45">
        <f t="shared" si="47"/>
        <v>0</v>
      </c>
      <c r="Q134" s="45">
        <f t="shared" si="47"/>
        <v>0</v>
      </c>
      <c r="R134" s="45">
        <f t="shared" si="47"/>
        <v>0</v>
      </c>
      <c r="S134" s="45">
        <f t="shared" si="47"/>
        <v>0</v>
      </c>
      <c r="T134" s="45">
        <f t="shared" si="47"/>
        <v>0</v>
      </c>
      <c r="U134" s="45">
        <f t="shared" si="47"/>
        <v>0</v>
      </c>
      <c r="V134" s="45">
        <f t="shared" si="47"/>
        <v>0</v>
      </c>
      <c r="W134" s="45">
        <f t="shared" si="47"/>
        <v>0</v>
      </c>
      <c r="X134" s="45">
        <f t="shared" si="47"/>
        <v>0</v>
      </c>
      <c r="Y134" s="45">
        <f t="shared" si="47"/>
        <v>0</v>
      </c>
      <c r="Z134" s="45">
        <f t="shared" si="47"/>
        <v>0</v>
      </c>
      <c r="AA134" s="45">
        <f t="shared" si="47"/>
        <v>0</v>
      </c>
      <c r="AB134" s="45">
        <f t="shared" si="47"/>
        <v>0</v>
      </c>
      <c r="AC134" s="45">
        <f t="shared" si="47"/>
        <v>0</v>
      </c>
      <c r="AD134" s="45">
        <f t="shared" si="47"/>
        <v>0</v>
      </c>
      <c r="AE134" s="45">
        <f t="shared" si="47"/>
        <v>0</v>
      </c>
      <c r="AF134" s="45">
        <f t="shared" si="47"/>
        <v>0</v>
      </c>
      <c r="AG134" s="45">
        <f t="shared" si="47"/>
        <v>0</v>
      </c>
      <c r="AH134" s="45">
        <f t="shared" si="47"/>
        <v>0</v>
      </c>
      <c r="AI134" s="45">
        <f t="shared" si="47"/>
        <v>0</v>
      </c>
      <c r="AJ134" s="45">
        <f t="shared" si="47"/>
        <v>0</v>
      </c>
      <c r="AK134" s="45">
        <f t="shared" si="47"/>
        <v>0</v>
      </c>
      <c r="AL134" s="45">
        <f t="shared" si="47"/>
        <v>0</v>
      </c>
      <c r="AM134" s="45">
        <f t="shared" si="47"/>
        <v>0</v>
      </c>
      <c r="AN134" s="45">
        <f t="shared" si="47"/>
        <v>0</v>
      </c>
      <c r="AO134" s="45">
        <f t="shared" si="47"/>
        <v>0</v>
      </c>
      <c r="AP134" s="45">
        <f t="shared" si="47"/>
        <v>0</v>
      </c>
      <c r="AQ134" s="45">
        <f t="shared" si="47"/>
        <v>0</v>
      </c>
      <c r="AR134" s="45">
        <f t="shared" si="47"/>
        <v>0</v>
      </c>
      <c r="AS134" s="45">
        <f t="shared" si="47"/>
        <v>0</v>
      </c>
      <c r="AT134" s="45">
        <f t="shared" si="47"/>
        <v>0</v>
      </c>
      <c r="AU134" s="45">
        <f t="shared" si="47"/>
        <v>0</v>
      </c>
      <c r="AV134" s="45">
        <f t="shared" si="47"/>
        <v>0</v>
      </c>
      <c r="AW134" s="45">
        <f t="shared" si="47"/>
        <v>0</v>
      </c>
      <c r="AX134" s="45">
        <f t="shared" si="47"/>
        <v>0</v>
      </c>
      <c r="AY134" s="45">
        <f t="shared" si="47"/>
        <v>0</v>
      </c>
      <c r="AZ134" s="45">
        <f t="shared" si="47"/>
        <v>0</v>
      </c>
      <c r="BA134" s="45">
        <f t="shared" si="47"/>
        <v>0</v>
      </c>
      <c r="BB134" s="45">
        <f t="shared" si="47"/>
        <v>0</v>
      </c>
      <c r="BC134" s="45">
        <f t="shared" si="47"/>
        <v>0</v>
      </c>
      <c r="BD134" s="45">
        <f t="shared" si="47"/>
        <v>0</v>
      </c>
      <c r="BE134" s="45">
        <f t="shared" si="47"/>
        <v>0</v>
      </c>
      <c r="BF134" s="45">
        <f t="shared" si="47"/>
        <v>0</v>
      </c>
      <c r="BG134" s="45">
        <f t="shared" si="47"/>
        <v>0</v>
      </c>
      <c r="BH134" s="45">
        <f t="shared" si="47"/>
        <v>0</v>
      </c>
      <c r="BI134" s="45">
        <f t="shared" si="47"/>
        <v>0</v>
      </c>
      <c r="BJ134" s="45">
        <f t="shared" si="47"/>
        <v>0</v>
      </c>
      <c r="BK134" s="45">
        <f t="shared" si="47"/>
        <v>0</v>
      </c>
      <c r="BL134" s="45">
        <f t="shared" si="47"/>
        <v>0</v>
      </c>
      <c r="BM134" s="45">
        <f t="shared" si="47"/>
        <v>0</v>
      </c>
      <c r="BN134" s="45">
        <f t="shared" si="47"/>
        <v>0</v>
      </c>
      <c r="BO134" s="45">
        <f t="shared" si="47"/>
        <v>0</v>
      </c>
      <c r="BP134" s="45">
        <f t="shared" si="47"/>
        <v>0</v>
      </c>
      <c r="BQ134" s="45">
        <f t="shared" si="47"/>
        <v>0</v>
      </c>
      <c r="BR134" s="45">
        <f t="shared" si="47"/>
        <v>0</v>
      </c>
      <c r="BS134" s="45">
        <f t="shared" si="47"/>
        <v>0</v>
      </c>
      <c r="BT134" s="45">
        <f t="shared" si="47"/>
        <v>0</v>
      </c>
      <c r="BU134" s="45">
        <f t="shared" ref="BU134:DY134" si="48">SUMPRODUCT($D$135:$D$136,$E$135:$E$136,BU135:BU136)</f>
        <v>0</v>
      </c>
      <c r="BV134" s="45">
        <f t="shared" si="48"/>
        <v>0</v>
      </c>
      <c r="BW134" s="45">
        <f t="shared" si="48"/>
        <v>0</v>
      </c>
      <c r="BX134" s="45">
        <f t="shared" si="48"/>
        <v>0</v>
      </c>
      <c r="BY134" s="45">
        <f t="shared" si="48"/>
        <v>0</v>
      </c>
      <c r="BZ134" s="45">
        <f t="shared" si="48"/>
        <v>0</v>
      </c>
      <c r="CA134" s="45">
        <f t="shared" si="48"/>
        <v>0</v>
      </c>
      <c r="CB134" s="45">
        <f t="shared" si="48"/>
        <v>0</v>
      </c>
      <c r="CC134" s="45">
        <f t="shared" si="48"/>
        <v>0</v>
      </c>
      <c r="CD134" s="45">
        <f t="shared" si="48"/>
        <v>0</v>
      </c>
      <c r="CE134" s="45">
        <f t="shared" si="48"/>
        <v>0</v>
      </c>
      <c r="CF134" s="45">
        <f t="shared" si="48"/>
        <v>0</v>
      </c>
      <c r="CG134" s="45">
        <f t="shared" si="48"/>
        <v>0</v>
      </c>
      <c r="CH134" s="45">
        <f t="shared" si="48"/>
        <v>0</v>
      </c>
      <c r="CI134" s="45">
        <f t="shared" si="48"/>
        <v>0</v>
      </c>
      <c r="CJ134" s="45">
        <f t="shared" si="48"/>
        <v>0</v>
      </c>
      <c r="CK134" s="45">
        <f t="shared" si="48"/>
        <v>0</v>
      </c>
      <c r="CL134" s="45">
        <f t="shared" si="48"/>
        <v>0</v>
      </c>
      <c r="CM134" s="45">
        <f t="shared" si="48"/>
        <v>0</v>
      </c>
      <c r="CN134" s="45">
        <f t="shared" si="48"/>
        <v>0</v>
      </c>
      <c r="CO134" s="45">
        <f t="shared" si="48"/>
        <v>0</v>
      </c>
      <c r="CP134" s="45">
        <f t="shared" si="48"/>
        <v>0</v>
      </c>
      <c r="CQ134" s="45">
        <f t="shared" si="48"/>
        <v>0</v>
      </c>
      <c r="CR134" s="45">
        <f t="shared" si="48"/>
        <v>0</v>
      </c>
      <c r="CS134" s="45">
        <f t="shared" si="48"/>
        <v>0</v>
      </c>
      <c r="CT134" s="45">
        <f t="shared" si="48"/>
        <v>0</v>
      </c>
      <c r="CU134" s="45">
        <f t="shared" si="48"/>
        <v>0</v>
      </c>
      <c r="CV134" s="45">
        <f t="shared" si="48"/>
        <v>0</v>
      </c>
      <c r="CW134" s="45">
        <f t="shared" si="48"/>
        <v>0</v>
      </c>
      <c r="CX134" s="45">
        <f t="shared" si="48"/>
        <v>0</v>
      </c>
      <c r="CY134" s="45">
        <f t="shared" si="48"/>
        <v>0</v>
      </c>
      <c r="CZ134" s="45">
        <f t="shared" si="48"/>
        <v>0</v>
      </c>
      <c r="DA134" s="45">
        <f t="shared" si="48"/>
        <v>0</v>
      </c>
      <c r="DB134" s="45">
        <f t="shared" si="48"/>
        <v>0</v>
      </c>
      <c r="DC134" s="45">
        <f t="shared" si="48"/>
        <v>0</v>
      </c>
      <c r="DD134" s="45">
        <f t="shared" si="48"/>
        <v>0</v>
      </c>
      <c r="DE134" s="45">
        <f t="shared" si="48"/>
        <v>0</v>
      </c>
      <c r="DF134" s="45">
        <f t="shared" si="48"/>
        <v>0</v>
      </c>
      <c r="DG134" s="45">
        <f t="shared" si="48"/>
        <v>0</v>
      </c>
      <c r="DH134" s="45">
        <f t="shared" si="48"/>
        <v>0</v>
      </c>
      <c r="DI134" s="45">
        <f t="shared" si="48"/>
        <v>0</v>
      </c>
      <c r="DJ134" s="45">
        <f t="shared" si="48"/>
        <v>0</v>
      </c>
      <c r="DK134" s="45">
        <f t="shared" si="48"/>
        <v>0</v>
      </c>
      <c r="DL134" s="45">
        <f t="shared" si="48"/>
        <v>0</v>
      </c>
      <c r="DM134" s="45">
        <f t="shared" si="48"/>
        <v>0</v>
      </c>
      <c r="DN134" s="45">
        <f t="shared" si="48"/>
        <v>0</v>
      </c>
      <c r="DO134" s="45">
        <f t="shared" si="48"/>
        <v>0</v>
      </c>
      <c r="DP134" s="45">
        <f t="shared" si="48"/>
        <v>0</v>
      </c>
      <c r="DQ134" s="45">
        <f t="shared" si="48"/>
        <v>0</v>
      </c>
      <c r="DR134" s="45">
        <f t="shared" si="48"/>
        <v>0</v>
      </c>
      <c r="DS134" s="45">
        <f t="shared" si="48"/>
        <v>0</v>
      </c>
      <c r="DT134" s="45">
        <f t="shared" si="48"/>
        <v>0</v>
      </c>
      <c r="DU134" s="45">
        <f t="shared" si="48"/>
        <v>0</v>
      </c>
      <c r="DV134" s="45">
        <f t="shared" si="48"/>
        <v>0</v>
      </c>
      <c r="DW134" s="45">
        <f t="shared" si="48"/>
        <v>0</v>
      </c>
      <c r="DX134" s="45">
        <f t="shared" si="48"/>
        <v>0</v>
      </c>
      <c r="DY134" s="45">
        <f t="shared" si="48"/>
        <v>0</v>
      </c>
      <c r="DZ134" s="218"/>
      <c r="EA134" s="231"/>
      <c r="EB134" s="231"/>
      <c r="EC134" s="231"/>
      <c r="ED134" s="231"/>
      <c r="EE134" s="231"/>
      <c r="EF134" s="231"/>
      <c r="EG134" s="231"/>
      <c r="EH134" s="231"/>
      <c r="EI134" s="231"/>
      <c r="EJ134" s="231"/>
      <c r="EK134" s="231"/>
      <c r="EL134" s="231"/>
      <c r="EM134" s="231"/>
      <c r="EN134" s="231"/>
      <c r="EO134" s="231"/>
      <c r="EP134" s="231"/>
      <c r="EQ134" s="231"/>
    </row>
    <row r="135" spans="1:147" ht="22.9" hidden="1" customHeight="1" outlineLevel="2" x14ac:dyDescent="0.2">
      <c r="A135" s="146" t="s">
        <v>615</v>
      </c>
      <c r="B135" s="53" t="s">
        <v>271</v>
      </c>
      <c r="C135" s="50" t="s">
        <v>133</v>
      </c>
      <c r="D135" s="165">
        <v>1</v>
      </c>
      <c r="E135" s="158">
        <v>1</v>
      </c>
      <c r="F135" s="52">
        <f>SUM(H135:DY135)*E135*Table1[[#This Row],[Cycles]]</f>
        <v>0</v>
      </c>
      <c r="G135" s="46">
        <f>SUMPRODUCT($H$3:$DY$3,$H135:$DY135)*E135*D135</f>
        <v>0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219"/>
      <c r="EA135" s="231"/>
      <c r="EB135" s="231"/>
      <c r="EC135" s="231"/>
      <c r="ED135" s="231"/>
      <c r="EE135" s="231"/>
      <c r="EF135" s="231"/>
      <c r="EG135" s="231"/>
      <c r="EH135" s="231"/>
      <c r="EI135" s="231"/>
      <c r="EJ135" s="231"/>
      <c r="EK135" s="231"/>
      <c r="EL135" s="231"/>
      <c r="EM135" s="231"/>
      <c r="EN135" s="231"/>
      <c r="EO135" s="231"/>
      <c r="EP135" s="231"/>
      <c r="EQ135" s="231"/>
    </row>
    <row r="136" spans="1:147" ht="22.9" hidden="1" customHeight="1" outlineLevel="2" x14ac:dyDescent="0.2">
      <c r="A136" s="146" t="s">
        <v>616</v>
      </c>
      <c r="B136" s="53" t="s">
        <v>275</v>
      </c>
      <c r="C136" s="50" t="s">
        <v>133</v>
      </c>
      <c r="D136" s="165">
        <v>1</v>
      </c>
      <c r="E136" s="158">
        <v>1</v>
      </c>
      <c r="F136" s="52">
        <f>SUM(H136:DY136)*E136*Table1[[#This Row],[Cycles]]</f>
        <v>0</v>
      </c>
      <c r="G136" s="46">
        <f>SUMPRODUCT($H$3:$DY$3,$H136:$DY136)*E136*D136</f>
        <v>0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7"/>
      <c r="BA136" s="47"/>
      <c r="BB136" s="47"/>
      <c r="BC136" s="47"/>
      <c r="BD136" s="47"/>
      <c r="BE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  <c r="BS136" s="47"/>
      <c r="BT136" s="47"/>
      <c r="BU136" s="47"/>
      <c r="BV136" s="47"/>
      <c r="BW136" s="47"/>
      <c r="BX136" s="47"/>
      <c r="BY136" s="47"/>
      <c r="BZ136" s="47"/>
      <c r="CA136" s="47"/>
      <c r="CB136" s="47"/>
      <c r="CC136" s="47"/>
      <c r="CD136" s="47"/>
      <c r="CE136" s="47"/>
      <c r="CF136" s="47"/>
      <c r="CG136" s="47"/>
      <c r="CH136" s="47"/>
      <c r="CI136" s="47"/>
      <c r="CJ136" s="47"/>
      <c r="CK136" s="47"/>
      <c r="CL136" s="47"/>
      <c r="CM136" s="47"/>
      <c r="CN136" s="47"/>
      <c r="CO136" s="47"/>
      <c r="CP136" s="47"/>
      <c r="CQ136" s="47"/>
      <c r="CR136" s="47"/>
      <c r="CS136" s="47"/>
      <c r="CT136" s="47"/>
      <c r="CU136" s="47"/>
      <c r="CV136" s="47"/>
      <c r="CW136" s="47"/>
      <c r="CX136" s="47"/>
      <c r="CY136" s="47"/>
      <c r="CZ136" s="47"/>
      <c r="DA136" s="47"/>
      <c r="DB136" s="47"/>
      <c r="DC136" s="47"/>
      <c r="DD136" s="47"/>
      <c r="DE136" s="47"/>
      <c r="DF136" s="47"/>
      <c r="DG136" s="47"/>
      <c r="DH136" s="47"/>
      <c r="DI136" s="47"/>
      <c r="DJ136" s="47"/>
      <c r="DK136" s="47"/>
      <c r="DL136" s="47"/>
      <c r="DM136" s="47"/>
      <c r="DN136" s="47"/>
      <c r="DO136" s="47"/>
      <c r="DP136" s="47"/>
      <c r="DQ136" s="47"/>
      <c r="DR136" s="47"/>
      <c r="DS136" s="47"/>
      <c r="DT136" s="47"/>
      <c r="DU136" s="47"/>
      <c r="DV136" s="47"/>
      <c r="DW136" s="47"/>
      <c r="DX136" s="47"/>
      <c r="DY136" s="47"/>
      <c r="DZ136" s="219"/>
      <c r="EA136" s="231"/>
      <c r="EB136" s="231"/>
      <c r="EC136" s="231"/>
      <c r="ED136" s="231"/>
      <c r="EE136" s="231"/>
      <c r="EF136" s="231"/>
      <c r="EG136" s="231"/>
      <c r="EH136" s="231"/>
      <c r="EI136" s="231"/>
      <c r="EJ136" s="231"/>
      <c r="EK136" s="231"/>
      <c r="EL136" s="231"/>
      <c r="EM136" s="231"/>
      <c r="EN136" s="231"/>
      <c r="EO136" s="231"/>
      <c r="EP136" s="231"/>
      <c r="EQ136" s="231"/>
    </row>
    <row r="137" spans="1:147" s="40" customFormat="1" ht="22.9" customHeight="1" outlineLevel="1" collapsed="1" x14ac:dyDescent="0.2">
      <c r="A137" s="149" t="s">
        <v>617</v>
      </c>
      <c r="B137" s="34" t="s">
        <v>438</v>
      </c>
      <c r="C137" s="30" t="s">
        <v>100</v>
      </c>
      <c r="D137" s="164"/>
      <c r="E137" s="164"/>
      <c r="F137" s="45">
        <f>SUM(F138:F162)</f>
        <v>0</v>
      </c>
      <c r="G137" s="45">
        <f>SUM(G138:G162)</f>
        <v>0</v>
      </c>
      <c r="H137" s="45">
        <f>SUMPRODUCT($D$138:$D$162,$E$138:$E$162,H138:H162)</f>
        <v>0</v>
      </c>
      <c r="I137" s="45">
        <f t="shared" ref="I137:BT137" si="49">SUMPRODUCT($D$138:$D$162,$E$138:$E$162,I138:I162)</f>
        <v>0</v>
      </c>
      <c r="J137" s="45">
        <f t="shared" si="49"/>
        <v>0</v>
      </c>
      <c r="K137" s="45">
        <f t="shared" si="49"/>
        <v>0</v>
      </c>
      <c r="L137" s="45">
        <f t="shared" si="49"/>
        <v>0</v>
      </c>
      <c r="M137" s="45">
        <f t="shared" si="49"/>
        <v>0</v>
      </c>
      <c r="N137" s="45">
        <f t="shared" si="49"/>
        <v>0</v>
      </c>
      <c r="O137" s="45">
        <f t="shared" si="49"/>
        <v>0</v>
      </c>
      <c r="P137" s="45">
        <f t="shared" si="49"/>
        <v>0</v>
      </c>
      <c r="Q137" s="45">
        <f t="shared" si="49"/>
        <v>0</v>
      </c>
      <c r="R137" s="45">
        <f t="shared" si="49"/>
        <v>0</v>
      </c>
      <c r="S137" s="45">
        <f t="shared" si="49"/>
        <v>0</v>
      </c>
      <c r="T137" s="45">
        <f t="shared" si="49"/>
        <v>0</v>
      </c>
      <c r="U137" s="45">
        <f t="shared" si="49"/>
        <v>0</v>
      </c>
      <c r="V137" s="45">
        <f t="shared" si="49"/>
        <v>0</v>
      </c>
      <c r="W137" s="45">
        <f t="shared" si="49"/>
        <v>0</v>
      </c>
      <c r="X137" s="45">
        <f t="shared" si="49"/>
        <v>0</v>
      </c>
      <c r="Y137" s="45">
        <f t="shared" si="49"/>
        <v>0</v>
      </c>
      <c r="Z137" s="45">
        <f t="shared" si="49"/>
        <v>0</v>
      </c>
      <c r="AA137" s="45">
        <f t="shared" si="49"/>
        <v>0</v>
      </c>
      <c r="AB137" s="45">
        <f t="shared" si="49"/>
        <v>0</v>
      </c>
      <c r="AC137" s="45">
        <f t="shared" si="49"/>
        <v>0</v>
      </c>
      <c r="AD137" s="45">
        <f t="shared" si="49"/>
        <v>0</v>
      </c>
      <c r="AE137" s="45">
        <f t="shared" si="49"/>
        <v>0</v>
      </c>
      <c r="AF137" s="45">
        <f t="shared" si="49"/>
        <v>0</v>
      </c>
      <c r="AG137" s="45">
        <f t="shared" si="49"/>
        <v>0</v>
      </c>
      <c r="AH137" s="45">
        <f t="shared" si="49"/>
        <v>0</v>
      </c>
      <c r="AI137" s="45">
        <f t="shared" si="49"/>
        <v>0</v>
      </c>
      <c r="AJ137" s="45">
        <f t="shared" si="49"/>
        <v>0</v>
      </c>
      <c r="AK137" s="45">
        <f t="shared" si="49"/>
        <v>0</v>
      </c>
      <c r="AL137" s="45">
        <f t="shared" si="49"/>
        <v>0</v>
      </c>
      <c r="AM137" s="45">
        <f t="shared" si="49"/>
        <v>0</v>
      </c>
      <c r="AN137" s="45">
        <f t="shared" si="49"/>
        <v>0</v>
      </c>
      <c r="AO137" s="45">
        <f t="shared" si="49"/>
        <v>0</v>
      </c>
      <c r="AP137" s="45">
        <f t="shared" si="49"/>
        <v>0</v>
      </c>
      <c r="AQ137" s="45">
        <f t="shared" si="49"/>
        <v>0</v>
      </c>
      <c r="AR137" s="45">
        <f t="shared" si="49"/>
        <v>0</v>
      </c>
      <c r="AS137" s="45">
        <f t="shared" si="49"/>
        <v>0</v>
      </c>
      <c r="AT137" s="45">
        <f t="shared" si="49"/>
        <v>0</v>
      </c>
      <c r="AU137" s="45">
        <f t="shared" si="49"/>
        <v>0</v>
      </c>
      <c r="AV137" s="45">
        <f t="shared" si="49"/>
        <v>0</v>
      </c>
      <c r="AW137" s="45">
        <f t="shared" si="49"/>
        <v>0</v>
      </c>
      <c r="AX137" s="45">
        <f t="shared" si="49"/>
        <v>0</v>
      </c>
      <c r="AY137" s="45">
        <f t="shared" si="49"/>
        <v>0</v>
      </c>
      <c r="AZ137" s="45">
        <f t="shared" si="49"/>
        <v>0</v>
      </c>
      <c r="BA137" s="45">
        <f t="shared" si="49"/>
        <v>0</v>
      </c>
      <c r="BB137" s="45">
        <f t="shared" si="49"/>
        <v>0</v>
      </c>
      <c r="BC137" s="45">
        <f t="shared" si="49"/>
        <v>0</v>
      </c>
      <c r="BD137" s="45">
        <f t="shared" si="49"/>
        <v>0</v>
      </c>
      <c r="BE137" s="45">
        <f t="shared" si="49"/>
        <v>0</v>
      </c>
      <c r="BF137" s="45">
        <f t="shared" si="49"/>
        <v>0</v>
      </c>
      <c r="BG137" s="45">
        <f t="shared" si="49"/>
        <v>0</v>
      </c>
      <c r="BH137" s="45">
        <f t="shared" si="49"/>
        <v>0</v>
      </c>
      <c r="BI137" s="45">
        <f t="shared" si="49"/>
        <v>0</v>
      </c>
      <c r="BJ137" s="45">
        <f t="shared" si="49"/>
        <v>0</v>
      </c>
      <c r="BK137" s="45">
        <f t="shared" si="49"/>
        <v>0</v>
      </c>
      <c r="BL137" s="45">
        <f t="shared" si="49"/>
        <v>0</v>
      </c>
      <c r="BM137" s="45">
        <f t="shared" si="49"/>
        <v>0</v>
      </c>
      <c r="BN137" s="45">
        <f t="shared" si="49"/>
        <v>0</v>
      </c>
      <c r="BO137" s="45">
        <f t="shared" si="49"/>
        <v>0</v>
      </c>
      <c r="BP137" s="45">
        <f t="shared" si="49"/>
        <v>0</v>
      </c>
      <c r="BQ137" s="45">
        <f t="shared" si="49"/>
        <v>0</v>
      </c>
      <c r="BR137" s="45">
        <f t="shared" si="49"/>
        <v>0</v>
      </c>
      <c r="BS137" s="45">
        <f t="shared" si="49"/>
        <v>0</v>
      </c>
      <c r="BT137" s="45">
        <f t="shared" si="49"/>
        <v>0</v>
      </c>
      <c r="BU137" s="45">
        <f t="shared" ref="BU137:DY137" si="50">SUMPRODUCT($D$138:$D$162,$E$138:$E$162,BU138:BU162)</f>
        <v>0</v>
      </c>
      <c r="BV137" s="45">
        <f t="shared" si="50"/>
        <v>0</v>
      </c>
      <c r="BW137" s="45">
        <f t="shared" si="50"/>
        <v>0</v>
      </c>
      <c r="BX137" s="45">
        <f t="shared" si="50"/>
        <v>0</v>
      </c>
      <c r="BY137" s="45">
        <f t="shared" si="50"/>
        <v>0</v>
      </c>
      <c r="BZ137" s="45">
        <f t="shared" si="50"/>
        <v>0</v>
      </c>
      <c r="CA137" s="45">
        <f t="shared" si="50"/>
        <v>0</v>
      </c>
      <c r="CB137" s="45">
        <f t="shared" si="50"/>
        <v>0</v>
      </c>
      <c r="CC137" s="45">
        <f t="shared" si="50"/>
        <v>0</v>
      </c>
      <c r="CD137" s="45">
        <f t="shared" si="50"/>
        <v>0</v>
      </c>
      <c r="CE137" s="45">
        <f t="shared" si="50"/>
        <v>0</v>
      </c>
      <c r="CF137" s="45">
        <f t="shared" si="50"/>
        <v>0</v>
      </c>
      <c r="CG137" s="45">
        <f t="shared" si="50"/>
        <v>0</v>
      </c>
      <c r="CH137" s="45">
        <f t="shared" si="50"/>
        <v>0</v>
      </c>
      <c r="CI137" s="45">
        <f t="shared" si="50"/>
        <v>0</v>
      </c>
      <c r="CJ137" s="45">
        <f t="shared" si="50"/>
        <v>0</v>
      </c>
      <c r="CK137" s="45">
        <f t="shared" si="50"/>
        <v>0</v>
      </c>
      <c r="CL137" s="45">
        <f t="shared" si="50"/>
        <v>0</v>
      </c>
      <c r="CM137" s="45">
        <f t="shared" si="50"/>
        <v>0</v>
      </c>
      <c r="CN137" s="45">
        <f t="shared" si="50"/>
        <v>0</v>
      </c>
      <c r="CO137" s="45">
        <f t="shared" si="50"/>
        <v>0</v>
      </c>
      <c r="CP137" s="45">
        <f t="shared" si="50"/>
        <v>0</v>
      </c>
      <c r="CQ137" s="45">
        <f t="shared" si="50"/>
        <v>0</v>
      </c>
      <c r="CR137" s="45">
        <f t="shared" si="50"/>
        <v>0</v>
      </c>
      <c r="CS137" s="45">
        <f t="shared" si="50"/>
        <v>0</v>
      </c>
      <c r="CT137" s="45">
        <f t="shared" si="50"/>
        <v>0</v>
      </c>
      <c r="CU137" s="45">
        <f t="shared" si="50"/>
        <v>0</v>
      </c>
      <c r="CV137" s="45">
        <f t="shared" si="50"/>
        <v>0</v>
      </c>
      <c r="CW137" s="45">
        <f t="shared" si="50"/>
        <v>0</v>
      </c>
      <c r="CX137" s="45">
        <f t="shared" si="50"/>
        <v>0</v>
      </c>
      <c r="CY137" s="45">
        <f t="shared" si="50"/>
        <v>0</v>
      </c>
      <c r="CZ137" s="45">
        <f t="shared" si="50"/>
        <v>0</v>
      </c>
      <c r="DA137" s="45">
        <f t="shared" si="50"/>
        <v>0</v>
      </c>
      <c r="DB137" s="45">
        <f t="shared" si="50"/>
        <v>0</v>
      </c>
      <c r="DC137" s="45">
        <f t="shared" si="50"/>
        <v>0</v>
      </c>
      <c r="DD137" s="45">
        <f t="shared" si="50"/>
        <v>0</v>
      </c>
      <c r="DE137" s="45">
        <f t="shared" si="50"/>
        <v>0</v>
      </c>
      <c r="DF137" s="45">
        <f t="shared" si="50"/>
        <v>0</v>
      </c>
      <c r="DG137" s="45">
        <f t="shared" si="50"/>
        <v>0</v>
      </c>
      <c r="DH137" s="45">
        <f t="shared" si="50"/>
        <v>0</v>
      </c>
      <c r="DI137" s="45">
        <f t="shared" si="50"/>
        <v>0</v>
      </c>
      <c r="DJ137" s="45">
        <f t="shared" si="50"/>
        <v>0</v>
      </c>
      <c r="DK137" s="45">
        <f t="shared" si="50"/>
        <v>0</v>
      </c>
      <c r="DL137" s="45">
        <f t="shared" si="50"/>
        <v>0</v>
      </c>
      <c r="DM137" s="45">
        <f t="shared" si="50"/>
        <v>0</v>
      </c>
      <c r="DN137" s="45">
        <f t="shared" si="50"/>
        <v>0</v>
      </c>
      <c r="DO137" s="45">
        <f t="shared" si="50"/>
        <v>0</v>
      </c>
      <c r="DP137" s="45">
        <f t="shared" si="50"/>
        <v>0</v>
      </c>
      <c r="DQ137" s="45">
        <f t="shared" si="50"/>
        <v>0</v>
      </c>
      <c r="DR137" s="45">
        <f t="shared" si="50"/>
        <v>0</v>
      </c>
      <c r="DS137" s="45">
        <f t="shared" si="50"/>
        <v>0</v>
      </c>
      <c r="DT137" s="45">
        <f t="shared" si="50"/>
        <v>0</v>
      </c>
      <c r="DU137" s="45">
        <f t="shared" si="50"/>
        <v>0</v>
      </c>
      <c r="DV137" s="45">
        <f t="shared" si="50"/>
        <v>0</v>
      </c>
      <c r="DW137" s="45">
        <f t="shared" si="50"/>
        <v>0</v>
      </c>
      <c r="DX137" s="45">
        <f t="shared" si="50"/>
        <v>0</v>
      </c>
      <c r="DY137" s="45">
        <f t="shared" si="50"/>
        <v>0</v>
      </c>
      <c r="DZ137" s="218"/>
      <c r="EA137" s="231"/>
      <c r="EB137" s="231"/>
      <c r="EC137" s="231"/>
      <c r="ED137" s="231"/>
      <c r="EE137" s="231"/>
      <c r="EF137" s="231"/>
      <c r="EG137" s="231"/>
      <c r="EH137" s="231"/>
      <c r="EI137" s="231"/>
      <c r="EJ137" s="231"/>
      <c r="EK137" s="231"/>
      <c r="EL137" s="231"/>
      <c r="EM137" s="231"/>
      <c r="EN137" s="231"/>
      <c r="EO137" s="231"/>
      <c r="EP137" s="231"/>
      <c r="EQ137" s="231"/>
    </row>
    <row r="138" spans="1:147" ht="22.9" hidden="1" customHeight="1" outlineLevel="2" x14ac:dyDescent="0.2">
      <c r="A138" s="146" t="s">
        <v>615</v>
      </c>
      <c r="B138" s="53" t="s">
        <v>55</v>
      </c>
      <c r="C138" s="50" t="s">
        <v>133</v>
      </c>
      <c r="D138" s="165">
        <v>1</v>
      </c>
      <c r="E138" s="158">
        <v>1</v>
      </c>
      <c r="F138" s="52">
        <f>SUM(H138:DY138)*E138*Table1[[#This Row],[Cycles]]</f>
        <v>0</v>
      </c>
      <c r="G138" s="46">
        <f>SUMPRODUCT($H$3:$DY$3,$H138:$DY138)*E138*D138</f>
        <v>0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  <c r="DE138" s="47"/>
      <c r="DF138" s="47"/>
      <c r="DG138" s="47"/>
      <c r="DH138" s="47"/>
      <c r="DI138" s="47"/>
      <c r="DJ138" s="47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219"/>
      <c r="EA138" s="231"/>
      <c r="EB138" s="231"/>
      <c r="EC138" s="231"/>
      <c r="ED138" s="231"/>
      <c r="EE138" s="231"/>
      <c r="EF138" s="231"/>
      <c r="EG138" s="231"/>
      <c r="EH138" s="231"/>
      <c r="EI138" s="231"/>
      <c r="EJ138" s="231"/>
      <c r="EK138" s="231"/>
      <c r="EL138" s="231"/>
      <c r="EM138" s="231"/>
      <c r="EN138" s="231"/>
      <c r="EO138" s="231"/>
      <c r="EP138" s="231"/>
      <c r="EQ138" s="231"/>
    </row>
    <row r="139" spans="1:147" ht="22.9" hidden="1" customHeight="1" outlineLevel="2" x14ac:dyDescent="0.2">
      <c r="A139" s="146" t="s">
        <v>616</v>
      </c>
      <c r="B139" s="53" t="s">
        <v>56</v>
      </c>
      <c r="C139" s="50" t="s">
        <v>133</v>
      </c>
      <c r="D139" s="165">
        <v>1</v>
      </c>
      <c r="E139" s="158">
        <v>1</v>
      </c>
      <c r="F139" s="52">
        <f>SUM(H139:DY139)*E139*Table1[[#This Row],[Cycles]]</f>
        <v>0</v>
      </c>
      <c r="G139" s="46">
        <f>SUMPRODUCT($H$3:$DY$3,$H139:$DY139)*E139*D139</f>
        <v>0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  <c r="DE139" s="47"/>
      <c r="DF139" s="47"/>
      <c r="DG139" s="47"/>
      <c r="DH139" s="47"/>
      <c r="DI139" s="47"/>
      <c r="DJ139" s="47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219"/>
      <c r="EA139" s="231"/>
      <c r="EB139" s="231"/>
      <c r="EC139" s="231"/>
      <c r="ED139" s="231"/>
      <c r="EE139" s="231"/>
      <c r="EF139" s="231"/>
      <c r="EG139" s="231"/>
      <c r="EH139" s="231"/>
      <c r="EI139" s="231"/>
      <c r="EJ139" s="231"/>
      <c r="EK139" s="231"/>
      <c r="EL139" s="231"/>
      <c r="EM139" s="231"/>
      <c r="EN139" s="231"/>
      <c r="EO139" s="231"/>
      <c r="EP139" s="231"/>
      <c r="EQ139" s="231"/>
    </row>
    <row r="140" spans="1:147" ht="22.9" hidden="1" customHeight="1" outlineLevel="2" x14ac:dyDescent="0.2">
      <c r="A140" s="146" t="s">
        <v>618</v>
      </c>
      <c r="B140" s="53" t="s">
        <v>57</v>
      </c>
      <c r="C140" s="50" t="s">
        <v>133</v>
      </c>
      <c r="D140" s="165">
        <v>1</v>
      </c>
      <c r="E140" s="158">
        <v>1</v>
      </c>
      <c r="F140" s="52">
        <f>SUM(H140:DY140)*E140*Table1[[#This Row],[Cycles]]</f>
        <v>0</v>
      </c>
      <c r="G140" s="46">
        <f t="shared" ref="G140:G152" si="51">SUMPRODUCT($H$3:$DY$3,$H140:$DY140)*E140*D140</f>
        <v>0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  <c r="DE140" s="47"/>
      <c r="DF140" s="47"/>
      <c r="DG140" s="47"/>
      <c r="DH140" s="47"/>
      <c r="DI140" s="47"/>
      <c r="DJ140" s="47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219"/>
      <c r="EA140" s="231"/>
      <c r="EB140" s="231"/>
      <c r="EC140" s="231"/>
      <c r="ED140" s="231"/>
      <c r="EE140" s="231"/>
      <c r="EF140" s="231"/>
      <c r="EG140" s="231"/>
      <c r="EH140" s="231"/>
      <c r="EI140" s="231"/>
      <c r="EJ140" s="231"/>
      <c r="EK140" s="231"/>
      <c r="EL140" s="231"/>
      <c r="EM140" s="231"/>
      <c r="EN140" s="231"/>
      <c r="EO140" s="231"/>
      <c r="EP140" s="231"/>
      <c r="EQ140" s="231"/>
    </row>
    <row r="141" spans="1:147" ht="22.9" hidden="1" customHeight="1" outlineLevel="2" x14ac:dyDescent="0.2">
      <c r="A141" s="146" t="s">
        <v>619</v>
      </c>
      <c r="B141" s="53" t="s">
        <v>58</v>
      </c>
      <c r="C141" s="50" t="s">
        <v>133</v>
      </c>
      <c r="D141" s="165">
        <v>1</v>
      </c>
      <c r="E141" s="158">
        <v>1</v>
      </c>
      <c r="F141" s="52">
        <f>SUM(H141:DY141)*E141*Table1[[#This Row],[Cycles]]</f>
        <v>0</v>
      </c>
      <c r="G141" s="46">
        <f t="shared" si="51"/>
        <v>0</v>
      </c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219"/>
      <c r="EA141" s="231"/>
      <c r="EB141" s="231"/>
      <c r="EC141" s="231"/>
      <c r="ED141" s="231"/>
      <c r="EE141" s="231"/>
      <c r="EF141" s="231"/>
      <c r="EG141" s="231"/>
      <c r="EH141" s="231"/>
      <c r="EI141" s="231"/>
      <c r="EJ141" s="231"/>
      <c r="EK141" s="231"/>
      <c r="EL141" s="231"/>
      <c r="EM141" s="231"/>
      <c r="EN141" s="231"/>
      <c r="EO141" s="231"/>
      <c r="EP141" s="231"/>
      <c r="EQ141" s="231"/>
    </row>
    <row r="142" spans="1:147" ht="22.9" hidden="1" customHeight="1" outlineLevel="2" x14ac:dyDescent="0.2">
      <c r="A142" s="146" t="s">
        <v>620</v>
      </c>
      <c r="B142" s="53" t="s">
        <v>59</v>
      </c>
      <c r="C142" s="50" t="s">
        <v>133</v>
      </c>
      <c r="D142" s="165">
        <v>1</v>
      </c>
      <c r="E142" s="158">
        <v>1</v>
      </c>
      <c r="F142" s="52">
        <f>SUM(H142:DY142)*E142*Table1[[#This Row],[Cycles]]</f>
        <v>0</v>
      </c>
      <c r="G142" s="46">
        <f t="shared" si="51"/>
        <v>0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219"/>
      <c r="EA142" s="231"/>
      <c r="EB142" s="231"/>
      <c r="EC142" s="231"/>
      <c r="ED142" s="231"/>
      <c r="EE142" s="231"/>
      <c r="EF142" s="231"/>
      <c r="EG142" s="231"/>
      <c r="EH142" s="231"/>
      <c r="EI142" s="231"/>
      <c r="EJ142" s="231"/>
      <c r="EK142" s="231"/>
      <c r="EL142" s="231"/>
      <c r="EM142" s="231"/>
      <c r="EN142" s="231"/>
      <c r="EO142" s="231"/>
      <c r="EP142" s="231"/>
      <c r="EQ142" s="231"/>
    </row>
    <row r="143" spans="1:147" ht="22.9" hidden="1" customHeight="1" outlineLevel="2" x14ac:dyDescent="0.2">
      <c r="A143" s="146" t="s">
        <v>621</v>
      </c>
      <c r="B143" s="53" t="s">
        <v>115</v>
      </c>
      <c r="C143" s="50" t="s">
        <v>133</v>
      </c>
      <c r="D143" s="165">
        <v>1</v>
      </c>
      <c r="E143" s="158">
        <v>1</v>
      </c>
      <c r="F143" s="52">
        <f>SUM(H143:DY143)*E143*Table1[[#This Row],[Cycles]]</f>
        <v>0</v>
      </c>
      <c r="G143" s="46">
        <f t="shared" si="51"/>
        <v>0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219"/>
      <c r="EA143" s="231"/>
      <c r="EB143" s="231"/>
      <c r="EC143" s="231"/>
      <c r="ED143" s="231"/>
      <c r="EE143" s="231"/>
      <c r="EF143" s="231"/>
      <c r="EG143" s="231"/>
      <c r="EH143" s="231"/>
      <c r="EI143" s="231"/>
      <c r="EJ143" s="231"/>
      <c r="EK143" s="231"/>
      <c r="EL143" s="231"/>
      <c r="EM143" s="231"/>
      <c r="EN143" s="231"/>
      <c r="EO143" s="231"/>
      <c r="EP143" s="231"/>
      <c r="EQ143" s="231"/>
    </row>
    <row r="144" spans="1:147" ht="22.9" hidden="1" customHeight="1" outlineLevel="2" x14ac:dyDescent="0.2">
      <c r="A144" s="146" t="s">
        <v>622</v>
      </c>
      <c r="B144" s="53" t="s">
        <v>64</v>
      </c>
      <c r="C144" s="50" t="s">
        <v>133</v>
      </c>
      <c r="D144" s="165">
        <v>1</v>
      </c>
      <c r="E144" s="158">
        <v>1</v>
      </c>
      <c r="F144" s="52">
        <f>SUM(H144:DY144)*E144*Table1[[#This Row],[Cycles]]</f>
        <v>0</v>
      </c>
      <c r="G144" s="46">
        <f t="shared" si="51"/>
        <v>0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219"/>
      <c r="EA144" s="231"/>
      <c r="EB144" s="231"/>
      <c r="EC144" s="231"/>
      <c r="ED144" s="231"/>
      <c r="EE144" s="231"/>
      <c r="EF144" s="231"/>
      <c r="EG144" s="231"/>
      <c r="EH144" s="231"/>
      <c r="EI144" s="231"/>
      <c r="EJ144" s="231"/>
      <c r="EK144" s="231"/>
      <c r="EL144" s="231"/>
      <c r="EM144" s="231"/>
      <c r="EN144" s="231"/>
      <c r="EO144" s="231"/>
      <c r="EP144" s="231"/>
      <c r="EQ144" s="231"/>
    </row>
    <row r="145" spans="1:147" ht="22.9" hidden="1" customHeight="1" outlineLevel="2" x14ac:dyDescent="0.2">
      <c r="A145" s="146" t="s">
        <v>623</v>
      </c>
      <c r="B145" s="53" t="s">
        <v>60</v>
      </c>
      <c r="C145" s="50" t="s">
        <v>133</v>
      </c>
      <c r="D145" s="165">
        <v>1</v>
      </c>
      <c r="E145" s="158">
        <v>1</v>
      </c>
      <c r="F145" s="52">
        <f>SUM(H145:DY145)*E145*Table1[[#This Row],[Cycles]]</f>
        <v>0</v>
      </c>
      <c r="G145" s="46">
        <f t="shared" si="51"/>
        <v>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219"/>
      <c r="EA145" s="231"/>
      <c r="EB145" s="231"/>
      <c r="EC145" s="231"/>
      <c r="ED145" s="231"/>
      <c r="EE145" s="231"/>
      <c r="EF145" s="231"/>
      <c r="EG145" s="231"/>
      <c r="EH145" s="231"/>
      <c r="EI145" s="231"/>
      <c r="EJ145" s="231"/>
      <c r="EK145" s="231"/>
      <c r="EL145" s="231"/>
      <c r="EM145" s="231"/>
      <c r="EN145" s="231"/>
      <c r="EO145" s="231"/>
      <c r="EP145" s="231"/>
      <c r="EQ145" s="231"/>
    </row>
    <row r="146" spans="1:147" ht="22.9" hidden="1" customHeight="1" outlineLevel="2" x14ac:dyDescent="0.2">
      <c r="A146" s="146" t="s">
        <v>624</v>
      </c>
      <c r="B146" s="53" t="s">
        <v>62</v>
      </c>
      <c r="C146" s="50" t="s">
        <v>133</v>
      </c>
      <c r="D146" s="165">
        <v>1</v>
      </c>
      <c r="E146" s="158">
        <v>1</v>
      </c>
      <c r="F146" s="52">
        <f>SUM(H146:DY146)*E146*Table1[[#This Row],[Cycles]]</f>
        <v>0</v>
      </c>
      <c r="G146" s="46">
        <f t="shared" si="51"/>
        <v>0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219"/>
      <c r="EA146" s="231"/>
      <c r="EB146" s="231"/>
      <c r="EC146" s="231"/>
      <c r="ED146" s="231"/>
      <c r="EE146" s="231"/>
      <c r="EF146" s="231"/>
      <c r="EG146" s="231"/>
      <c r="EH146" s="231"/>
      <c r="EI146" s="231"/>
      <c r="EJ146" s="231"/>
      <c r="EK146" s="231"/>
      <c r="EL146" s="231"/>
      <c r="EM146" s="231"/>
      <c r="EN146" s="231"/>
      <c r="EO146" s="231"/>
      <c r="EP146" s="231"/>
      <c r="EQ146" s="231"/>
    </row>
    <row r="147" spans="1:147" ht="22.9" hidden="1" customHeight="1" outlineLevel="2" x14ac:dyDescent="0.2">
      <c r="A147" s="146" t="s">
        <v>625</v>
      </c>
      <c r="B147" s="53" t="s">
        <v>66</v>
      </c>
      <c r="C147" s="50" t="s">
        <v>133</v>
      </c>
      <c r="D147" s="165">
        <v>1</v>
      </c>
      <c r="E147" s="158">
        <v>1</v>
      </c>
      <c r="F147" s="52">
        <f>SUM(H147:DY147)*E147*Table1[[#This Row],[Cycles]]</f>
        <v>0</v>
      </c>
      <c r="G147" s="46">
        <f t="shared" si="51"/>
        <v>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219"/>
      <c r="EA147" s="231"/>
      <c r="EB147" s="231"/>
      <c r="EC147" s="231"/>
      <c r="ED147" s="231"/>
      <c r="EE147" s="231"/>
      <c r="EF147" s="231"/>
      <c r="EG147" s="231"/>
      <c r="EH147" s="231"/>
      <c r="EI147" s="231"/>
      <c r="EJ147" s="231"/>
      <c r="EK147" s="231"/>
      <c r="EL147" s="231"/>
      <c r="EM147" s="231"/>
      <c r="EN147" s="231"/>
      <c r="EO147" s="231"/>
      <c r="EP147" s="231"/>
      <c r="EQ147" s="231"/>
    </row>
    <row r="148" spans="1:147" ht="22.9" hidden="1" customHeight="1" outlineLevel="2" x14ac:dyDescent="0.2">
      <c r="A148" s="146" t="s">
        <v>626</v>
      </c>
      <c r="B148" s="53" t="s">
        <v>116</v>
      </c>
      <c r="C148" s="50" t="s">
        <v>133</v>
      </c>
      <c r="D148" s="165">
        <v>1</v>
      </c>
      <c r="E148" s="158">
        <v>1</v>
      </c>
      <c r="F148" s="52">
        <f>SUM(H148:DY148)*E148*Table1[[#This Row],[Cycles]]</f>
        <v>0</v>
      </c>
      <c r="G148" s="46">
        <f t="shared" si="51"/>
        <v>0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219"/>
      <c r="EA148" s="231"/>
      <c r="EB148" s="231"/>
      <c r="EC148" s="231"/>
      <c r="ED148" s="231"/>
      <c r="EE148" s="231"/>
      <c r="EF148" s="231"/>
      <c r="EG148" s="231"/>
      <c r="EH148" s="231"/>
      <c r="EI148" s="231"/>
      <c r="EJ148" s="231"/>
      <c r="EK148" s="231"/>
      <c r="EL148" s="231"/>
      <c r="EM148" s="231"/>
      <c r="EN148" s="231"/>
      <c r="EO148" s="231"/>
      <c r="EP148" s="231"/>
      <c r="EQ148" s="231"/>
    </row>
    <row r="149" spans="1:147" ht="22.9" hidden="1" customHeight="1" outlineLevel="2" x14ac:dyDescent="0.2">
      <c r="A149" s="146" t="s">
        <v>627</v>
      </c>
      <c r="B149" s="53" t="s">
        <v>117</v>
      </c>
      <c r="C149" s="50" t="s">
        <v>133</v>
      </c>
      <c r="D149" s="165">
        <v>1</v>
      </c>
      <c r="E149" s="158">
        <v>1</v>
      </c>
      <c r="F149" s="52">
        <f>SUM(H149:DY149)*E149*Table1[[#This Row],[Cycles]]</f>
        <v>0</v>
      </c>
      <c r="G149" s="46">
        <f t="shared" si="51"/>
        <v>0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219"/>
      <c r="EA149" s="231"/>
      <c r="EB149" s="231"/>
      <c r="EC149" s="231"/>
      <c r="ED149" s="231"/>
      <c r="EE149" s="231"/>
      <c r="EF149" s="231"/>
      <c r="EG149" s="231"/>
      <c r="EH149" s="231"/>
      <c r="EI149" s="231"/>
      <c r="EJ149" s="231"/>
      <c r="EK149" s="231"/>
      <c r="EL149" s="231"/>
      <c r="EM149" s="231"/>
      <c r="EN149" s="231"/>
      <c r="EO149" s="231"/>
      <c r="EP149" s="231"/>
      <c r="EQ149" s="231"/>
    </row>
    <row r="150" spans="1:147" ht="22.9" hidden="1" customHeight="1" outlineLevel="2" x14ac:dyDescent="0.2">
      <c r="A150" s="146" t="s">
        <v>628</v>
      </c>
      <c r="B150" s="53" t="s">
        <v>118</v>
      </c>
      <c r="C150" s="50" t="s">
        <v>133</v>
      </c>
      <c r="D150" s="165">
        <v>1</v>
      </c>
      <c r="E150" s="158">
        <v>1</v>
      </c>
      <c r="F150" s="52">
        <f>SUM(H150:DY150)*E150*Table1[[#This Row],[Cycles]]</f>
        <v>0</v>
      </c>
      <c r="G150" s="46">
        <f t="shared" si="51"/>
        <v>0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219"/>
      <c r="EA150" s="231"/>
      <c r="EB150" s="231"/>
      <c r="EC150" s="231"/>
      <c r="ED150" s="231"/>
      <c r="EE150" s="231"/>
      <c r="EF150" s="231"/>
      <c r="EG150" s="231"/>
      <c r="EH150" s="231"/>
      <c r="EI150" s="231"/>
      <c r="EJ150" s="231"/>
      <c r="EK150" s="231"/>
      <c r="EL150" s="231"/>
      <c r="EM150" s="231"/>
      <c r="EN150" s="231"/>
      <c r="EO150" s="231"/>
      <c r="EP150" s="231"/>
      <c r="EQ150" s="231"/>
    </row>
    <row r="151" spans="1:147" ht="22.9" hidden="1" customHeight="1" outlineLevel="2" x14ac:dyDescent="0.2">
      <c r="A151" s="146" t="s">
        <v>629</v>
      </c>
      <c r="B151" s="53" t="s">
        <v>119</v>
      </c>
      <c r="C151" s="50" t="s">
        <v>133</v>
      </c>
      <c r="D151" s="165">
        <v>1</v>
      </c>
      <c r="E151" s="158">
        <v>1</v>
      </c>
      <c r="F151" s="52">
        <f>SUM(H151:DY151)*E151*Table1[[#This Row],[Cycles]]</f>
        <v>0</v>
      </c>
      <c r="G151" s="46">
        <f t="shared" si="51"/>
        <v>0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219"/>
      <c r="EA151" s="231"/>
      <c r="EB151" s="231"/>
      <c r="EC151" s="231"/>
      <c r="ED151" s="231"/>
      <c r="EE151" s="231"/>
      <c r="EF151" s="231"/>
      <c r="EG151" s="231"/>
      <c r="EH151" s="231"/>
      <c r="EI151" s="231"/>
      <c r="EJ151" s="231"/>
      <c r="EK151" s="231"/>
      <c r="EL151" s="231"/>
      <c r="EM151" s="231"/>
      <c r="EN151" s="231"/>
      <c r="EO151" s="231"/>
      <c r="EP151" s="231"/>
      <c r="EQ151" s="231"/>
    </row>
    <row r="152" spans="1:147" ht="22.9" hidden="1" customHeight="1" outlineLevel="2" x14ac:dyDescent="0.2">
      <c r="A152" s="146" t="s">
        <v>630</v>
      </c>
      <c r="B152" s="53" t="s">
        <v>61</v>
      </c>
      <c r="C152" s="50" t="s">
        <v>133</v>
      </c>
      <c r="D152" s="165">
        <v>1</v>
      </c>
      <c r="E152" s="158">
        <v>1</v>
      </c>
      <c r="F152" s="52">
        <f>SUM(H152:DY152)*E152*Table1[[#This Row],[Cycles]]</f>
        <v>0</v>
      </c>
      <c r="G152" s="46">
        <f t="shared" si="51"/>
        <v>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  <c r="DO152" s="47"/>
      <c r="DP152" s="47"/>
      <c r="DQ152" s="47"/>
      <c r="DR152" s="47"/>
      <c r="DS152" s="47"/>
      <c r="DT152" s="47"/>
      <c r="DU152" s="47"/>
      <c r="DV152" s="47"/>
      <c r="DW152" s="47"/>
      <c r="DX152" s="47"/>
      <c r="DY152" s="47"/>
      <c r="DZ152" s="219"/>
      <c r="EA152" s="231"/>
      <c r="EB152" s="231"/>
      <c r="EC152" s="231"/>
      <c r="ED152" s="231"/>
      <c r="EE152" s="231"/>
      <c r="EF152" s="231"/>
      <c r="EG152" s="231"/>
      <c r="EH152" s="231"/>
      <c r="EI152" s="231"/>
      <c r="EJ152" s="231"/>
      <c r="EK152" s="231"/>
      <c r="EL152" s="231"/>
      <c r="EM152" s="231"/>
      <c r="EN152" s="231"/>
      <c r="EO152" s="231"/>
      <c r="EP152" s="231"/>
      <c r="EQ152" s="231"/>
    </row>
    <row r="153" spans="1:147" ht="22.9" hidden="1" customHeight="1" outlineLevel="2" x14ac:dyDescent="0.2">
      <c r="A153" s="146" t="s">
        <v>631</v>
      </c>
      <c r="B153" s="53" t="s">
        <v>65</v>
      </c>
      <c r="C153" s="50" t="s">
        <v>133</v>
      </c>
      <c r="D153" s="165">
        <v>1</v>
      </c>
      <c r="E153" s="158">
        <v>1</v>
      </c>
      <c r="F153" s="52">
        <f>SUM(H153:DY153)*E153*Table1[[#This Row],[Cycles]]</f>
        <v>0</v>
      </c>
      <c r="G153" s="46">
        <f t="shared" ref="G153:G162" si="52">SUMPRODUCT($H$3:$DY$3,$H153:$DY153)*E153*D153</f>
        <v>0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  <c r="DO153" s="47"/>
      <c r="DP153" s="47"/>
      <c r="DQ153" s="47"/>
      <c r="DR153" s="47"/>
      <c r="DS153" s="47"/>
      <c r="DT153" s="47"/>
      <c r="DU153" s="47"/>
      <c r="DV153" s="47"/>
      <c r="DW153" s="47"/>
      <c r="DX153" s="47"/>
      <c r="DY153" s="47"/>
      <c r="DZ153" s="219"/>
      <c r="EA153" s="231"/>
      <c r="EB153" s="231"/>
      <c r="EC153" s="231"/>
      <c r="ED153" s="231"/>
      <c r="EE153" s="231"/>
      <c r="EF153" s="231"/>
      <c r="EG153" s="231"/>
      <c r="EH153" s="231"/>
      <c r="EI153" s="231"/>
      <c r="EJ153" s="231"/>
      <c r="EK153" s="231"/>
      <c r="EL153" s="231"/>
      <c r="EM153" s="231"/>
      <c r="EN153" s="231"/>
      <c r="EO153" s="231"/>
      <c r="EP153" s="231"/>
      <c r="EQ153" s="231"/>
    </row>
    <row r="154" spans="1:147" ht="22.9" hidden="1" customHeight="1" outlineLevel="2" x14ac:dyDescent="0.2">
      <c r="A154" s="146" t="s">
        <v>632</v>
      </c>
      <c r="B154" s="53" t="s">
        <v>67</v>
      </c>
      <c r="C154" s="50" t="s">
        <v>133</v>
      </c>
      <c r="D154" s="165">
        <v>1</v>
      </c>
      <c r="E154" s="158">
        <v>1</v>
      </c>
      <c r="F154" s="52">
        <f>SUM(H154:DY154)*E154*Table1[[#This Row],[Cycles]]</f>
        <v>0</v>
      </c>
      <c r="G154" s="46">
        <f t="shared" si="52"/>
        <v>0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  <c r="DO154" s="47"/>
      <c r="DP154" s="47"/>
      <c r="DQ154" s="47"/>
      <c r="DR154" s="47"/>
      <c r="DS154" s="47"/>
      <c r="DT154" s="47"/>
      <c r="DU154" s="47"/>
      <c r="DV154" s="47"/>
      <c r="DW154" s="47"/>
      <c r="DX154" s="47"/>
      <c r="DY154" s="47"/>
      <c r="DZ154" s="219"/>
      <c r="EA154" s="231"/>
      <c r="EB154" s="231"/>
      <c r="EC154" s="231"/>
      <c r="ED154" s="231"/>
      <c r="EE154" s="231"/>
      <c r="EF154" s="231"/>
      <c r="EG154" s="231"/>
      <c r="EH154" s="231"/>
      <c r="EI154" s="231"/>
      <c r="EJ154" s="231"/>
      <c r="EK154" s="231"/>
      <c r="EL154" s="231"/>
      <c r="EM154" s="231"/>
      <c r="EN154" s="231"/>
      <c r="EO154" s="231"/>
      <c r="EP154" s="231"/>
      <c r="EQ154" s="231"/>
    </row>
    <row r="155" spans="1:147" ht="22.9" hidden="1" customHeight="1" outlineLevel="2" x14ac:dyDescent="0.2">
      <c r="A155" s="146" t="s">
        <v>633</v>
      </c>
      <c r="B155" s="53" t="s">
        <v>68</v>
      </c>
      <c r="C155" s="50" t="s">
        <v>133</v>
      </c>
      <c r="D155" s="165">
        <v>1</v>
      </c>
      <c r="E155" s="158">
        <v>1</v>
      </c>
      <c r="F155" s="52">
        <f>SUM(H155:DY155)*E155*Table1[[#This Row],[Cycles]]</f>
        <v>0</v>
      </c>
      <c r="G155" s="46">
        <f t="shared" si="52"/>
        <v>0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  <c r="DO155" s="47"/>
      <c r="DP155" s="47"/>
      <c r="DQ155" s="47"/>
      <c r="DR155" s="47"/>
      <c r="DS155" s="47"/>
      <c r="DT155" s="47"/>
      <c r="DU155" s="47"/>
      <c r="DV155" s="47"/>
      <c r="DW155" s="47"/>
      <c r="DX155" s="47"/>
      <c r="DY155" s="47"/>
      <c r="DZ155" s="219"/>
      <c r="EA155" s="231"/>
      <c r="EB155" s="231"/>
      <c r="EC155" s="231"/>
      <c r="ED155" s="231"/>
      <c r="EE155" s="231"/>
      <c r="EF155" s="231"/>
      <c r="EG155" s="231"/>
      <c r="EH155" s="231"/>
      <c r="EI155" s="231"/>
      <c r="EJ155" s="231"/>
      <c r="EK155" s="231"/>
      <c r="EL155" s="231"/>
      <c r="EM155" s="231"/>
      <c r="EN155" s="231"/>
      <c r="EO155" s="231"/>
      <c r="EP155" s="231"/>
      <c r="EQ155" s="231"/>
    </row>
    <row r="156" spans="1:147" ht="22.9" hidden="1" customHeight="1" outlineLevel="2" x14ac:dyDescent="0.2">
      <c r="A156" s="146" t="s">
        <v>634</v>
      </c>
      <c r="B156" s="53" t="s">
        <v>120</v>
      </c>
      <c r="C156" s="50" t="s">
        <v>133</v>
      </c>
      <c r="D156" s="165">
        <v>1</v>
      </c>
      <c r="E156" s="158">
        <v>1</v>
      </c>
      <c r="F156" s="52">
        <f>SUM(H156:DY156)*E156*Table1[[#This Row],[Cycles]]</f>
        <v>0</v>
      </c>
      <c r="G156" s="46">
        <f t="shared" si="52"/>
        <v>0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  <c r="DE156" s="47"/>
      <c r="DF156" s="47"/>
      <c r="DG156" s="47"/>
      <c r="DH156" s="47"/>
      <c r="DI156" s="47"/>
      <c r="DJ156" s="47"/>
      <c r="DK156" s="47"/>
      <c r="DL156" s="47"/>
      <c r="DM156" s="47"/>
      <c r="DN156" s="47"/>
      <c r="DO156" s="47"/>
      <c r="DP156" s="47"/>
      <c r="DQ156" s="47"/>
      <c r="DR156" s="47"/>
      <c r="DS156" s="47"/>
      <c r="DT156" s="47"/>
      <c r="DU156" s="47"/>
      <c r="DV156" s="47"/>
      <c r="DW156" s="47"/>
      <c r="DX156" s="47"/>
      <c r="DY156" s="47"/>
      <c r="DZ156" s="219"/>
      <c r="EA156" s="231"/>
      <c r="EB156" s="231"/>
      <c r="EC156" s="231"/>
      <c r="ED156" s="231"/>
      <c r="EE156" s="231"/>
      <c r="EF156" s="231"/>
      <c r="EG156" s="231"/>
      <c r="EH156" s="231"/>
      <c r="EI156" s="231"/>
      <c r="EJ156" s="231"/>
      <c r="EK156" s="231"/>
      <c r="EL156" s="231"/>
      <c r="EM156" s="231"/>
      <c r="EN156" s="231"/>
      <c r="EO156" s="231"/>
      <c r="EP156" s="231"/>
      <c r="EQ156" s="231"/>
    </row>
    <row r="157" spans="1:147" ht="22.9" hidden="1" customHeight="1" outlineLevel="2" x14ac:dyDescent="0.2">
      <c r="A157" s="146" t="s">
        <v>635</v>
      </c>
      <c r="B157" s="53" t="s">
        <v>214</v>
      </c>
      <c r="C157" s="50" t="s">
        <v>133</v>
      </c>
      <c r="D157" s="165">
        <v>1</v>
      </c>
      <c r="E157" s="158">
        <v>1</v>
      </c>
      <c r="F157" s="52">
        <f>SUM(H157:DY157)*E157*Table1[[#This Row],[Cycles]]</f>
        <v>0</v>
      </c>
      <c r="G157" s="46">
        <f t="shared" si="52"/>
        <v>0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  <c r="DE157" s="47"/>
      <c r="DF157" s="47"/>
      <c r="DG157" s="47"/>
      <c r="DH157" s="47"/>
      <c r="DI157" s="47"/>
      <c r="DJ157" s="47"/>
      <c r="DK157" s="47"/>
      <c r="DL157" s="47"/>
      <c r="DM157" s="47"/>
      <c r="DN157" s="47"/>
      <c r="DO157" s="47"/>
      <c r="DP157" s="47"/>
      <c r="DQ157" s="47"/>
      <c r="DR157" s="47"/>
      <c r="DS157" s="47"/>
      <c r="DT157" s="47"/>
      <c r="DU157" s="47"/>
      <c r="DV157" s="47"/>
      <c r="DW157" s="47"/>
      <c r="DX157" s="47"/>
      <c r="DY157" s="47"/>
      <c r="DZ157" s="219"/>
      <c r="EA157" s="231"/>
      <c r="EB157" s="231"/>
      <c r="EC157" s="231"/>
      <c r="ED157" s="231"/>
      <c r="EE157" s="231"/>
      <c r="EF157" s="231"/>
      <c r="EG157" s="231"/>
      <c r="EH157" s="231"/>
      <c r="EI157" s="231"/>
      <c r="EJ157" s="231"/>
      <c r="EK157" s="231"/>
      <c r="EL157" s="231"/>
      <c r="EM157" s="231"/>
      <c r="EN157" s="231"/>
      <c r="EO157" s="231"/>
      <c r="EP157" s="231"/>
      <c r="EQ157" s="231"/>
    </row>
    <row r="158" spans="1:147" ht="22.9" hidden="1" customHeight="1" outlineLevel="2" x14ac:dyDescent="0.2">
      <c r="A158" s="146" t="s">
        <v>636</v>
      </c>
      <c r="B158" s="53" t="s">
        <v>69</v>
      </c>
      <c r="C158" s="50" t="s">
        <v>133</v>
      </c>
      <c r="D158" s="165">
        <v>1</v>
      </c>
      <c r="E158" s="158">
        <v>1</v>
      </c>
      <c r="F158" s="52">
        <f>SUM(H158:DY158)*E158*Table1[[#This Row],[Cycles]]</f>
        <v>0</v>
      </c>
      <c r="G158" s="46">
        <f t="shared" si="52"/>
        <v>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219"/>
      <c r="EA158" s="231"/>
      <c r="EB158" s="231"/>
      <c r="EC158" s="231"/>
      <c r="ED158" s="231"/>
      <c r="EE158" s="231"/>
      <c r="EF158" s="231"/>
      <c r="EG158" s="231"/>
      <c r="EH158" s="231"/>
      <c r="EI158" s="231"/>
      <c r="EJ158" s="231"/>
      <c r="EK158" s="231"/>
      <c r="EL158" s="231"/>
      <c r="EM158" s="231"/>
      <c r="EN158" s="231"/>
      <c r="EO158" s="231"/>
      <c r="EP158" s="231"/>
      <c r="EQ158" s="231"/>
    </row>
    <row r="159" spans="1:147" ht="22.9" hidden="1" customHeight="1" outlineLevel="2" x14ac:dyDescent="0.2">
      <c r="A159" s="146" t="s">
        <v>637</v>
      </c>
      <c r="B159" s="53" t="s">
        <v>215</v>
      </c>
      <c r="C159" s="50" t="s">
        <v>133</v>
      </c>
      <c r="D159" s="165">
        <v>1</v>
      </c>
      <c r="E159" s="158">
        <v>1</v>
      </c>
      <c r="F159" s="52">
        <f>SUM(H159:DY159)*E159*Table1[[#This Row],[Cycles]]</f>
        <v>0</v>
      </c>
      <c r="G159" s="46">
        <f t="shared" si="52"/>
        <v>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  <c r="DE159" s="47"/>
      <c r="DF159" s="47"/>
      <c r="DG159" s="47"/>
      <c r="DH159" s="47"/>
      <c r="DI159" s="47"/>
      <c r="DJ159" s="47"/>
      <c r="DK159" s="47"/>
      <c r="DL159" s="47"/>
      <c r="DM159" s="47"/>
      <c r="DN159" s="47"/>
      <c r="DO159" s="47"/>
      <c r="DP159" s="47"/>
      <c r="DQ159" s="47"/>
      <c r="DR159" s="47"/>
      <c r="DS159" s="47"/>
      <c r="DT159" s="47"/>
      <c r="DU159" s="47"/>
      <c r="DV159" s="47"/>
      <c r="DW159" s="47"/>
      <c r="DX159" s="47"/>
      <c r="DY159" s="47"/>
      <c r="DZ159" s="219"/>
      <c r="EA159" s="231"/>
      <c r="EB159" s="231"/>
      <c r="EC159" s="231"/>
      <c r="ED159" s="231"/>
      <c r="EE159" s="231"/>
      <c r="EF159" s="231"/>
      <c r="EG159" s="231"/>
      <c r="EH159" s="231"/>
      <c r="EI159" s="231"/>
      <c r="EJ159" s="231"/>
      <c r="EK159" s="231"/>
      <c r="EL159" s="231"/>
      <c r="EM159" s="231"/>
      <c r="EN159" s="231"/>
      <c r="EO159" s="231"/>
      <c r="EP159" s="231"/>
      <c r="EQ159" s="231"/>
    </row>
    <row r="160" spans="1:147" ht="22.9" hidden="1" customHeight="1" outlineLevel="2" x14ac:dyDescent="0.2">
      <c r="A160" s="146" t="s">
        <v>638</v>
      </c>
      <c r="B160" s="53" t="s">
        <v>121</v>
      </c>
      <c r="C160" s="50" t="s">
        <v>133</v>
      </c>
      <c r="D160" s="165">
        <v>1</v>
      </c>
      <c r="E160" s="158">
        <v>1</v>
      </c>
      <c r="F160" s="52">
        <f>SUM(H160:DY160)*E160*Table1[[#This Row],[Cycles]]</f>
        <v>0</v>
      </c>
      <c r="G160" s="46">
        <f t="shared" si="52"/>
        <v>0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  <c r="DE160" s="47"/>
      <c r="DF160" s="47"/>
      <c r="DG160" s="47"/>
      <c r="DH160" s="47"/>
      <c r="DI160" s="47"/>
      <c r="DJ160" s="47"/>
      <c r="DK160" s="47"/>
      <c r="DL160" s="47"/>
      <c r="DM160" s="47"/>
      <c r="DN160" s="47"/>
      <c r="DO160" s="47"/>
      <c r="DP160" s="47"/>
      <c r="DQ160" s="47"/>
      <c r="DR160" s="47"/>
      <c r="DS160" s="47"/>
      <c r="DT160" s="47"/>
      <c r="DU160" s="47"/>
      <c r="DV160" s="47"/>
      <c r="DW160" s="47"/>
      <c r="DX160" s="47"/>
      <c r="DY160" s="47"/>
      <c r="DZ160" s="219"/>
      <c r="EA160" s="231"/>
      <c r="EB160" s="231"/>
      <c r="EC160" s="231"/>
      <c r="ED160" s="231"/>
      <c r="EE160" s="231"/>
      <c r="EF160" s="231"/>
      <c r="EG160" s="231"/>
      <c r="EH160" s="231"/>
      <c r="EI160" s="231"/>
      <c r="EJ160" s="231"/>
      <c r="EK160" s="231"/>
      <c r="EL160" s="231"/>
      <c r="EM160" s="231"/>
      <c r="EN160" s="231"/>
      <c r="EO160" s="231"/>
      <c r="EP160" s="231"/>
      <c r="EQ160" s="231"/>
    </row>
    <row r="161" spans="1:147" ht="22.9" hidden="1" customHeight="1" outlineLevel="2" x14ac:dyDescent="0.2">
      <c r="A161" s="146" t="s">
        <v>639</v>
      </c>
      <c r="B161" s="53" t="s">
        <v>145</v>
      </c>
      <c r="C161" s="50" t="s">
        <v>133</v>
      </c>
      <c r="D161" s="165">
        <v>1</v>
      </c>
      <c r="E161" s="158">
        <v>1</v>
      </c>
      <c r="F161" s="52">
        <f>SUM(H161:DY161)*E161*Table1[[#This Row],[Cycles]]</f>
        <v>0</v>
      </c>
      <c r="G161" s="46">
        <f t="shared" si="52"/>
        <v>0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  <c r="DE161" s="47"/>
      <c r="DF161" s="47"/>
      <c r="DG161" s="47"/>
      <c r="DH161" s="47"/>
      <c r="DI161" s="47"/>
      <c r="DJ161" s="47"/>
      <c r="DK161" s="47"/>
      <c r="DL161" s="47"/>
      <c r="DM161" s="47"/>
      <c r="DN161" s="47"/>
      <c r="DO161" s="47"/>
      <c r="DP161" s="47"/>
      <c r="DQ161" s="47"/>
      <c r="DR161" s="47"/>
      <c r="DS161" s="47"/>
      <c r="DT161" s="47"/>
      <c r="DU161" s="47"/>
      <c r="DV161" s="47"/>
      <c r="DW161" s="47"/>
      <c r="DX161" s="47"/>
      <c r="DY161" s="47"/>
      <c r="DZ161" s="219"/>
      <c r="EA161" s="231"/>
      <c r="EB161" s="231"/>
      <c r="EC161" s="231"/>
      <c r="ED161" s="231"/>
      <c r="EE161" s="231"/>
      <c r="EF161" s="231"/>
      <c r="EG161" s="231"/>
      <c r="EH161" s="231"/>
      <c r="EI161" s="231"/>
      <c r="EJ161" s="231"/>
      <c r="EK161" s="231"/>
      <c r="EL161" s="231"/>
      <c r="EM161" s="231"/>
      <c r="EN161" s="231"/>
      <c r="EO161" s="231"/>
      <c r="EP161" s="231"/>
      <c r="EQ161" s="231"/>
    </row>
    <row r="162" spans="1:147" ht="22.9" hidden="1" customHeight="1" outlineLevel="2" x14ac:dyDescent="0.2">
      <c r="A162" s="146" t="s">
        <v>640</v>
      </c>
      <c r="B162" s="53" t="s">
        <v>443</v>
      </c>
      <c r="C162" s="50" t="s">
        <v>133</v>
      </c>
      <c r="D162" s="165">
        <v>1</v>
      </c>
      <c r="E162" s="158">
        <v>1</v>
      </c>
      <c r="F162" s="52">
        <f>SUM(H162:DY162)*E162*Table1[[#This Row],[Cycles]]</f>
        <v>0</v>
      </c>
      <c r="G162" s="46">
        <f t="shared" si="52"/>
        <v>0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7"/>
      <c r="BA162" s="47"/>
      <c r="BB162" s="47"/>
      <c r="BC162" s="47"/>
      <c r="BD162" s="47"/>
      <c r="BE162" s="47"/>
      <c r="BF162" s="47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  <c r="BS162" s="47"/>
      <c r="BT162" s="47"/>
      <c r="BU162" s="47"/>
      <c r="BV162" s="47"/>
      <c r="BW162" s="47"/>
      <c r="BX162" s="47"/>
      <c r="BY162" s="47"/>
      <c r="BZ162" s="47"/>
      <c r="CA162" s="47"/>
      <c r="CB162" s="47"/>
      <c r="CC162" s="47"/>
      <c r="CD162" s="47"/>
      <c r="CE162" s="47"/>
      <c r="CF162" s="47"/>
      <c r="CG162" s="47"/>
      <c r="CH162" s="47"/>
      <c r="CI162" s="47"/>
      <c r="CJ162" s="47"/>
      <c r="CK162" s="47"/>
      <c r="CL162" s="47"/>
      <c r="CM162" s="47"/>
      <c r="CN162" s="47"/>
      <c r="CO162" s="47"/>
      <c r="CP162" s="47"/>
      <c r="CQ162" s="47"/>
      <c r="CR162" s="47"/>
      <c r="CS162" s="47"/>
      <c r="CT162" s="47"/>
      <c r="CU162" s="47"/>
      <c r="CV162" s="47"/>
      <c r="CW162" s="47"/>
      <c r="CX162" s="47"/>
      <c r="CY162" s="47"/>
      <c r="CZ162" s="47"/>
      <c r="DA162" s="47"/>
      <c r="DB162" s="47"/>
      <c r="DC162" s="47"/>
      <c r="DD162" s="47"/>
      <c r="DE162" s="47"/>
      <c r="DF162" s="47"/>
      <c r="DG162" s="47"/>
      <c r="DH162" s="47"/>
      <c r="DI162" s="47"/>
      <c r="DJ162" s="47"/>
      <c r="DK162" s="47"/>
      <c r="DL162" s="47"/>
      <c r="DM162" s="47"/>
      <c r="DN162" s="47"/>
      <c r="DO162" s="47"/>
      <c r="DP162" s="47"/>
      <c r="DQ162" s="47"/>
      <c r="DR162" s="47"/>
      <c r="DS162" s="47"/>
      <c r="DT162" s="47"/>
      <c r="DU162" s="47"/>
      <c r="DV162" s="47"/>
      <c r="DW162" s="47"/>
      <c r="DX162" s="47"/>
      <c r="DY162" s="47"/>
      <c r="DZ162" s="219"/>
      <c r="EA162" s="231"/>
      <c r="EB162" s="231"/>
      <c r="EC162" s="231"/>
      <c r="ED162" s="231"/>
      <c r="EE162" s="231"/>
      <c r="EF162" s="231"/>
      <c r="EG162" s="231"/>
      <c r="EH162" s="231"/>
      <c r="EI162" s="231"/>
      <c r="EJ162" s="231"/>
      <c r="EK162" s="231"/>
      <c r="EL162" s="231"/>
      <c r="EM162" s="231"/>
      <c r="EN162" s="231"/>
      <c r="EO162" s="231"/>
      <c r="EP162" s="231"/>
      <c r="EQ162" s="231"/>
    </row>
    <row r="163" spans="1:147" s="40" customFormat="1" ht="22.9" customHeight="1" outlineLevel="1" collapsed="1" x14ac:dyDescent="0.2">
      <c r="A163" s="149" t="s">
        <v>641</v>
      </c>
      <c r="B163" s="34" t="s">
        <v>437</v>
      </c>
      <c r="C163" s="30" t="s">
        <v>100</v>
      </c>
      <c r="D163" s="164"/>
      <c r="E163" s="164"/>
      <c r="F163" s="45">
        <f>SUM(F164:F195)</f>
        <v>0</v>
      </c>
      <c r="G163" s="45">
        <f>SUM(G164:G195)</f>
        <v>0</v>
      </c>
      <c r="H163" s="45">
        <f>SUMPRODUCT($D$164:$D$195,$E$164:$E$195,H164:H195)</f>
        <v>0</v>
      </c>
      <c r="I163" s="45">
        <f t="shared" ref="I163:BT163" si="53">SUMPRODUCT($D$164:$D$195,$E$164:$E$195,I164:I195)</f>
        <v>0</v>
      </c>
      <c r="J163" s="45">
        <f t="shared" si="53"/>
        <v>0</v>
      </c>
      <c r="K163" s="45">
        <f t="shared" si="53"/>
        <v>0</v>
      </c>
      <c r="L163" s="45">
        <f>SUMPRODUCT($D$164:$D$195,$E$164:$E$195,L164:L195)</f>
        <v>0</v>
      </c>
      <c r="M163" s="45">
        <f t="shared" si="53"/>
        <v>0</v>
      </c>
      <c r="N163" s="45">
        <f t="shared" si="53"/>
        <v>0</v>
      </c>
      <c r="O163" s="45">
        <f t="shared" si="53"/>
        <v>0</v>
      </c>
      <c r="P163" s="45">
        <f t="shared" si="53"/>
        <v>0</v>
      </c>
      <c r="Q163" s="45">
        <f t="shared" si="53"/>
        <v>0</v>
      </c>
      <c r="R163" s="45">
        <f t="shared" si="53"/>
        <v>0</v>
      </c>
      <c r="S163" s="45">
        <f t="shared" si="53"/>
        <v>0</v>
      </c>
      <c r="T163" s="45">
        <f t="shared" si="53"/>
        <v>0</v>
      </c>
      <c r="U163" s="45">
        <f t="shared" si="53"/>
        <v>0</v>
      </c>
      <c r="V163" s="45">
        <f t="shared" si="53"/>
        <v>0</v>
      </c>
      <c r="W163" s="45">
        <f t="shared" si="53"/>
        <v>0</v>
      </c>
      <c r="X163" s="45">
        <f t="shared" si="53"/>
        <v>0</v>
      </c>
      <c r="Y163" s="45">
        <f t="shared" si="53"/>
        <v>0</v>
      </c>
      <c r="Z163" s="45">
        <f t="shared" si="53"/>
        <v>0</v>
      </c>
      <c r="AA163" s="45">
        <f t="shared" si="53"/>
        <v>0</v>
      </c>
      <c r="AB163" s="45">
        <f t="shared" si="53"/>
        <v>0</v>
      </c>
      <c r="AC163" s="45">
        <f t="shared" si="53"/>
        <v>0</v>
      </c>
      <c r="AD163" s="45">
        <f t="shared" si="53"/>
        <v>0</v>
      </c>
      <c r="AE163" s="45">
        <f t="shared" si="53"/>
        <v>0</v>
      </c>
      <c r="AF163" s="45">
        <f t="shared" si="53"/>
        <v>0</v>
      </c>
      <c r="AG163" s="45">
        <f t="shared" si="53"/>
        <v>0</v>
      </c>
      <c r="AH163" s="45">
        <f t="shared" si="53"/>
        <v>0</v>
      </c>
      <c r="AI163" s="45">
        <f t="shared" si="53"/>
        <v>0</v>
      </c>
      <c r="AJ163" s="45">
        <f t="shared" si="53"/>
        <v>0</v>
      </c>
      <c r="AK163" s="45">
        <f t="shared" si="53"/>
        <v>0</v>
      </c>
      <c r="AL163" s="45">
        <f t="shared" si="53"/>
        <v>0</v>
      </c>
      <c r="AM163" s="45">
        <f t="shared" si="53"/>
        <v>0</v>
      </c>
      <c r="AN163" s="45">
        <f t="shared" si="53"/>
        <v>0</v>
      </c>
      <c r="AO163" s="45">
        <f t="shared" si="53"/>
        <v>0</v>
      </c>
      <c r="AP163" s="45">
        <f t="shared" si="53"/>
        <v>0</v>
      </c>
      <c r="AQ163" s="45">
        <f t="shared" si="53"/>
        <v>0</v>
      </c>
      <c r="AR163" s="45">
        <f t="shared" si="53"/>
        <v>0</v>
      </c>
      <c r="AS163" s="45">
        <f t="shared" si="53"/>
        <v>0</v>
      </c>
      <c r="AT163" s="45">
        <f t="shared" si="53"/>
        <v>0</v>
      </c>
      <c r="AU163" s="45">
        <f t="shared" si="53"/>
        <v>0</v>
      </c>
      <c r="AV163" s="45">
        <f t="shared" si="53"/>
        <v>0</v>
      </c>
      <c r="AW163" s="45">
        <f t="shared" si="53"/>
        <v>0</v>
      </c>
      <c r="AX163" s="45">
        <f t="shared" si="53"/>
        <v>0</v>
      </c>
      <c r="AY163" s="45">
        <f t="shared" si="53"/>
        <v>0</v>
      </c>
      <c r="AZ163" s="45">
        <f t="shared" si="53"/>
        <v>0</v>
      </c>
      <c r="BA163" s="45">
        <f t="shared" si="53"/>
        <v>0</v>
      </c>
      <c r="BB163" s="45">
        <f t="shared" si="53"/>
        <v>0</v>
      </c>
      <c r="BC163" s="45">
        <f t="shared" si="53"/>
        <v>0</v>
      </c>
      <c r="BD163" s="45">
        <f t="shared" si="53"/>
        <v>0</v>
      </c>
      <c r="BE163" s="45">
        <f t="shared" si="53"/>
        <v>0</v>
      </c>
      <c r="BF163" s="45">
        <f t="shared" si="53"/>
        <v>0</v>
      </c>
      <c r="BG163" s="45">
        <f t="shared" si="53"/>
        <v>0</v>
      </c>
      <c r="BH163" s="45">
        <f t="shared" si="53"/>
        <v>0</v>
      </c>
      <c r="BI163" s="45">
        <f t="shared" si="53"/>
        <v>0</v>
      </c>
      <c r="BJ163" s="45">
        <f t="shared" si="53"/>
        <v>0</v>
      </c>
      <c r="BK163" s="45">
        <f t="shared" si="53"/>
        <v>0</v>
      </c>
      <c r="BL163" s="45">
        <f t="shared" si="53"/>
        <v>0</v>
      </c>
      <c r="BM163" s="45">
        <f t="shared" si="53"/>
        <v>0</v>
      </c>
      <c r="BN163" s="45">
        <f t="shared" si="53"/>
        <v>0</v>
      </c>
      <c r="BO163" s="45">
        <f t="shared" si="53"/>
        <v>0</v>
      </c>
      <c r="BP163" s="45">
        <f t="shared" si="53"/>
        <v>0</v>
      </c>
      <c r="BQ163" s="45">
        <f t="shared" si="53"/>
        <v>0</v>
      </c>
      <c r="BR163" s="45">
        <f t="shared" si="53"/>
        <v>0</v>
      </c>
      <c r="BS163" s="45">
        <f t="shared" si="53"/>
        <v>0</v>
      </c>
      <c r="BT163" s="45">
        <f t="shared" si="53"/>
        <v>0</v>
      </c>
      <c r="BU163" s="45">
        <f t="shared" ref="BU163:DY163" si="54">SUMPRODUCT($D$164:$D$195,$E$164:$E$195,BU164:BU195)</f>
        <v>0</v>
      </c>
      <c r="BV163" s="45">
        <f t="shared" si="54"/>
        <v>0</v>
      </c>
      <c r="BW163" s="45">
        <f t="shared" si="54"/>
        <v>0</v>
      </c>
      <c r="BX163" s="45">
        <f t="shared" si="54"/>
        <v>0</v>
      </c>
      <c r="BY163" s="45">
        <f t="shared" si="54"/>
        <v>0</v>
      </c>
      <c r="BZ163" s="45">
        <f t="shared" si="54"/>
        <v>0</v>
      </c>
      <c r="CA163" s="45">
        <f t="shared" si="54"/>
        <v>0</v>
      </c>
      <c r="CB163" s="45">
        <f t="shared" si="54"/>
        <v>0</v>
      </c>
      <c r="CC163" s="45">
        <f t="shared" si="54"/>
        <v>0</v>
      </c>
      <c r="CD163" s="45">
        <f t="shared" si="54"/>
        <v>0</v>
      </c>
      <c r="CE163" s="45">
        <f t="shared" si="54"/>
        <v>0</v>
      </c>
      <c r="CF163" s="45">
        <f t="shared" si="54"/>
        <v>0</v>
      </c>
      <c r="CG163" s="45">
        <f t="shared" si="54"/>
        <v>0</v>
      </c>
      <c r="CH163" s="45">
        <f t="shared" si="54"/>
        <v>0</v>
      </c>
      <c r="CI163" s="45">
        <f t="shared" si="54"/>
        <v>0</v>
      </c>
      <c r="CJ163" s="45">
        <f t="shared" si="54"/>
        <v>0</v>
      </c>
      <c r="CK163" s="45">
        <f t="shared" si="54"/>
        <v>0</v>
      </c>
      <c r="CL163" s="45">
        <f t="shared" si="54"/>
        <v>0</v>
      </c>
      <c r="CM163" s="45">
        <f t="shared" si="54"/>
        <v>0</v>
      </c>
      <c r="CN163" s="45">
        <f t="shared" si="54"/>
        <v>0</v>
      </c>
      <c r="CO163" s="45">
        <f t="shared" si="54"/>
        <v>0</v>
      </c>
      <c r="CP163" s="45">
        <f t="shared" si="54"/>
        <v>0</v>
      </c>
      <c r="CQ163" s="45">
        <f t="shared" si="54"/>
        <v>0</v>
      </c>
      <c r="CR163" s="45">
        <f t="shared" si="54"/>
        <v>0</v>
      </c>
      <c r="CS163" s="45">
        <f t="shared" si="54"/>
        <v>0</v>
      </c>
      <c r="CT163" s="45">
        <f t="shared" si="54"/>
        <v>0</v>
      </c>
      <c r="CU163" s="45">
        <f t="shared" si="54"/>
        <v>0</v>
      </c>
      <c r="CV163" s="45">
        <f t="shared" si="54"/>
        <v>0</v>
      </c>
      <c r="CW163" s="45">
        <f t="shared" si="54"/>
        <v>0</v>
      </c>
      <c r="CX163" s="45">
        <f t="shared" si="54"/>
        <v>0</v>
      </c>
      <c r="CY163" s="45">
        <f t="shared" si="54"/>
        <v>0</v>
      </c>
      <c r="CZ163" s="45">
        <f t="shared" si="54"/>
        <v>0</v>
      </c>
      <c r="DA163" s="45">
        <f t="shared" si="54"/>
        <v>0</v>
      </c>
      <c r="DB163" s="45">
        <f t="shared" si="54"/>
        <v>0</v>
      </c>
      <c r="DC163" s="45">
        <f t="shared" si="54"/>
        <v>0</v>
      </c>
      <c r="DD163" s="45">
        <f t="shared" si="54"/>
        <v>0</v>
      </c>
      <c r="DE163" s="45">
        <f t="shared" si="54"/>
        <v>0</v>
      </c>
      <c r="DF163" s="45">
        <f t="shared" si="54"/>
        <v>0</v>
      </c>
      <c r="DG163" s="45">
        <f t="shared" si="54"/>
        <v>0</v>
      </c>
      <c r="DH163" s="45">
        <f t="shared" si="54"/>
        <v>0</v>
      </c>
      <c r="DI163" s="45">
        <f t="shared" si="54"/>
        <v>0</v>
      </c>
      <c r="DJ163" s="45">
        <f t="shared" si="54"/>
        <v>0</v>
      </c>
      <c r="DK163" s="45">
        <f t="shared" si="54"/>
        <v>0</v>
      </c>
      <c r="DL163" s="45">
        <f t="shared" si="54"/>
        <v>0</v>
      </c>
      <c r="DM163" s="45">
        <f t="shared" si="54"/>
        <v>0</v>
      </c>
      <c r="DN163" s="45">
        <f t="shared" si="54"/>
        <v>0</v>
      </c>
      <c r="DO163" s="45">
        <f t="shared" si="54"/>
        <v>0</v>
      </c>
      <c r="DP163" s="45">
        <f t="shared" si="54"/>
        <v>0</v>
      </c>
      <c r="DQ163" s="45">
        <f t="shared" si="54"/>
        <v>0</v>
      </c>
      <c r="DR163" s="45">
        <f t="shared" si="54"/>
        <v>0</v>
      </c>
      <c r="DS163" s="45">
        <f t="shared" si="54"/>
        <v>0</v>
      </c>
      <c r="DT163" s="45">
        <f t="shared" si="54"/>
        <v>0</v>
      </c>
      <c r="DU163" s="45">
        <f t="shared" si="54"/>
        <v>0</v>
      </c>
      <c r="DV163" s="45">
        <f t="shared" si="54"/>
        <v>0</v>
      </c>
      <c r="DW163" s="45">
        <f t="shared" si="54"/>
        <v>0</v>
      </c>
      <c r="DX163" s="45">
        <f t="shared" si="54"/>
        <v>0</v>
      </c>
      <c r="DY163" s="45">
        <f t="shared" si="54"/>
        <v>0</v>
      </c>
      <c r="DZ163" s="218"/>
      <c r="EA163" s="231"/>
      <c r="EB163" s="231"/>
      <c r="EC163" s="231"/>
      <c r="ED163" s="231"/>
      <c r="EE163" s="231"/>
      <c r="EF163" s="231"/>
      <c r="EG163" s="231"/>
      <c r="EH163" s="231"/>
      <c r="EI163" s="231"/>
      <c r="EJ163" s="231"/>
      <c r="EK163" s="231"/>
      <c r="EL163" s="231"/>
      <c r="EM163" s="231"/>
      <c r="EN163" s="231"/>
      <c r="EO163" s="231"/>
      <c r="EP163" s="231"/>
      <c r="EQ163" s="231"/>
    </row>
    <row r="164" spans="1:147" ht="22.9" hidden="1" customHeight="1" outlineLevel="2" x14ac:dyDescent="0.2">
      <c r="A164" s="146" t="s">
        <v>642</v>
      </c>
      <c r="B164" s="53" t="s">
        <v>70</v>
      </c>
      <c r="C164" s="50" t="s">
        <v>133</v>
      </c>
      <c r="D164" s="165">
        <v>1</v>
      </c>
      <c r="E164" s="158">
        <v>1</v>
      </c>
      <c r="F164" s="52">
        <f>SUM(H164:DY164)*E164*Table1[[#This Row],[Cycles]]</f>
        <v>0</v>
      </c>
      <c r="G164" s="46">
        <f>SUMPRODUCT($H$3:$DY$3,$H164:$DY164)*E164*D164</f>
        <v>0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  <c r="DE164" s="47"/>
      <c r="DF164" s="47"/>
      <c r="DG164" s="47"/>
      <c r="DH164" s="47"/>
      <c r="DI164" s="47"/>
      <c r="DJ164" s="47"/>
      <c r="DK164" s="47"/>
      <c r="DL164" s="47"/>
      <c r="DM164" s="47"/>
      <c r="DN164" s="47"/>
      <c r="DO164" s="47"/>
      <c r="DP164" s="47"/>
      <c r="DQ164" s="47"/>
      <c r="DR164" s="47"/>
      <c r="DS164" s="47"/>
      <c r="DT164" s="47"/>
      <c r="DU164" s="47"/>
      <c r="DV164" s="47"/>
      <c r="DW164" s="47"/>
      <c r="DX164" s="47"/>
      <c r="DY164" s="47"/>
      <c r="DZ164" s="219"/>
      <c r="EA164" s="231"/>
      <c r="EB164" s="231"/>
      <c r="EC164" s="231"/>
      <c r="ED164" s="231"/>
      <c r="EE164" s="231"/>
      <c r="EF164" s="231"/>
      <c r="EG164" s="231"/>
      <c r="EH164" s="231"/>
      <c r="EI164" s="231"/>
      <c r="EJ164" s="231"/>
      <c r="EK164" s="231"/>
      <c r="EL164" s="231"/>
      <c r="EM164" s="231"/>
      <c r="EN164" s="231"/>
      <c r="EO164" s="231"/>
      <c r="EP164" s="231"/>
      <c r="EQ164" s="231"/>
    </row>
    <row r="165" spans="1:147" ht="22.9" hidden="1" customHeight="1" outlineLevel="2" x14ac:dyDescent="0.2">
      <c r="A165" s="146" t="s">
        <v>643</v>
      </c>
      <c r="B165" s="53" t="s">
        <v>71</v>
      </c>
      <c r="C165" s="50" t="s">
        <v>133</v>
      </c>
      <c r="D165" s="165">
        <v>1</v>
      </c>
      <c r="E165" s="158">
        <v>1</v>
      </c>
      <c r="F165" s="52">
        <f>SUM(H165:DY165)*E165*Table1[[#This Row],[Cycles]]</f>
        <v>0</v>
      </c>
      <c r="G165" s="46">
        <f t="shared" ref="G165:G182" si="55">SUMPRODUCT($H$3:$DY$3,$H165:$DY165)*E165*D165</f>
        <v>0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  <c r="DE165" s="47"/>
      <c r="DF165" s="47"/>
      <c r="DG165" s="47"/>
      <c r="DH165" s="47"/>
      <c r="DI165" s="47"/>
      <c r="DJ165" s="47"/>
      <c r="DK165" s="47"/>
      <c r="DL165" s="47"/>
      <c r="DM165" s="47"/>
      <c r="DN165" s="47"/>
      <c r="DO165" s="47"/>
      <c r="DP165" s="47"/>
      <c r="DQ165" s="47"/>
      <c r="DR165" s="47"/>
      <c r="DS165" s="47"/>
      <c r="DT165" s="47"/>
      <c r="DU165" s="47"/>
      <c r="DV165" s="47"/>
      <c r="DW165" s="47"/>
      <c r="DX165" s="47"/>
      <c r="DY165" s="47"/>
      <c r="DZ165" s="219"/>
      <c r="EA165" s="231"/>
      <c r="EB165" s="231"/>
      <c r="EC165" s="231"/>
      <c r="ED165" s="231"/>
      <c r="EE165" s="231"/>
      <c r="EF165" s="231"/>
      <c r="EG165" s="231"/>
      <c r="EH165" s="231"/>
      <c r="EI165" s="231"/>
      <c r="EJ165" s="231"/>
      <c r="EK165" s="231"/>
      <c r="EL165" s="231"/>
      <c r="EM165" s="231"/>
      <c r="EN165" s="231"/>
      <c r="EO165" s="231"/>
      <c r="EP165" s="231"/>
      <c r="EQ165" s="231"/>
    </row>
    <row r="166" spans="1:147" ht="22.9" hidden="1" customHeight="1" outlineLevel="2" x14ac:dyDescent="0.2">
      <c r="A166" s="146" t="s">
        <v>644</v>
      </c>
      <c r="B166" s="53" t="s">
        <v>72</v>
      </c>
      <c r="C166" s="50" t="s">
        <v>133</v>
      </c>
      <c r="D166" s="165">
        <v>1</v>
      </c>
      <c r="E166" s="158">
        <v>1</v>
      </c>
      <c r="F166" s="52">
        <f>SUM(H166:DY166)*E166*Table1[[#This Row],[Cycles]]</f>
        <v>0</v>
      </c>
      <c r="G166" s="46">
        <f t="shared" si="55"/>
        <v>0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  <c r="BS166" s="47"/>
      <c r="BT166" s="47"/>
      <c r="BU166" s="47"/>
      <c r="BV166" s="47"/>
      <c r="BW166" s="47"/>
      <c r="BX166" s="47"/>
      <c r="BY166" s="47"/>
      <c r="BZ166" s="47"/>
      <c r="CA166" s="47"/>
      <c r="CB166" s="47"/>
      <c r="CC166" s="47"/>
      <c r="CD166" s="47"/>
      <c r="CE166" s="47"/>
      <c r="CF166" s="47"/>
      <c r="CG166" s="47"/>
      <c r="CH166" s="47"/>
      <c r="CI166" s="47"/>
      <c r="CJ166" s="47"/>
      <c r="CK166" s="47"/>
      <c r="CL166" s="47"/>
      <c r="CM166" s="47"/>
      <c r="CN166" s="47"/>
      <c r="CO166" s="47"/>
      <c r="CP166" s="47"/>
      <c r="CQ166" s="47"/>
      <c r="CR166" s="47"/>
      <c r="CS166" s="47"/>
      <c r="CT166" s="47"/>
      <c r="CU166" s="47"/>
      <c r="CV166" s="47"/>
      <c r="CW166" s="47"/>
      <c r="CX166" s="47"/>
      <c r="CY166" s="47"/>
      <c r="CZ166" s="47"/>
      <c r="DA166" s="47"/>
      <c r="DB166" s="47"/>
      <c r="DC166" s="47"/>
      <c r="DD166" s="47"/>
      <c r="DE166" s="47"/>
      <c r="DF166" s="47"/>
      <c r="DG166" s="47"/>
      <c r="DH166" s="47"/>
      <c r="DI166" s="47"/>
      <c r="DJ166" s="47"/>
      <c r="DK166" s="47"/>
      <c r="DL166" s="47"/>
      <c r="DM166" s="47"/>
      <c r="DN166" s="47"/>
      <c r="DO166" s="47"/>
      <c r="DP166" s="47"/>
      <c r="DQ166" s="47"/>
      <c r="DR166" s="47"/>
      <c r="DS166" s="47"/>
      <c r="DT166" s="47"/>
      <c r="DU166" s="47"/>
      <c r="DV166" s="47"/>
      <c r="DW166" s="47"/>
      <c r="DX166" s="47"/>
      <c r="DY166" s="47"/>
      <c r="DZ166" s="219"/>
      <c r="EA166" s="231"/>
      <c r="EB166" s="231"/>
      <c r="EC166" s="231"/>
      <c r="ED166" s="231"/>
      <c r="EE166" s="231"/>
      <c r="EF166" s="231"/>
      <c r="EG166" s="231"/>
      <c r="EH166" s="231"/>
      <c r="EI166" s="231"/>
      <c r="EJ166" s="231"/>
      <c r="EK166" s="231"/>
      <c r="EL166" s="231"/>
      <c r="EM166" s="231"/>
      <c r="EN166" s="231"/>
      <c r="EO166" s="231"/>
      <c r="EP166" s="231"/>
      <c r="EQ166" s="231"/>
    </row>
    <row r="167" spans="1:147" ht="22.9" hidden="1" customHeight="1" outlineLevel="2" x14ac:dyDescent="0.2">
      <c r="A167" s="146" t="s">
        <v>645</v>
      </c>
      <c r="B167" s="53" t="s">
        <v>73</v>
      </c>
      <c r="C167" s="50" t="s">
        <v>133</v>
      </c>
      <c r="D167" s="165">
        <v>1</v>
      </c>
      <c r="E167" s="158">
        <v>1</v>
      </c>
      <c r="F167" s="52">
        <f>SUM(H167:DY167)*E167*Table1[[#This Row],[Cycles]]</f>
        <v>0</v>
      </c>
      <c r="G167" s="46">
        <f t="shared" si="55"/>
        <v>0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  <c r="BS167" s="47"/>
      <c r="BT167" s="47"/>
      <c r="BU167" s="47"/>
      <c r="BV167" s="47"/>
      <c r="BW167" s="47"/>
      <c r="BX167" s="47"/>
      <c r="BY167" s="47"/>
      <c r="BZ167" s="47"/>
      <c r="CA167" s="47"/>
      <c r="CB167" s="47"/>
      <c r="CC167" s="47"/>
      <c r="CD167" s="47"/>
      <c r="CE167" s="47"/>
      <c r="CF167" s="47"/>
      <c r="CG167" s="47"/>
      <c r="CH167" s="47"/>
      <c r="CI167" s="47"/>
      <c r="CJ167" s="47"/>
      <c r="CK167" s="47"/>
      <c r="CL167" s="47"/>
      <c r="CM167" s="47"/>
      <c r="CN167" s="47"/>
      <c r="CO167" s="47"/>
      <c r="CP167" s="47"/>
      <c r="CQ167" s="47"/>
      <c r="CR167" s="47"/>
      <c r="CS167" s="47"/>
      <c r="CT167" s="47"/>
      <c r="CU167" s="47"/>
      <c r="CV167" s="47"/>
      <c r="CW167" s="47"/>
      <c r="CX167" s="47"/>
      <c r="CY167" s="47"/>
      <c r="CZ167" s="47"/>
      <c r="DA167" s="47"/>
      <c r="DB167" s="47"/>
      <c r="DC167" s="47"/>
      <c r="DD167" s="47"/>
      <c r="DE167" s="47"/>
      <c r="DF167" s="47"/>
      <c r="DG167" s="47"/>
      <c r="DH167" s="47"/>
      <c r="DI167" s="47"/>
      <c r="DJ167" s="47"/>
      <c r="DK167" s="47"/>
      <c r="DL167" s="47"/>
      <c r="DM167" s="47"/>
      <c r="DN167" s="47"/>
      <c r="DO167" s="47"/>
      <c r="DP167" s="47"/>
      <c r="DQ167" s="47"/>
      <c r="DR167" s="47"/>
      <c r="DS167" s="47"/>
      <c r="DT167" s="47"/>
      <c r="DU167" s="47"/>
      <c r="DV167" s="47"/>
      <c r="DW167" s="47"/>
      <c r="DX167" s="47"/>
      <c r="DY167" s="47"/>
      <c r="DZ167" s="219"/>
      <c r="EA167" s="231"/>
      <c r="EB167" s="231"/>
      <c r="EC167" s="231"/>
      <c r="ED167" s="231"/>
      <c r="EE167" s="231"/>
      <c r="EF167" s="231"/>
      <c r="EG167" s="231"/>
      <c r="EH167" s="231"/>
      <c r="EI167" s="231"/>
      <c r="EJ167" s="231"/>
      <c r="EK167" s="231"/>
      <c r="EL167" s="231"/>
      <c r="EM167" s="231"/>
      <c r="EN167" s="231"/>
      <c r="EO167" s="231"/>
      <c r="EP167" s="231"/>
      <c r="EQ167" s="231"/>
    </row>
    <row r="168" spans="1:147" ht="22.9" hidden="1" customHeight="1" outlineLevel="2" x14ac:dyDescent="0.2">
      <c r="A168" s="146" t="s">
        <v>646</v>
      </c>
      <c r="B168" s="53" t="s">
        <v>74</v>
      </c>
      <c r="C168" s="50" t="s">
        <v>133</v>
      </c>
      <c r="D168" s="165">
        <v>1</v>
      </c>
      <c r="E168" s="158">
        <v>1</v>
      </c>
      <c r="F168" s="52">
        <f>SUM(H168:DY168)*E168*Table1[[#This Row],[Cycles]]</f>
        <v>0</v>
      </c>
      <c r="G168" s="46">
        <f t="shared" si="55"/>
        <v>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  <c r="CK168" s="47"/>
      <c r="CL168" s="47"/>
      <c r="CM168" s="47"/>
      <c r="CN168" s="47"/>
      <c r="CO168" s="47"/>
      <c r="CP168" s="47"/>
      <c r="CQ168" s="47"/>
      <c r="CR168" s="47"/>
      <c r="CS168" s="47"/>
      <c r="CT168" s="47"/>
      <c r="CU168" s="47"/>
      <c r="CV168" s="47"/>
      <c r="CW168" s="47"/>
      <c r="CX168" s="47"/>
      <c r="CY168" s="47"/>
      <c r="CZ168" s="47"/>
      <c r="DA168" s="47"/>
      <c r="DB168" s="47"/>
      <c r="DC168" s="47"/>
      <c r="DD168" s="47"/>
      <c r="DE168" s="47"/>
      <c r="DF168" s="47"/>
      <c r="DG168" s="47"/>
      <c r="DH168" s="47"/>
      <c r="DI168" s="47"/>
      <c r="DJ168" s="47"/>
      <c r="DK168" s="47"/>
      <c r="DL168" s="47"/>
      <c r="DM168" s="47"/>
      <c r="DN168" s="47"/>
      <c r="DO168" s="47"/>
      <c r="DP168" s="47"/>
      <c r="DQ168" s="47"/>
      <c r="DR168" s="47"/>
      <c r="DS168" s="47"/>
      <c r="DT168" s="47"/>
      <c r="DU168" s="47"/>
      <c r="DV168" s="47"/>
      <c r="DW168" s="47"/>
      <c r="DX168" s="47"/>
      <c r="DY168" s="47"/>
      <c r="DZ168" s="219"/>
      <c r="EA168" s="231"/>
      <c r="EB168" s="231"/>
      <c r="EC168" s="231"/>
      <c r="ED168" s="231"/>
      <c r="EE168" s="231"/>
      <c r="EF168" s="231"/>
      <c r="EG168" s="231"/>
      <c r="EH168" s="231"/>
      <c r="EI168" s="231"/>
      <c r="EJ168" s="231"/>
      <c r="EK168" s="231"/>
      <c r="EL168" s="231"/>
      <c r="EM168" s="231"/>
      <c r="EN168" s="231"/>
      <c r="EO168" s="231"/>
      <c r="EP168" s="231"/>
      <c r="EQ168" s="231"/>
    </row>
    <row r="169" spans="1:147" ht="22.9" hidden="1" customHeight="1" outlineLevel="2" x14ac:dyDescent="0.2">
      <c r="A169" s="146" t="s">
        <v>647</v>
      </c>
      <c r="B169" s="53" t="s">
        <v>444</v>
      </c>
      <c r="C169" s="50" t="s">
        <v>133</v>
      </c>
      <c r="D169" s="165">
        <v>1</v>
      </c>
      <c r="E169" s="158">
        <v>1</v>
      </c>
      <c r="F169" s="52">
        <f>SUM(H169:DY169)*E169*Table1[[#This Row],[Cycles]]</f>
        <v>0</v>
      </c>
      <c r="G169" s="46">
        <f t="shared" si="55"/>
        <v>0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  <c r="BS169" s="47"/>
      <c r="BT169" s="47"/>
      <c r="BU169" s="47"/>
      <c r="BV169" s="47"/>
      <c r="BW169" s="47"/>
      <c r="BX169" s="47"/>
      <c r="BY169" s="47"/>
      <c r="BZ169" s="47"/>
      <c r="CA169" s="47"/>
      <c r="CB169" s="47"/>
      <c r="CC169" s="47"/>
      <c r="CD169" s="47"/>
      <c r="CE169" s="47"/>
      <c r="CF169" s="47"/>
      <c r="CG169" s="47"/>
      <c r="CH169" s="47"/>
      <c r="CI169" s="47"/>
      <c r="CJ169" s="47"/>
      <c r="CK169" s="47"/>
      <c r="CL169" s="47"/>
      <c r="CM169" s="47"/>
      <c r="CN169" s="47"/>
      <c r="CO169" s="47"/>
      <c r="CP169" s="47"/>
      <c r="CQ169" s="47"/>
      <c r="CR169" s="47"/>
      <c r="CS169" s="47"/>
      <c r="CT169" s="47"/>
      <c r="CU169" s="47"/>
      <c r="CV169" s="47"/>
      <c r="CW169" s="47"/>
      <c r="CX169" s="47"/>
      <c r="CY169" s="47"/>
      <c r="CZ169" s="47"/>
      <c r="DA169" s="47"/>
      <c r="DB169" s="47"/>
      <c r="DC169" s="47"/>
      <c r="DD169" s="47"/>
      <c r="DE169" s="47"/>
      <c r="DF169" s="47"/>
      <c r="DG169" s="47"/>
      <c r="DH169" s="47"/>
      <c r="DI169" s="47"/>
      <c r="DJ169" s="47"/>
      <c r="DK169" s="47"/>
      <c r="DL169" s="47"/>
      <c r="DM169" s="47"/>
      <c r="DN169" s="47"/>
      <c r="DO169" s="47"/>
      <c r="DP169" s="47"/>
      <c r="DQ169" s="47"/>
      <c r="DR169" s="47"/>
      <c r="DS169" s="47"/>
      <c r="DT169" s="47"/>
      <c r="DU169" s="47"/>
      <c r="DV169" s="47"/>
      <c r="DW169" s="47"/>
      <c r="DX169" s="47"/>
      <c r="DY169" s="47"/>
      <c r="DZ169" s="219"/>
      <c r="EA169" s="231"/>
      <c r="EB169" s="231"/>
      <c r="EC169" s="231"/>
      <c r="ED169" s="231"/>
      <c r="EE169" s="231"/>
      <c r="EF169" s="231"/>
      <c r="EG169" s="231"/>
      <c r="EH169" s="231"/>
      <c r="EI169" s="231"/>
      <c r="EJ169" s="231"/>
      <c r="EK169" s="231"/>
      <c r="EL169" s="231"/>
      <c r="EM169" s="231"/>
      <c r="EN169" s="231"/>
      <c r="EO169" s="231"/>
      <c r="EP169" s="231"/>
      <c r="EQ169" s="231"/>
    </row>
    <row r="170" spans="1:147" ht="22.9" hidden="1" customHeight="1" outlineLevel="2" x14ac:dyDescent="0.2">
      <c r="A170" s="146" t="s">
        <v>648</v>
      </c>
      <c r="B170" s="53" t="s">
        <v>75</v>
      </c>
      <c r="C170" s="50" t="s">
        <v>133</v>
      </c>
      <c r="D170" s="165">
        <v>1</v>
      </c>
      <c r="E170" s="158">
        <v>1</v>
      </c>
      <c r="F170" s="52">
        <f>SUM(H170:DY170)*E170*Table1[[#This Row],[Cycles]]</f>
        <v>0</v>
      </c>
      <c r="G170" s="46">
        <f t="shared" si="55"/>
        <v>0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  <c r="BS170" s="47"/>
      <c r="BT170" s="47"/>
      <c r="BU170" s="47"/>
      <c r="BV170" s="47"/>
      <c r="BW170" s="47"/>
      <c r="BX170" s="47"/>
      <c r="BY170" s="47"/>
      <c r="BZ170" s="47"/>
      <c r="CA170" s="47"/>
      <c r="CB170" s="47"/>
      <c r="CC170" s="47"/>
      <c r="CD170" s="47"/>
      <c r="CE170" s="47"/>
      <c r="CF170" s="47"/>
      <c r="CG170" s="47"/>
      <c r="CH170" s="47"/>
      <c r="CI170" s="47"/>
      <c r="CJ170" s="47"/>
      <c r="CK170" s="47"/>
      <c r="CL170" s="47"/>
      <c r="CM170" s="47"/>
      <c r="CN170" s="47"/>
      <c r="CO170" s="47"/>
      <c r="CP170" s="47"/>
      <c r="CQ170" s="47"/>
      <c r="CR170" s="47"/>
      <c r="CS170" s="47"/>
      <c r="CT170" s="47"/>
      <c r="CU170" s="47"/>
      <c r="CV170" s="47"/>
      <c r="CW170" s="47"/>
      <c r="CX170" s="47"/>
      <c r="CY170" s="47"/>
      <c r="CZ170" s="47"/>
      <c r="DA170" s="47"/>
      <c r="DB170" s="47"/>
      <c r="DC170" s="47"/>
      <c r="DD170" s="47"/>
      <c r="DE170" s="47"/>
      <c r="DF170" s="47"/>
      <c r="DG170" s="47"/>
      <c r="DH170" s="47"/>
      <c r="DI170" s="47"/>
      <c r="DJ170" s="47"/>
      <c r="DK170" s="47"/>
      <c r="DL170" s="47"/>
      <c r="DM170" s="47"/>
      <c r="DN170" s="47"/>
      <c r="DO170" s="47"/>
      <c r="DP170" s="47"/>
      <c r="DQ170" s="47"/>
      <c r="DR170" s="47"/>
      <c r="DS170" s="47"/>
      <c r="DT170" s="47"/>
      <c r="DU170" s="47"/>
      <c r="DV170" s="47"/>
      <c r="DW170" s="47"/>
      <c r="DX170" s="47"/>
      <c r="DY170" s="47"/>
      <c r="DZ170" s="219"/>
      <c r="EA170" s="231"/>
      <c r="EB170" s="231"/>
      <c r="EC170" s="231"/>
      <c r="ED170" s="231"/>
      <c r="EE170" s="231"/>
      <c r="EF170" s="231"/>
      <c r="EG170" s="231"/>
      <c r="EH170" s="231"/>
      <c r="EI170" s="231"/>
      <c r="EJ170" s="231"/>
      <c r="EK170" s="231"/>
      <c r="EL170" s="231"/>
      <c r="EM170" s="231"/>
      <c r="EN170" s="231"/>
      <c r="EO170" s="231"/>
      <c r="EP170" s="231"/>
      <c r="EQ170" s="231"/>
    </row>
    <row r="171" spans="1:147" ht="22.9" hidden="1" customHeight="1" outlineLevel="2" x14ac:dyDescent="0.2">
      <c r="A171" s="146" t="s">
        <v>649</v>
      </c>
      <c r="B171" s="53" t="s">
        <v>76</v>
      </c>
      <c r="C171" s="50" t="s">
        <v>133</v>
      </c>
      <c r="D171" s="165">
        <v>1</v>
      </c>
      <c r="E171" s="158">
        <v>1</v>
      </c>
      <c r="F171" s="52">
        <f>SUM(H171:DY171)*E171*Table1[[#This Row],[Cycles]]</f>
        <v>0</v>
      </c>
      <c r="G171" s="46">
        <f t="shared" si="55"/>
        <v>0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  <c r="BS171" s="47"/>
      <c r="BT171" s="47"/>
      <c r="BU171" s="47"/>
      <c r="BV171" s="47"/>
      <c r="BW171" s="47"/>
      <c r="BX171" s="47"/>
      <c r="BY171" s="47"/>
      <c r="BZ171" s="47"/>
      <c r="CA171" s="47"/>
      <c r="CB171" s="47"/>
      <c r="CC171" s="47"/>
      <c r="CD171" s="47"/>
      <c r="CE171" s="47"/>
      <c r="CF171" s="47"/>
      <c r="CG171" s="47"/>
      <c r="CH171" s="47"/>
      <c r="CI171" s="47"/>
      <c r="CJ171" s="47"/>
      <c r="CK171" s="47"/>
      <c r="CL171" s="47"/>
      <c r="CM171" s="47"/>
      <c r="CN171" s="47"/>
      <c r="CO171" s="47"/>
      <c r="CP171" s="47"/>
      <c r="CQ171" s="47"/>
      <c r="CR171" s="47"/>
      <c r="CS171" s="47"/>
      <c r="CT171" s="47"/>
      <c r="CU171" s="47"/>
      <c r="CV171" s="47"/>
      <c r="CW171" s="47"/>
      <c r="CX171" s="47"/>
      <c r="CY171" s="47"/>
      <c r="CZ171" s="47"/>
      <c r="DA171" s="47"/>
      <c r="DB171" s="47"/>
      <c r="DC171" s="47"/>
      <c r="DD171" s="47"/>
      <c r="DE171" s="47"/>
      <c r="DF171" s="47"/>
      <c r="DG171" s="47"/>
      <c r="DH171" s="47"/>
      <c r="DI171" s="47"/>
      <c r="DJ171" s="47"/>
      <c r="DK171" s="47"/>
      <c r="DL171" s="47"/>
      <c r="DM171" s="47"/>
      <c r="DN171" s="47"/>
      <c r="DO171" s="47"/>
      <c r="DP171" s="47"/>
      <c r="DQ171" s="47"/>
      <c r="DR171" s="47"/>
      <c r="DS171" s="47"/>
      <c r="DT171" s="47"/>
      <c r="DU171" s="47"/>
      <c r="DV171" s="47"/>
      <c r="DW171" s="47"/>
      <c r="DX171" s="47"/>
      <c r="DY171" s="47"/>
      <c r="DZ171" s="219"/>
      <c r="EA171" s="231"/>
      <c r="EB171" s="231"/>
      <c r="EC171" s="231"/>
      <c r="ED171" s="231"/>
      <c r="EE171" s="231"/>
      <c r="EF171" s="231"/>
      <c r="EG171" s="231"/>
      <c r="EH171" s="231"/>
      <c r="EI171" s="231"/>
      <c r="EJ171" s="231"/>
      <c r="EK171" s="231"/>
      <c r="EL171" s="231"/>
      <c r="EM171" s="231"/>
      <c r="EN171" s="231"/>
      <c r="EO171" s="231"/>
      <c r="EP171" s="231"/>
      <c r="EQ171" s="231"/>
    </row>
    <row r="172" spans="1:147" ht="22.9" hidden="1" customHeight="1" outlineLevel="2" x14ac:dyDescent="0.2">
      <c r="A172" s="146" t="s">
        <v>650</v>
      </c>
      <c r="B172" s="53" t="s">
        <v>77</v>
      </c>
      <c r="C172" s="50" t="s">
        <v>133</v>
      </c>
      <c r="D172" s="165">
        <v>1</v>
      </c>
      <c r="E172" s="158">
        <v>1</v>
      </c>
      <c r="F172" s="52">
        <f>SUM(H172:DY172)*E172*Table1[[#This Row],[Cycles]]</f>
        <v>0</v>
      </c>
      <c r="G172" s="46">
        <f t="shared" si="55"/>
        <v>0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  <c r="DE172" s="47"/>
      <c r="DF172" s="47"/>
      <c r="DG172" s="47"/>
      <c r="DH172" s="47"/>
      <c r="DI172" s="47"/>
      <c r="DJ172" s="47"/>
      <c r="DK172" s="47"/>
      <c r="DL172" s="47"/>
      <c r="DM172" s="47"/>
      <c r="DN172" s="47"/>
      <c r="DO172" s="47"/>
      <c r="DP172" s="47"/>
      <c r="DQ172" s="47"/>
      <c r="DR172" s="47"/>
      <c r="DS172" s="47"/>
      <c r="DT172" s="47"/>
      <c r="DU172" s="47"/>
      <c r="DV172" s="47"/>
      <c r="DW172" s="47"/>
      <c r="DX172" s="47"/>
      <c r="DY172" s="47"/>
      <c r="DZ172" s="219"/>
      <c r="EA172" s="231"/>
      <c r="EB172" s="231"/>
      <c r="EC172" s="231"/>
      <c r="ED172" s="231"/>
      <c r="EE172" s="231"/>
      <c r="EF172" s="231"/>
      <c r="EG172" s="231"/>
      <c r="EH172" s="231"/>
      <c r="EI172" s="231"/>
      <c r="EJ172" s="231"/>
      <c r="EK172" s="231"/>
      <c r="EL172" s="231"/>
      <c r="EM172" s="231"/>
      <c r="EN172" s="231"/>
      <c r="EO172" s="231"/>
      <c r="EP172" s="231"/>
      <c r="EQ172" s="231"/>
    </row>
    <row r="173" spans="1:147" ht="22.9" hidden="1" customHeight="1" outlineLevel="2" x14ac:dyDescent="0.2">
      <c r="A173" s="146" t="s">
        <v>651</v>
      </c>
      <c r="B173" s="53" t="s">
        <v>78</v>
      </c>
      <c r="C173" s="50" t="s">
        <v>133</v>
      </c>
      <c r="D173" s="165">
        <v>1</v>
      </c>
      <c r="E173" s="158">
        <v>1</v>
      </c>
      <c r="F173" s="52">
        <f>SUM(H173:DY173)*E173*Table1[[#This Row],[Cycles]]</f>
        <v>0</v>
      </c>
      <c r="G173" s="46">
        <f t="shared" si="55"/>
        <v>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  <c r="BS173" s="47"/>
      <c r="BT173" s="47"/>
      <c r="BU173" s="47"/>
      <c r="BV173" s="47"/>
      <c r="BW173" s="47"/>
      <c r="BX173" s="47"/>
      <c r="BY173" s="47"/>
      <c r="BZ173" s="47"/>
      <c r="CA173" s="47"/>
      <c r="CB173" s="47"/>
      <c r="CC173" s="47"/>
      <c r="CD173" s="47"/>
      <c r="CE173" s="47"/>
      <c r="CF173" s="47"/>
      <c r="CG173" s="47"/>
      <c r="CH173" s="47"/>
      <c r="CI173" s="47"/>
      <c r="CJ173" s="47"/>
      <c r="CK173" s="47"/>
      <c r="CL173" s="47"/>
      <c r="CM173" s="47"/>
      <c r="CN173" s="47"/>
      <c r="CO173" s="47"/>
      <c r="CP173" s="47"/>
      <c r="CQ173" s="47"/>
      <c r="CR173" s="47"/>
      <c r="CS173" s="47"/>
      <c r="CT173" s="47"/>
      <c r="CU173" s="47"/>
      <c r="CV173" s="47"/>
      <c r="CW173" s="47"/>
      <c r="CX173" s="47"/>
      <c r="CY173" s="47"/>
      <c r="CZ173" s="47"/>
      <c r="DA173" s="47"/>
      <c r="DB173" s="47"/>
      <c r="DC173" s="47"/>
      <c r="DD173" s="47"/>
      <c r="DE173" s="47"/>
      <c r="DF173" s="47"/>
      <c r="DG173" s="47"/>
      <c r="DH173" s="47"/>
      <c r="DI173" s="47"/>
      <c r="DJ173" s="47"/>
      <c r="DK173" s="47"/>
      <c r="DL173" s="47"/>
      <c r="DM173" s="47"/>
      <c r="DN173" s="47"/>
      <c r="DO173" s="47"/>
      <c r="DP173" s="47"/>
      <c r="DQ173" s="47"/>
      <c r="DR173" s="47"/>
      <c r="DS173" s="47"/>
      <c r="DT173" s="47"/>
      <c r="DU173" s="47"/>
      <c r="DV173" s="47"/>
      <c r="DW173" s="47"/>
      <c r="DX173" s="47"/>
      <c r="DY173" s="47"/>
      <c r="DZ173" s="219"/>
      <c r="EA173" s="231"/>
      <c r="EB173" s="231"/>
      <c r="EC173" s="231"/>
      <c r="ED173" s="231"/>
      <c r="EE173" s="231"/>
      <c r="EF173" s="231"/>
      <c r="EG173" s="231"/>
      <c r="EH173" s="231"/>
      <c r="EI173" s="231"/>
      <c r="EJ173" s="231"/>
      <c r="EK173" s="231"/>
      <c r="EL173" s="231"/>
      <c r="EM173" s="231"/>
      <c r="EN173" s="231"/>
      <c r="EO173" s="231"/>
      <c r="EP173" s="231"/>
      <c r="EQ173" s="231"/>
    </row>
    <row r="174" spans="1:147" ht="22.9" hidden="1" customHeight="1" outlineLevel="2" x14ac:dyDescent="0.2">
      <c r="A174" s="146" t="s">
        <v>652</v>
      </c>
      <c r="B174" s="53" t="s">
        <v>79</v>
      </c>
      <c r="C174" s="50" t="s">
        <v>133</v>
      </c>
      <c r="D174" s="165">
        <v>1</v>
      </c>
      <c r="E174" s="158">
        <v>1</v>
      </c>
      <c r="F174" s="52">
        <f>SUM(H174:DY174)*E174*Table1[[#This Row],[Cycles]]</f>
        <v>0</v>
      </c>
      <c r="G174" s="46">
        <f t="shared" si="55"/>
        <v>0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  <c r="BS174" s="47"/>
      <c r="BT174" s="47"/>
      <c r="BU174" s="47"/>
      <c r="BV174" s="47"/>
      <c r="BW174" s="47"/>
      <c r="BX174" s="47"/>
      <c r="BY174" s="47"/>
      <c r="BZ174" s="47"/>
      <c r="CA174" s="47"/>
      <c r="CB174" s="47"/>
      <c r="CC174" s="47"/>
      <c r="CD174" s="47"/>
      <c r="CE174" s="47"/>
      <c r="CF174" s="47"/>
      <c r="CG174" s="47"/>
      <c r="CH174" s="47"/>
      <c r="CI174" s="47"/>
      <c r="CJ174" s="47"/>
      <c r="CK174" s="47"/>
      <c r="CL174" s="47"/>
      <c r="CM174" s="47"/>
      <c r="CN174" s="47"/>
      <c r="CO174" s="47"/>
      <c r="CP174" s="47"/>
      <c r="CQ174" s="47"/>
      <c r="CR174" s="47"/>
      <c r="CS174" s="47"/>
      <c r="CT174" s="47"/>
      <c r="CU174" s="47"/>
      <c r="CV174" s="47"/>
      <c r="CW174" s="47"/>
      <c r="CX174" s="47"/>
      <c r="CY174" s="47"/>
      <c r="CZ174" s="47"/>
      <c r="DA174" s="47"/>
      <c r="DB174" s="47"/>
      <c r="DC174" s="47"/>
      <c r="DD174" s="47"/>
      <c r="DE174" s="47"/>
      <c r="DF174" s="47"/>
      <c r="DG174" s="47"/>
      <c r="DH174" s="47"/>
      <c r="DI174" s="47"/>
      <c r="DJ174" s="47"/>
      <c r="DK174" s="47"/>
      <c r="DL174" s="47"/>
      <c r="DM174" s="47"/>
      <c r="DN174" s="47"/>
      <c r="DO174" s="47"/>
      <c r="DP174" s="47"/>
      <c r="DQ174" s="47"/>
      <c r="DR174" s="47"/>
      <c r="DS174" s="47"/>
      <c r="DT174" s="47"/>
      <c r="DU174" s="47"/>
      <c r="DV174" s="47"/>
      <c r="DW174" s="47"/>
      <c r="DX174" s="47"/>
      <c r="DY174" s="47"/>
      <c r="DZ174" s="219"/>
      <c r="EA174" s="231"/>
      <c r="EB174" s="231"/>
      <c r="EC174" s="231"/>
      <c r="ED174" s="231"/>
      <c r="EE174" s="231"/>
      <c r="EF174" s="231"/>
      <c r="EG174" s="231"/>
      <c r="EH174" s="231"/>
      <c r="EI174" s="231"/>
      <c r="EJ174" s="231"/>
      <c r="EK174" s="231"/>
      <c r="EL174" s="231"/>
      <c r="EM174" s="231"/>
      <c r="EN174" s="231"/>
      <c r="EO174" s="231"/>
      <c r="EP174" s="231"/>
      <c r="EQ174" s="231"/>
    </row>
    <row r="175" spans="1:147" ht="22.9" hidden="1" customHeight="1" outlineLevel="2" x14ac:dyDescent="0.2">
      <c r="A175" s="146" t="s">
        <v>653</v>
      </c>
      <c r="B175" s="53" t="s">
        <v>80</v>
      </c>
      <c r="C175" s="50" t="s">
        <v>133</v>
      </c>
      <c r="D175" s="165">
        <v>1</v>
      </c>
      <c r="E175" s="158">
        <v>1</v>
      </c>
      <c r="F175" s="52">
        <f>SUM(H175:DY175)*E175*Table1[[#This Row],[Cycles]]</f>
        <v>0</v>
      </c>
      <c r="G175" s="46">
        <f t="shared" si="55"/>
        <v>0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  <c r="BS175" s="47"/>
      <c r="BT175" s="47"/>
      <c r="BU175" s="47"/>
      <c r="BV175" s="47"/>
      <c r="BW175" s="47"/>
      <c r="BX175" s="47"/>
      <c r="BY175" s="47"/>
      <c r="BZ175" s="47"/>
      <c r="CA175" s="47"/>
      <c r="CB175" s="47"/>
      <c r="CC175" s="47"/>
      <c r="CD175" s="47"/>
      <c r="CE175" s="47"/>
      <c r="CF175" s="47"/>
      <c r="CG175" s="47"/>
      <c r="CH175" s="47"/>
      <c r="CI175" s="47"/>
      <c r="CJ175" s="47"/>
      <c r="CK175" s="47"/>
      <c r="CL175" s="47"/>
      <c r="CM175" s="47"/>
      <c r="CN175" s="47"/>
      <c r="CO175" s="47"/>
      <c r="CP175" s="47"/>
      <c r="CQ175" s="47"/>
      <c r="CR175" s="47"/>
      <c r="CS175" s="47"/>
      <c r="CT175" s="47"/>
      <c r="CU175" s="47"/>
      <c r="CV175" s="47"/>
      <c r="CW175" s="47"/>
      <c r="CX175" s="47"/>
      <c r="CY175" s="47"/>
      <c r="CZ175" s="47"/>
      <c r="DA175" s="47"/>
      <c r="DB175" s="47"/>
      <c r="DC175" s="47"/>
      <c r="DD175" s="47"/>
      <c r="DE175" s="47"/>
      <c r="DF175" s="47"/>
      <c r="DG175" s="47"/>
      <c r="DH175" s="47"/>
      <c r="DI175" s="47"/>
      <c r="DJ175" s="47"/>
      <c r="DK175" s="47"/>
      <c r="DL175" s="47"/>
      <c r="DM175" s="47"/>
      <c r="DN175" s="47"/>
      <c r="DO175" s="47"/>
      <c r="DP175" s="47"/>
      <c r="DQ175" s="47"/>
      <c r="DR175" s="47"/>
      <c r="DS175" s="47"/>
      <c r="DT175" s="47"/>
      <c r="DU175" s="47"/>
      <c r="DV175" s="47"/>
      <c r="DW175" s="47"/>
      <c r="DX175" s="47"/>
      <c r="DY175" s="47"/>
      <c r="DZ175" s="219"/>
      <c r="EA175" s="231"/>
      <c r="EB175" s="231"/>
      <c r="EC175" s="231"/>
      <c r="ED175" s="231"/>
      <c r="EE175" s="231"/>
      <c r="EF175" s="231"/>
      <c r="EG175" s="231"/>
      <c r="EH175" s="231"/>
      <c r="EI175" s="231"/>
      <c r="EJ175" s="231"/>
      <c r="EK175" s="231"/>
      <c r="EL175" s="231"/>
      <c r="EM175" s="231"/>
      <c r="EN175" s="231"/>
      <c r="EO175" s="231"/>
      <c r="EP175" s="231"/>
      <c r="EQ175" s="231"/>
    </row>
    <row r="176" spans="1:147" ht="22.9" hidden="1" customHeight="1" outlineLevel="2" x14ac:dyDescent="0.2">
      <c r="A176" s="146" t="s">
        <v>654</v>
      </c>
      <c r="B176" s="53" t="s">
        <v>446</v>
      </c>
      <c r="C176" s="50" t="s">
        <v>133</v>
      </c>
      <c r="D176" s="165">
        <v>1</v>
      </c>
      <c r="E176" s="158">
        <v>1</v>
      </c>
      <c r="F176" s="52">
        <f>SUM(H176:DY176)*E176*Table1[[#This Row],[Cycles]]</f>
        <v>0</v>
      </c>
      <c r="G176" s="46">
        <f t="shared" si="55"/>
        <v>0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  <c r="BS176" s="47"/>
      <c r="BT176" s="47"/>
      <c r="BU176" s="47"/>
      <c r="BV176" s="47"/>
      <c r="BW176" s="47"/>
      <c r="BX176" s="47"/>
      <c r="BY176" s="47"/>
      <c r="BZ176" s="47"/>
      <c r="CA176" s="47"/>
      <c r="CB176" s="47"/>
      <c r="CC176" s="47"/>
      <c r="CD176" s="47"/>
      <c r="CE176" s="47"/>
      <c r="CF176" s="47"/>
      <c r="CG176" s="47"/>
      <c r="CH176" s="47"/>
      <c r="CI176" s="47"/>
      <c r="CJ176" s="47"/>
      <c r="CK176" s="47"/>
      <c r="CL176" s="47"/>
      <c r="CM176" s="47"/>
      <c r="CN176" s="47"/>
      <c r="CO176" s="47"/>
      <c r="CP176" s="47"/>
      <c r="CQ176" s="47"/>
      <c r="CR176" s="47"/>
      <c r="CS176" s="47"/>
      <c r="CT176" s="47"/>
      <c r="CU176" s="47"/>
      <c r="CV176" s="47"/>
      <c r="CW176" s="47"/>
      <c r="CX176" s="47"/>
      <c r="CY176" s="47"/>
      <c r="CZ176" s="47"/>
      <c r="DA176" s="47"/>
      <c r="DB176" s="47"/>
      <c r="DC176" s="47"/>
      <c r="DD176" s="47"/>
      <c r="DE176" s="47"/>
      <c r="DF176" s="47"/>
      <c r="DG176" s="47"/>
      <c r="DH176" s="47"/>
      <c r="DI176" s="47"/>
      <c r="DJ176" s="47"/>
      <c r="DK176" s="47"/>
      <c r="DL176" s="47"/>
      <c r="DM176" s="47"/>
      <c r="DN176" s="47"/>
      <c r="DO176" s="47"/>
      <c r="DP176" s="47"/>
      <c r="DQ176" s="47"/>
      <c r="DR176" s="47"/>
      <c r="DS176" s="47"/>
      <c r="DT176" s="47"/>
      <c r="DU176" s="47"/>
      <c r="DV176" s="47"/>
      <c r="DW176" s="47"/>
      <c r="DX176" s="47"/>
      <c r="DY176" s="47"/>
      <c r="DZ176" s="219"/>
      <c r="EA176" s="231"/>
      <c r="EB176" s="231"/>
      <c r="EC176" s="231"/>
      <c r="ED176" s="231"/>
      <c r="EE176" s="231"/>
      <c r="EF176" s="231"/>
      <c r="EG176" s="231"/>
      <c r="EH176" s="231"/>
      <c r="EI176" s="231"/>
      <c r="EJ176" s="231"/>
      <c r="EK176" s="231"/>
      <c r="EL176" s="231"/>
      <c r="EM176" s="231"/>
      <c r="EN176" s="231"/>
      <c r="EO176" s="231"/>
      <c r="EP176" s="231"/>
      <c r="EQ176" s="231"/>
    </row>
    <row r="177" spans="1:147" ht="22.9" hidden="1" customHeight="1" outlineLevel="2" x14ac:dyDescent="0.2">
      <c r="A177" s="146" t="s">
        <v>655</v>
      </c>
      <c r="B177" s="53" t="s">
        <v>276</v>
      </c>
      <c r="C177" s="50" t="s">
        <v>133</v>
      </c>
      <c r="D177" s="165">
        <v>1</v>
      </c>
      <c r="E177" s="158">
        <v>1</v>
      </c>
      <c r="F177" s="52">
        <f>SUM(H177:DY177)*E177*Table1[[#This Row],[Cycles]]</f>
        <v>0</v>
      </c>
      <c r="G177" s="46">
        <f t="shared" si="55"/>
        <v>0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  <c r="BS177" s="47"/>
      <c r="BT177" s="47"/>
      <c r="BU177" s="47"/>
      <c r="BV177" s="47"/>
      <c r="BW177" s="47"/>
      <c r="BX177" s="47"/>
      <c r="BY177" s="47"/>
      <c r="BZ177" s="47"/>
      <c r="CA177" s="47"/>
      <c r="CB177" s="47"/>
      <c r="CC177" s="47"/>
      <c r="CD177" s="47"/>
      <c r="CE177" s="47"/>
      <c r="CF177" s="47"/>
      <c r="CG177" s="47"/>
      <c r="CH177" s="47"/>
      <c r="CI177" s="47"/>
      <c r="CJ177" s="47"/>
      <c r="CK177" s="47"/>
      <c r="CL177" s="47"/>
      <c r="CM177" s="47"/>
      <c r="CN177" s="47"/>
      <c r="CO177" s="47"/>
      <c r="CP177" s="47"/>
      <c r="CQ177" s="47"/>
      <c r="CR177" s="47"/>
      <c r="CS177" s="47"/>
      <c r="CT177" s="47"/>
      <c r="CU177" s="47"/>
      <c r="CV177" s="47"/>
      <c r="CW177" s="47"/>
      <c r="CX177" s="47"/>
      <c r="CY177" s="47"/>
      <c r="CZ177" s="47"/>
      <c r="DA177" s="47"/>
      <c r="DB177" s="47"/>
      <c r="DC177" s="47"/>
      <c r="DD177" s="47"/>
      <c r="DE177" s="47"/>
      <c r="DF177" s="47"/>
      <c r="DG177" s="47"/>
      <c r="DH177" s="47"/>
      <c r="DI177" s="47"/>
      <c r="DJ177" s="47"/>
      <c r="DK177" s="47"/>
      <c r="DL177" s="47"/>
      <c r="DM177" s="47"/>
      <c r="DN177" s="47"/>
      <c r="DO177" s="47"/>
      <c r="DP177" s="47"/>
      <c r="DQ177" s="47"/>
      <c r="DR177" s="47"/>
      <c r="DS177" s="47"/>
      <c r="DT177" s="47"/>
      <c r="DU177" s="47"/>
      <c r="DV177" s="47"/>
      <c r="DW177" s="47"/>
      <c r="DX177" s="47"/>
      <c r="DY177" s="47"/>
      <c r="DZ177" s="219"/>
      <c r="EA177" s="231"/>
      <c r="EB177" s="231"/>
      <c r="EC177" s="231"/>
      <c r="ED177" s="231"/>
      <c r="EE177" s="231"/>
      <c r="EF177" s="231"/>
      <c r="EG177" s="231"/>
      <c r="EH177" s="231"/>
      <c r="EI177" s="231"/>
      <c r="EJ177" s="231"/>
      <c r="EK177" s="231"/>
      <c r="EL177" s="231"/>
      <c r="EM177" s="231"/>
      <c r="EN177" s="231"/>
      <c r="EO177" s="231"/>
      <c r="EP177" s="231"/>
      <c r="EQ177" s="231"/>
    </row>
    <row r="178" spans="1:147" ht="22.9" hidden="1" customHeight="1" outlineLevel="2" x14ac:dyDescent="0.2">
      <c r="A178" s="146" t="s">
        <v>656</v>
      </c>
      <c r="B178" s="53" t="s">
        <v>216</v>
      </c>
      <c r="C178" s="50" t="s">
        <v>133</v>
      </c>
      <c r="D178" s="165">
        <v>1</v>
      </c>
      <c r="E178" s="158">
        <v>1</v>
      </c>
      <c r="F178" s="52">
        <f>SUM(H178:DY178)*E178*Table1[[#This Row],[Cycles]]</f>
        <v>0</v>
      </c>
      <c r="G178" s="46">
        <f t="shared" si="55"/>
        <v>0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47"/>
      <c r="BU178" s="47"/>
      <c r="BV178" s="47"/>
      <c r="BW178" s="47"/>
      <c r="BX178" s="47"/>
      <c r="BY178" s="47"/>
      <c r="BZ178" s="47"/>
      <c r="CA178" s="47"/>
      <c r="CB178" s="47"/>
      <c r="CC178" s="47"/>
      <c r="CD178" s="47"/>
      <c r="CE178" s="47"/>
      <c r="CF178" s="47"/>
      <c r="CG178" s="47"/>
      <c r="CH178" s="47"/>
      <c r="CI178" s="47"/>
      <c r="CJ178" s="47"/>
      <c r="CK178" s="47"/>
      <c r="CL178" s="47"/>
      <c r="CM178" s="47"/>
      <c r="CN178" s="47"/>
      <c r="CO178" s="47"/>
      <c r="CP178" s="47"/>
      <c r="CQ178" s="47"/>
      <c r="CR178" s="47"/>
      <c r="CS178" s="47"/>
      <c r="CT178" s="47"/>
      <c r="CU178" s="47"/>
      <c r="CV178" s="47"/>
      <c r="CW178" s="47"/>
      <c r="CX178" s="47"/>
      <c r="CY178" s="47"/>
      <c r="CZ178" s="47"/>
      <c r="DA178" s="47"/>
      <c r="DB178" s="47"/>
      <c r="DC178" s="47"/>
      <c r="DD178" s="47"/>
      <c r="DE178" s="47"/>
      <c r="DF178" s="47"/>
      <c r="DG178" s="47"/>
      <c r="DH178" s="47"/>
      <c r="DI178" s="47"/>
      <c r="DJ178" s="47"/>
      <c r="DK178" s="47"/>
      <c r="DL178" s="47"/>
      <c r="DM178" s="47"/>
      <c r="DN178" s="47"/>
      <c r="DO178" s="47"/>
      <c r="DP178" s="47"/>
      <c r="DQ178" s="47"/>
      <c r="DR178" s="47"/>
      <c r="DS178" s="47"/>
      <c r="DT178" s="47"/>
      <c r="DU178" s="47"/>
      <c r="DV178" s="47"/>
      <c r="DW178" s="47"/>
      <c r="DX178" s="47"/>
      <c r="DY178" s="47"/>
      <c r="DZ178" s="219"/>
      <c r="EA178" s="231"/>
      <c r="EB178" s="231"/>
      <c r="EC178" s="231"/>
      <c r="ED178" s="231"/>
      <c r="EE178" s="231"/>
      <c r="EF178" s="231"/>
      <c r="EG178" s="231"/>
      <c r="EH178" s="231"/>
      <c r="EI178" s="231"/>
      <c r="EJ178" s="231"/>
      <c r="EK178" s="231"/>
      <c r="EL178" s="231"/>
      <c r="EM178" s="231"/>
      <c r="EN178" s="231"/>
      <c r="EO178" s="231"/>
      <c r="EP178" s="231"/>
      <c r="EQ178" s="231"/>
    </row>
    <row r="179" spans="1:147" ht="22.9" hidden="1" customHeight="1" outlineLevel="2" x14ac:dyDescent="0.2">
      <c r="A179" s="146" t="s">
        <v>657</v>
      </c>
      <c r="B179" s="53" t="s">
        <v>447</v>
      </c>
      <c r="C179" s="50" t="s">
        <v>133</v>
      </c>
      <c r="D179" s="165">
        <v>1</v>
      </c>
      <c r="E179" s="158">
        <v>1</v>
      </c>
      <c r="F179" s="52">
        <f>SUM(H179:DY179)*E179*Table1[[#This Row],[Cycles]]</f>
        <v>0</v>
      </c>
      <c r="G179" s="46">
        <f t="shared" si="55"/>
        <v>0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  <c r="DE179" s="47"/>
      <c r="DF179" s="47"/>
      <c r="DG179" s="47"/>
      <c r="DH179" s="47"/>
      <c r="DI179" s="47"/>
      <c r="DJ179" s="47"/>
      <c r="DK179" s="47"/>
      <c r="DL179" s="47"/>
      <c r="DM179" s="47"/>
      <c r="DN179" s="47"/>
      <c r="DO179" s="47"/>
      <c r="DP179" s="47"/>
      <c r="DQ179" s="47"/>
      <c r="DR179" s="47"/>
      <c r="DS179" s="47"/>
      <c r="DT179" s="47"/>
      <c r="DU179" s="47"/>
      <c r="DV179" s="47"/>
      <c r="DW179" s="47"/>
      <c r="DX179" s="47"/>
      <c r="DY179" s="47"/>
      <c r="DZ179" s="219"/>
      <c r="EA179" s="231"/>
      <c r="EB179" s="231"/>
      <c r="EC179" s="231"/>
      <c r="ED179" s="231"/>
      <c r="EE179" s="231"/>
      <c r="EF179" s="231"/>
      <c r="EG179" s="231"/>
      <c r="EH179" s="231"/>
      <c r="EI179" s="231"/>
      <c r="EJ179" s="231"/>
      <c r="EK179" s="231"/>
      <c r="EL179" s="231"/>
      <c r="EM179" s="231"/>
      <c r="EN179" s="231"/>
      <c r="EO179" s="231"/>
      <c r="EP179" s="231"/>
      <c r="EQ179" s="231"/>
    </row>
    <row r="180" spans="1:147" ht="22.9" hidden="1" customHeight="1" outlineLevel="2" x14ac:dyDescent="0.2">
      <c r="A180" s="146" t="s">
        <v>658</v>
      </c>
      <c r="B180" s="53" t="s">
        <v>282</v>
      </c>
      <c r="C180" s="50" t="s">
        <v>133</v>
      </c>
      <c r="D180" s="165">
        <v>1</v>
      </c>
      <c r="E180" s="158">
        <v>2</v>
      </c>
      <c r="F180" s="52">
        <f>SUM(H180:DY180)*E180*Table1[[#This Row],[Cycles]]</f>
        <v>0</v>
      </c>
      <c r="G180" s="46">
        <f t="shared" si="55"/>
        <v>0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  <c r="CQ180" s="47"/>
      <c r="CR180" s="47"/>
      <c r="CS180" s="47"/>
      <c r="CT180" s="47"/>
      <c r="CU180" s="47"/>
      <c r="CV180" s="47"/>
      <c r="CW180" s="47"/>
      <c r="CX180" s="47"/>
      <c r="CY180" s="47"/>
      <c r="CZ180" s="47"/>
      <c r="DA180" s="47"/>
      <c r="DB180" s="47"/>
      <c r="DC180" s="47"/>
      <c r="DD180" s="47"/>
      <c r="DE180" s="47"/>
      <c r="DF180" s="47"/>
      <c r="DG180" s="47"/>
      <c r="DH180" s="47"/>
      <c r="DI180" s="47"/>
      <c r="DJ180" s="47"/>
      <c r="DK180" s="47"/>
      <c r="DL180" s="47"/>
      <c r="DM180" s="47"/>
      <c r="DN180" s="47"/>
      <c r="DO180" s="47"/>
      <c r="DP180" s="47"/>
      <c r="DQ180" s="47"/>
      <c r="DR180" s="47"/>
      <c r="DS180" s="47"/>
      <c r="DT180" s="47"/>
      <c r="DU180" s="47"/>
      <c r="DV180" s="47"/>
      <c r="DW180" s="47"/>
      <c r="DX180" s="47"/>
      <c r="DY180" s="47"/>
      <c r="DZ180" s="219"/>
      <c r="EA180" s="231"/>
      <c r="EB180" s="231"/>
      <c r="EC180" s="231"/>
      <c r="ED180" s="231"/>
      <c r="EE180" s="231"/>
      <c r="EF180" s="231"/>
      <c r="EG180" s="231"/>
      <c r="EH180" s="231"/>
      <c r="EI180" s="231"/>
      <c r="EJ180" s="231"/>
      <c r="EK180" s="231"/>
      <c r="EL180" s="231"/>
      <c r="EM180" s="231"/>
      <c r="EN180" s="231"/>
      <c r="EO180" s="231"/>
      <c r="EP180" s="231"/>
      <c r="EQ180" s="231"/>
    </row>
    <row r="181" spans="1:147" ht="22.9" hidden="1" customHeight="1" outlineLevel="2" x14ac:dyDescent="0.2">
      <c r="A181" s="146" t="s">
        <v>659</v>
      </c>
      <c r="B181" s="53" t="s">
        <v>81</v>
      </c>
      <c r="C181" s="50" t="s">
        <v>133</v>
      </c>
      <c r="D181" s="165">
        <v>1</v>
      </c>
      <c r="E181" s="158">
        <v>1</v>
      </c>
      <c r="F181" s="52">
        <f>SUM(H181:DY181)*E181*Table1[[#This Row],[Cycles]]</f>
        <v>0</v>
      </c>
      <c r="G181" s="46">
        <f t="shared" si="55"/>
        <v>0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  <c r="CQ181" s="47"/>
      <c r="CR181" s="47"/>
      <c r="CS181" s="47"/>
      <c r="CT181" s="47"/>
      <c r="CU181" s="47"/>
      <c r="CV181" s="47"/>
      <c r="CW181" s="47"/>
      <c r="CX181" s="47"/>
      <c r="CY181" s="47"/>
      <c r="CZ181" s="47"/>
      <c r="DA181" s="47"/>
      <c r="DB181" s="47"/>
      <c r="DC181" s="47"/>
      <c r="DD181" s="47"/>
      <c r="DE181" s="47"/>
      <c r="DF181" s="47"/>
      <c r="DG181" s="47"/>
      <c r="DH181" s="47"/>
      <c r="DI181" s="47"/>
      <c r="DJ181" s="47"/>
      <c r="DK181" s="47"/>
      <c r="DL181" s="47"/>
      <c r="DM181" s="47"/>
      <c r="DN181" s="47"/>
      <c r="DO181" s="47"/>
      <c r="DP181" s="47"/>
      <c r="DQ181" s="47"/>
      <c r="DR181" s="47"/>
      <c r="DS181" s="47"/>
      <c r="DT181" s="47"/>
      <c r="DU181" s="47"/>
      <c r="DV181" s="47"/>
      <c r="DW181" s="47"/>
      <c r="DX181" s="47"/>
      <c r="DY181" s="47"/>
      <c r="DZ181" s="219"/>
      <c r="EA181" s="231"/>
      <c r="EB181" s="231"/>
      <c r="EC181" s="231"/>
      <c r="ED181" s="231"/>
      <c r="EE181" s="231"/>
      <c r="EF181" s="231"/>
      <c r="EG181" s="231"/>
      <c r="EH181" s="231"/>
      <c r="EI181" s="231"/>
      <c r="EJ181" s="231"/>
      <c r="EK181" s="231"/>
      <c r="EL181" s="231"/>
      <c r="EM181" s="231"/>
      <c r="EN181" s="231"/>
      <c r="EO181" s="231"/>
      <c r="EP181" s="231"/>
      <c r="EQ181" s="231"/>
    </row>
    <row r="182" spans="1:147" ht="22.9" hidden="1" customHeight="1" outlineLevel="2" x14ac:dyDescent="0.2">
      <c r="A182" s="146" t="s">
        <v>660</v>
      </c>
      <c r="B182" s="53" t="s">
        <v>82</v>
      </c>
      <c r="C182" s="50" t="s">
        <v>133</v>
      </c>
      <c r="D182" s="165">
        <v>1</v>
      </c>
      <c r="E182" s="158">
        <v>1</v>
      </c>
      <c r="F182" s="52">
        <f>SUM(H182:DY182)*E182*Table1[[#This Row],[Cycles]]</f>
        <v>0</v>
      </c>
      <c r="G182" s="46">
        <f t="shared" si="55"/>
        <v>0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  <c r="CU182" s="47"/>
      <c r="CV182" s="47"/>
      <c r="CW182" s="47"/>
      <c r="CX182" s="47"/>
      <c r="CY182" s="47"/>
      <c r="CZ182" s="47"/>
      <c r="DA182" s="47"/>
      <c r="DB182" s="47"/>
      <c r="DC182" s="47"/>
      <c r="DD182" s="47"/>
      <c r="DE182" s="47"/>
      <c r="DF182" s="47"/>
      <c r="DG182" s="47"/>
      <c r="DH182" s="47"/>
      <c r="DI182" s="47"/>
      <c r="DJ182" s="47"/>
      <c r="DK182" s="47"/>
      <c r="DL182" s="47"/>
      <c r="DM182" s="47"/>
      <c r="DN182" s="47"/>
      <c r="DO182" s="47"/>
      <c r="DP182" s="47"/>
      <c r="DQ182" s="47"/>
      <c r="DR182" s="47"/>
      <c r="DS182" s="47"/>
      <c r="DT182" s="47"/>
      <c r="DU182" s="47"/>
      <c r="DV182" s="47"/>
      <c r="DW182" s="47"/>
      <c r="DX182" s="47"/>
      <c r="DY182" s="47"/>
      <c r="DZ182" s="219"/>
      <c r="EA182" s="231"/>
      <c r="EB182" s="231"/>
      <c r="EC182" s="231"/>
      <c r="ED182" s="231"/>
      <c r="EE182" s="231"/>
      <c r="EF182" s="231"/>
      <c r="EG182" s="231"/>
      <c r="EH182" s="231"/>
      <c r="EI182" s="231"/>
      <c r="EJ182" s="231"/>
      <c r="EK182" s="231"/>
      <c r="EL182" s="231"/>
      <c r="EM182" s="231"/>
      <c r="EN182" s="231"/>
      <c r="EO182" s="231"/>
      <c r="EP182" s="231"/>
      <c r="EQ182" s="231"/>
    </row>
    <row r="183" spans="1:147" ht="22.9" hidden="1" customHeight="1" outlineLevel="2" x14ac:dyDescent="0.2">
      <c r="A183" s="146" t="s">
        <v>661</v>
      </c>
      <c r="B183" s="53" t="s">
        <v>83</v>
      </c>
      <c r="C183" s="50" t="s">
        <v>133</v>
      </c>
      <c r="D183" s="165">
        <v>1</v>
      </c>
      <c r="E183" s="158">
        <v>1</v>
      </c>
      <c r="F183" s="52">
        <f>SUM(H183:DY183)*E183*Table1[[#This Row],[Cycles]]</f>
        <v>0</v>
      </c>
      <c r="G183" s="46">
        <f t="shared" ref="G183:G195" si="56">SUMPRODUCT($H$3:$DY$3,$H183:$DY183)*E183*D183</f>
        <v>0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  <c r="BS183" s="47"/>
      <c r="BT183" s="47"/>
      <c r="BU183" s="47"/>
      <c r="BV183" s="47"/>
      <c r="BW183" s="47"/>
      <c r="BX183" s="47"/>
      <c r="BY183" s="47"/>
      <c r="BZ183" s="47"/>
      <c r="CA183" s="47"/>
      <c r="CB183" s="47"/>
      <c r="CC183" s="47"/>
      <c r="CD183" s="47"/>
      <c r="CE183" s="47"/>
      <c r="CF183" s="47"/>
      <c r="CG183" s="47"/>
      <c r="CH183" s="47"/>
      <c r="CI183" s="47"/>
      <c r="CJ183" s="47"/>
      <c r="CK183" s="47"/>
      <c r="CL183" s="47"/>
      <c r="CM183" s="47"/>
      <c r="CN183" s="47"/>
      <c r="CO183" s="47"/>
      <c r="CP183" s="47"/>
      <c r="CQ183" s="47"/>
      <c r="CR183" s="47"/>
      <c r="CS183" s="47"/>
      <c r="CT183" s="47"/>
      <c r="CU183" s="47"/>
      <c r="CV183" s="47"/>
      <c r="CW183" s="47"/>
      <c r="CX183" s="47"/>
      <c r="CY183" s="47"/>
      <c r="CZ183" s="47"/>
      <c r="DA183" s="47"/>
      <c r="DB183" s="47"/>
      <c r="DC183" s="47"/>
      <c r="DD183" s="47"/>
      <c r="DE183" s="47"/>
      <c r="DF183" s="47"/>
      <c r="DG183" s="47"/>
      <c r="DH183" s="47"/>
      <c r="DI183" s="47"/>
      <c r="DJ183" s="47"/>
      <c r="DK183" s="47"/>
      <c r="DL183" s="47"/>
      <c r="DM183" s="47"/>
      <c r="DN183" s="47"/>
      <c r="DO183" s="47"/>
      <c r="DP183" s="47"/>
      <c r="DQ183" s="47"/>
      <c r="DR183" s="47"/>
      <c r="DS183" s="47"/>
      <c r="DT183" s="47"/>
      <c r="DU183" s="47"/>
      <c r="DV183" s="47"/>
      <c r="DW183" s="47"/>
      <c r="DX183" s="47"/>
      <c r="DY183" s="47"/>
      <c r="DZ183" s="219"/>
      <c r="EA183" s="231"/>
      <c r="EB183" s="231"/>
      <c r="EC183" s="231"/>
      <c r="ED183" s="231"/>
      <c r="EE183" s="231"/>
      <c r="EF183" s="231"/>
      <c r="EG183" s="231"/>
      <c r="EH183" s="231"/>
      <c r="EI183" s="231"/>
      <c r="EJ183" s="231"/>
      <c r="EK183" s="231"/>
      <c r="EL183" s="231"/>
      <c r="EM183" s="231"/>
      <c r="EN183" s="231"/>
      <c r="EO183" s="231"/>
      <c r="EP183" s="231"/>
      <c r="EQ183" s="231"/>
    </row>
    <row r="184" spans="1:147" ht="22.9" hidden="1" customHeight="1" outlineLevel="2" x14ac:dyDescent="0.2">
      <c r="A184" s="146" t="s">
        <v>662</v>
      </c>
      <c r="B184" s="53" t="s">
        <v>448</v>
      </c>
      <c r="C184" s="50" t="s">
        <v>133</v>
      </c>
      <c r="D184" s="165">
        <v>1</v>
      </c>
      <c r="E184" s="158">
        <v>1</v>
      </c>
      <c r="F184" s="52">
        <f>SUM(H184:DY184)*E184*Table1[[#This Row],[Cycles]]</f>
        <v>0</v>
      </c>
      <c r="G184" s="46">
        <f t="shared" si="56"/>
        <v>0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  <c r="BS184" s="47"/>
      <c r="BT184" s="47"/>
      <c r="BU184" s="47"/>
      <c r="BV184" s="47"/>
      <c r="BW184" s="47"/>
      <c r="BX184" s="47"/>
      <c r="BY184" s="47"/>
      <c r="BZ184" s="47"/>
      <c r="CA184" s="47"/>
      <c r="CB184" s="47"/>
      <c r="CC184" s="47"/>
      <c r="CD184" s="47"/>
      <c r="CE184" s="47"/>
      <c r="CF184" s="47"/>
      <c r="CG184" s="47"/>
      <c r="CH184" s="47"/>
      <c r="CI184" s="47"/>
      <c r="CJ184" s="47"/>
      <c r="CK184" s="47"/>
      <c r="CL184" s="47"/>
      <c r="CM184" s="47"/>
      <c r="CN184" s="47"/>
      <c r="CO184" s="47"/>
      <c r="CP184" s="47"/>
      <c r="CQ184" s="47"/>
      <c r="CR184" s="47"/>
      <c r="CS184" s="47"/>
      <c r="CT184" s="47"/>
      <c r="CU184" s="47"/>
      <c r="CV184" s="47"/>
      <c r="CW184" s="47"/>
      <c r="CX184" s="47"/>
      <c r="CY184" s="47"/>
      <c r="CZ184" s="47"/>
      <c r="DA184" s="47"/>
      <c r="DB184" s="47"/>
      <c r="DC184" s="47"/>
      <c r="DD184" s="47"/>
      <c r="DE184" s="47"/>
      <c r="DF184" s="47"/>
      <c r="DG184" s="47"/>
      <c r="DH184" s="47"/>
      <c r="DI184" s="47"/>
      <c r="DJ184" s="47"/>
      <c r="DK184" s="47"/>
      <c r="DL184" s="47"/>
      <c r="DM184" s="47"/>
      <c r="DN184" s="47"/>
      <c r="DO184" s="47"/>
      <c r="DP184" s="47"/>
      <c r="DQ184" s="47"/>
      <c r="DR184" s="47"/>
      <c r="DS184" s="47"/>
      <c r="DT184" s="47"/>
      <c r="DU184" s="47"/>
      <c r="DV184" s="47"/>
      <c r="DW184" s="47"/>
      <c r="DX184" s="47"/>
      <c r="DY184" s="47"/>
      <c r="DZ184" s="219"/>
      <c r="EA184" s="231"/>
      <c r="EB184" s="231"/>
      <c r="EC184" s="231"/>
      <c r="ED184" s="231"/>
      <c r="EE184" s="231"/>
      <c r="EF184" s="231"/>
      <c r="EG184" s="231"/>
      <c r="EH184" s="231"/>
      <c r="EI184" s="231"/>
      <c r="EJ184" s="231"/>
      <c r="EK184" s="231"/>
      <c r="EL184" s="231"/>
      <c r="EM184" s="231"/>
      <c r="EN184" s="231"/>
      <c r="EO184" s="231"/>
      <c r="EP184" s="231"/>
      <c r="EQ184" s="231"/>
    </row>
    <row r="185" spans="1:147" ht="22.9" hidden="1" customHeight="1" outlineLevel="2" x14ac:dyDescent="0.2">
      <c r="A185" s="146" t="s">
        <v>663</v>
      </c>
      <c r="B185" s="53" t="s">
        <v>449</v>
      </c>
      <c r="C185" s="50" t="s">
        <v>133</v>
      </c>
      <c r="D185" s="165">
        <v>1</v>
      </c>
      <c r="E185" s="158">
        <v>1</v>
      </c>
      <c r="F185" s="52">
        <f>SUM(H185:DY185)*E185*Table1[[#This Row],[Cycles]]</f>
        <v>0</v>
      </c>
      <c r="G185" s="46">
        <f t="shared" si="56"/>
        <v>0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  <c r="BS185" s="47"/>
      <c r="BT185" s="47"/>
      <c r="BU185" s="47"/>
      <c r="BV185" s="47"/>
      <c r="BW185" s="47"/>
      <c r="BX185" s="47"/>
      <c r="BY185" s="47"/>
      <c r="BZ185" s="47"/>
      <c r="CA185" s="47"/>
      <c r="CB185" s="47"/>
      <c r="CC185" s="47"/>
      <c r="CD185" s="47"/>
      <c r="CE185" s="47"/>
      <c r="CF185" s="47"/>
      <c r="CG185" s="47"/>
      <c r="CH185" s="47"/>
      <c r="CI185" s="47"/>
      <c r="CJ185" s="47"/>
      <c r="CK185" s="47"/>
      <c r="CL185" s="47"/>
      <c r="CM185" s="47"/>
      <c r="CN185" s="47"/>
      <c r="CO185" s="47"/>
      <c r="CP185" s="47"/>
      <c r="CQ185" s="47"/>
      <c r="CR185" s="47"/>
      <c r="CS185" s="47"/>
      <c r="CT185" s="47"/>
      <c r="CU185" s="47"/>
      <c r="CV185" s="47"/>
      <c r="CW185" s="47"/>
      <c r="CX185" s="47"/>
      <c r="CY185" s="47"/>
      <c r="CZ185" s="47"/>
      <c r="DA185" s="47"/>
      <c r="DB185" s="47"/>
      <c r="DC185" s="47"/>
      <c r="DD185" s="47"/>
      <c r="DE185" s="47"/>
      <c r="DF185" s="47"/>
      <c r="DG185" s="47"/>
      <c r="DH185" s="47"/>
      <c r="DI185" s="47"/>
      <c r="DJ185" s="47"/>
      <c r="DK185" s="47"/>
      <c r="DL185" s="47"/>
      <c r="DM185" s="47"/>
      <c r="DN185" s="47"/>
      <c r="DO185" s="47"/>
      <c r="DP185" s="47"/>
      <c r="DQ185" s="47"/>
      <c r="DR185" s="47"/>
      <c r="DS185" s="47"/>
      <c r="DT185" s="47"/>
      <c r="DU185" s="47"/>
      <c r="DV185" s="47"/>
      <c r="DW185" s="47"/>
      <c r="DX185" s="47"/>
      <c r="DY185" s="47"/>
      <c r="DZ185" s="219"/>
      <c r="EA185" s="231"/>
      <c r="EB185" s="231"/>
      <c r="EC185" s="231"/>
      <c r="ED185" s="231"/>
      <c r="EE185" s="231"/>
      <c r="EF185" s="231"/>
      <c r="EG185" s="231"/>
      <c r="EH185" s="231"/>
      <c r="EI185" s="231"/>
      <c r="EJ185" s="231"/>
      <c r="EK185" s="231"/>
      <c r="EL185" s="231"/>
      <c r="EM185" s="231"/>
      <c r="EN185" s="231"/>
      <c r="EO185" s="231"/>
      <c r="EP185" s="231"/>
      <c r="EQ185" s="231"/>
    </row>
    <row r="186" spans="1:147" ht="22.9" hidden="1" customHeight="1" outlineLevel="2" x14ac:dyDescent="0.2">
      <c r="A186" s="146" t="s">
        <v>664</v>
      </c>
      <c r="B186" s="53" t="s">
        <v>84</v>
      </c>
      <c r="C186" s="50" t="s">
        <v>133</v>
      </c>
      <c r="D186" s="165">
        <v>1</v>
      </c>
      <c r="E186" s="158">
        <v>1</v>
      </c>
      <c r="F186" s="52">
        <f>SUM(H186:DY186)*E186*Table1[[#This Row],[Cycles]]</f>
        <v>0</v>
      </c>
      <c r="G186" s="46">
        <f t="shared" si="56"/>
        <v>0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  <c r="DE186" s="47"/>
      <c r="DF186" s="47"/>
      <c r="DG186" s="47"/>
      <c r="DH186" s="47"/>
      <c r="DI186" s="47"/>
      <c r="DJ186" s="47"/>
      <c r="DK186" s="47"/>
      <c r="DL186" s="47"/>
      <c r="DM186" s="47"/>
      <c r="DN186" s="47"/>
      <c r="DO186" s="47"/>
      <c r="DP186" s="47"/>
      <c r="DQ186" s="47"/>
      <c r="DR186" s="47"/>
      <c r="DS186" s="47"/>
      <c r="DT186" s="47"/>
      <c r="DU186" s="47"/>
      <c r="DV186" s="47"/>
      <c r="DW186" s="47"/>
      <c r="DX186" s="47"/>
      <c r="DY186" s="47"/>
      <c r="DZ186" s="219"/>
      <c r="EA186" s="231"/>
      <c r="EB186" s="231"/>
      <c r="EC186" s="231"/>
      <c r="ED186" s="231"/>
      <c r="EE186" s="231"/>
      <c r="EF186" s="231"/>
      <c r="EG186" s="231"/>
      <c r="EH186" s="231"/>
      <c r="EI186" s="231"/>
      <c r="EJ186" s="231"/>
      <c r="EK186" s="231"/>
      <c r="EL186" s="231"/>
      <c r="EM186" s="231"/>
      <c r="EN186" s="231"/>
      <c r="EO186" s="231"/>
      <c r="EP186" s="231"/>
      <c r="EQ186" s="231"/>
    </row>
    <row r="187" spans="1:147" ht="22.9" hidden="1" customHeight="1" outlineLevel="2" x14ac:dyDescent="0.2">
      <c r="A187" s="146" t="s">
        <v>665</v>
      </c>
      <c r="B187" s="53" t="s">
        <v>140</v>
      </c>
      <c r="C187" s="50" t="s">
        <v>133</v>
      </c>
      <c r="D187" s="165">
        <v>1</v>
      </c>
      <c r="E187" s="158">
        <v>1</v>
      </c>
      <c r="F187" s="52">
        <f>SUM(H187:DY187)*E187*Table1[[#This Row],[Cycles]]</f>
        <v>0</v>
      </c>
      <c r="G187" s="46">
        <f t="shared" si="56"/>
        <v>0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  <c r="BS187" s="47"/>
      <c r="BT187" s="47"/>
      <c r="BU187" s="47"/>
      <c r="BV187" s="47"/>
      <c r="BW187" s="47"/>
      <c r="BX187" s="47"/>
      <c r="BY187" s="47"/>
      <c r="BZ187" s="47"/>
      <c r="CA187" s="47"/>
      <c r="CB187" s="47"/>
      <c r="CC187" s="47"/>
      <c r="CD187" s="47"/>
      <c r="CE187" s="47"/>
      <c r="CF187" s="47"/>
      <c r="CG187" s="47"/>
      <c r="CH187" s="47"/>
      <c r="CI187" s="47"/>
      <c r="CJ187" s="47"/>
      <c r="CK187" s="47"/>
      <c r="CL187" s="47"/>
      <c r="CM187" s="47"/>
      <c r="CN187" s="47"/>
      <c r="CO187" s="47"/>
      <c r="CP187" s="47"/>
      <c r="CQ187" s="47"/>
      <c r="CR187" s="47"/>
      <c r="CS187" s="47"/>
      <c r="CT187" s="47"/>
      <c r="CU187" s="47"/>
      <c r="CV187" s="47"/>
      <c r="CW187" s="47"/>
      <c r="CX187" s="47"/>
      <c r="CY187" s="47"/>
      <c r="CZ187" s="47"/>
      <c r="DA187" s="47"/>
      <c r="DB187" s="47"/>
      <c r="DC187" s="47"/>
      <c r="DD187" s="47"/>
      <c r="DE187" s="47"/>
      <c r="DF187" s="47"/>
      <c r="DG187" s="47"/>
      <c r="DH187" s="47"/>
      <c r="DI187" s="47"/>
      <c r="DJ187" s="47"/>
      <c r="DK187" s="47"/>
      <c r="DL187" s="47"/>
      <c r="DM187" s="47"/>
      <c r="DN187" s="47"/>
      <c r="DO187" s="47"/>
      <c r="DP187" s="47"/>
      <c r="DQ187" s="47"/>
      <c r="DR187" s="47"/>
      <c r="DS187" s="47"/>
      <c r="DT187" s="47"/>
      <c r="DU187" s="47"/>
      <c r="DV187" s="47"/>
      <c r="DW187" s="47"/>
      <c r="DX187" s="47"/>
      <c r="DY187" s="47"/>
      <c r="DZ187" s="219"/>
      <c r="EA187" s="231"/>
      <c r="EB187" s="231"/>
      <c r="EC187" s="231"/>
      <c r="ED187" s="231"/>
      <c r="EE187" s="231"/>
      <c r="EF187" s="231"/>
      <c r="EG187" s="231"/>
      <c r="EH187" s="231"/>
      <c r="EI187" s="231"/>
      <c r="EJ187" s="231"/>
      <c r="EK187" s="231"/>
      <c r="EL187" s="231"/>
      <c r="EM187" s="231"/>
      <c r="EN187" s="231"/>
      <c r="EO187" s="231"/>
      <c r="EP187" s="231"/>
      <c r="EQ187" s="231"/>
    </row>
    <row r="188" spans="1:147" ht="22.9" hidden="1" customHeight="1" outlineLevel="2" x14ac:dyDescent="0.2">
      <c r="A188" s="146" t="s">
        <v>666</v>
      </c>
      <c r="B188" s="53" t="s">
        <v>91</v>
      </c>
      <c r="C188" s="50" t="s">
        <v>133</v>
      </c>
      <c r="D188" s="165">
        <v>1</v>
      </c>
      <c r="E188" s="158">
        <v>1</v>
      </c>
      <c r="F188" s="52">
        <f>SUM(H188:DY188)*E188*Table1[[#This Row],[Cycles]]</f>
        <v>0</v>
      </c>
      <c r="G188" s="46">
        <f t="shared" si="56"/>
        <v>0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  <c r="BS188" s="47"/>
      <c r="BT188" s="47"/>
      <c r="BU188" s="47"/>
      <c r="BV188" s="47"/>
      <c r="BW188" s="47"/>
      <c r="BX188" s="47"/>
      <c r="BY188" s="47"/>
      <c r="BZ188" s="47"/>
      <c r="CA188" s="47"/>
      <c r="CB188" s="47"/>
      <c r="CC188" s="47"/>
      <c r="CD188" s="47"/>
      <c r="CE188" s="47"/>
      <c r="CF188" s="47"/>
      <c r="CG188" s="47"/>
      <c r="CH188" s="47"/>
      <c r="CI188" s="47"/>
      <c r="CJ188" s="47"/>
      <c r="CK188" s="47"/>
      <c r="CL188" s="47"/>
      <c r="CM188" s="47"/>
      <c r="CN188" s="47"/>
      <c r="CO188" s="47"/>
      <c r="CP188" s="47"/>
      <c r="CQ188" s="47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  <c r="DE188" s="47"/>
      <c r="DF188" s="47"/>
      <c r="DG188" s="47"/>
      <c r="DH188" s="47"/>
      <c r="DI188" s="47"/>
      <c r="DJ188" s="47"/>
      <c r="DK188" s="47"/>
      <c r="DL188" s="47"/>
      <c r="DM188" s="47"/>
      <c r="DN188" s="47"/>
      <c r="DO188" s="47"/>
      <c r="DP188" s="47"/>
      <c r="DQ188" s="47"/>
      <c r="DR188" s="47"/>
      <c r="DS188" s="47"/>
      <c r="DT188" s="47"/>
      <c r="DU188" s="47"/>
      <c r="DV188" s="47"/>
      <c r="DW188" s="47"/>
      <c r="DX188" s="47"/>
      <c r="DY188" s="47"/>
      <c r="DZ188" s="219"/>
      <c r="EA188" s="231"/>
      <c r="EB188" s="231"/>
      <c r="EC188" s="231"/>
      <c r="ED188" s="231"/>
      <c r="EE188" s="231"/>
      <c r="EF188" s="231"/>
      <c r="EG188" s="231"/>
      <c r="EH188" s="231"/>
      <c r="EI188" s="231"/>
      <c r="EJ188" s="231"/>
      <c r="EK188" s="231"/>
      <c r="EL188" s="231"/>
      <c r="EM188" s="231"/>
      <c r="EN188" s="231"/>
      <c r="EO188" s="231"/>
      <c r="EP188" s="231"/>
      <c r="EQ188" s="231"/>
    </row>
    <row r="189" spans="1:147" ht="22.9" hidden="1" customHeight="1" outlineLevel="2" x14ac:dyDescent="0.2">
      <c r="A189" s="146" t="s">
        <v>667</v>
      </c>
      <c r="B189" s="53" t="s">
        <v>92</v>
      </c>
      <c r="C189" s="50" t="s">
        <v>133</v>
      </c>
      <c r="D189" s="165">
        <v>1</v>
      </c>
      <c r="E189" s="158">
        <v>1</v>
      </c>
      <c r="F189" s="52">
        <f>SUM(H189:DY189)*E189*Table1[[#This Row],[Cycles]]</f>
        <v>0</v>
      </c>
      <c r="G189" s="46">
        <f t="shared" si="56"/>
        <v>0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  <c r="BS189" s="47"/>
      <c r="BT189" s="47"/>
      <c r="BU189" s="47"/>
      <c r="BV189" s="47"/>
      <c r="BW189" s="47"/>
      <c r="BX189" s="47"/>
      <c r="BY189" s="47"/>
      <c r="BZ189" s="47"/>
      <c r="CA189" s="47"/>
      <c r="CB189" s="47"/>
      <c r="CC189" s="47"/>
      <c r="CD189" s="47"/>
      <c r="CE189" s="47"/>
      <c r="CF189" s="47"/>
      <c r="CG189" s="47"/>
      <c r="CH189" s="47"/>
      <c r="CI189" s="47"/>
      <c r="CJ189" s="47"/>
      <c r="CK189" s="47"/>
      <c r="CL189" s="47"/>
      <c r="CM189" s="47"/>
      <c r="CN189" s="47"/>
      <c r="CO189" s="47"/>
      <c r="CP189" s="47"/>
      <c r="CQ189" s="47"/>
      <c r="CR189" s="47"/>
      <c r="CS189" s="47"/>
      <c r="CT189" s="47"/>
      <c r="CU189" s="47"/>
      <c r="CV189" s="47"/>
      <c r="CW189" s="47"/>
      <c r="CX189" s="47"/>
      <c r="CY189" s="47"/>
      <c r="CZ189" s="47"/>
      <c r="DA189" s="47"/>
      <c r="DB189" s="47"/>
      <c r="DC189" s="47"/>
      <c r="DD189" s="47"/>
      <c r="DE189" s="47"/>
      <c r="DF189" s="47"/>
      <c r="DG189" s="47"/>
      <c r="DH189" s="47"/>
      <c r="DI189" s="47"/>
      <c r="DJ189" s="47"/>
      <c r="DK189" s="47"/>
      <c r="DL189" s="47"/>
      <c r="DM189" s="47"/>
      <c r="DN189" s="47"/>
      <c r="DO189" s="47"/>
      <c r="DP189" s="47"/>
      <c r="DQ189" s="47"/>
      <c r="DR189" s="47"/>
      <c r="DS189" s="47"/>
      <c r="DT189" s="47"/>
      <c r="DU189" s="47"/>
      <c r="DV189" s="47"/>
      <c r="DW189" s="47"/>
      <c r="DX189" s="47"/>
      <c r="DY189" s="47"/>
      <c r="DZ189" s="219"/>
      <c r="EA189" s="231"/>
      <c r="EB189" s="231"/>
      <c r="EC189" s="231"/>
      <c r="ED189" s="231"/>
      <c r="EE189" s="231"/>
      <c r="EF189" s="231"/>
      <c r="EG189" s="231"/>
      <c r="EH189" s="231"/>
      <c r="EI189" s="231"/>
      <c r="EJ189" s="231"/>
      <c r="EK189" s="231"/>
      <c r="EL189" s="231"/>
      <c r="EM189" s="231"/>
      <c r="EN189" s="231"/>
      <c r="EO189" s="231"/>
      <c r="EP189" s="231"/>
      <c r="EQ189" s="231"/>
    </row>
    <row r="190" spans="1:147" ht="22.9" hidden="1" customHeight="1" outlineLevel="2" x14ac:dyDescent="0.2">
      <c r="A190" s="146" t="s">
        <v>668</v>
      </c>
      <c r="B190" s="53" t="s">
        <v>93</v>
      </c>
      <c r="C190" s="50" t="s">
        <v>133</v>
      </c>
      <c r="D190" s="165">
        <v>1</v>
      </c>
      <c r="E190" s="158">
        <v>1</v>
      </c>
      <c r="F190" s="52">
        <f>SUM(H190:DY190)*E190*Table1[[#This Row],[Cycles]]</f>
        <v>0</v>
      </c>
      <c r="G190" s="46">
        <f t="shared" si="56"/>
        <v>0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  <c r="BS190" s="47"/>
      <c r="BT190" s="47"/>
      <c r="BU190" s="47"/>
      <c r="BV190" s="47"/>
      <c r="BW190" s="47"/>
      <c r="BX190" s="47"/>
      <c r="BY190" s="47"/>
      <c r="BZ190" s="47"/>
      <c r="CA190" s="47"/>
      <c r="CB190" s="47"/>
      <c r="CC190" s="47"/>
      <c r="CD190" s="47"/>
      <c r="CE190" s="47"/>
      <c r="CF190" s="47"/>
      <c r="CG190" s="47"/>
      <c r="CH190" s="47"/>
      <c r="CI190" s="47"/>
      <c r="CJ190" s="47"/>
      <c r="CK190" s="47"/>
      <c r="CL190" s="47"/>
      <c r="CM190" s="47"/>
      <c r="CN190" s="47"/>
      <c r="CO190" s="47"/>
      <c r="CP190" s="47"/>
      <c r="CQ190" s="47"/>
      <c r="CR190" s="47"/>
      <c r="CS190" s="47"/>
      <c r="CT190" s="47"/>
      <c r="CU190" s="47"/>
      <c r="CV190" s="47"/>
      <c r="CW190" s="47"/>
      <c r="CX190" s="47"/>
      <c r="CY190" s="47"/>
      <c r="CZ190" s="47"/>
      <c r="DA190" s="47"/>
      <c r="DB190" s="47"/>
      <c r="DC190" s="47"/>
      <c r="DD190" s="47"/>
      <c r="DE190" s="47"/>
      <c r="DF190" s="47"/>
      <c r="DG190" s="47"/>
      <c r="DH190" s="47"/>
      <c r="DI190" s="47"/>
      <c r="DJ190" s="47"/>
      <c r="DK190" s="47"/>
      <c r="DL190" s="47"/>
      <c r="DM190" s="47"/>
      <c r="DN190" s="47"/>
      <c r="DO190" s="47"/>
      <c r="DP190" s="47"/>
      <c r="DQ190" s="47"/>
      <c r="DR190" s="47"/>
      <c r="DS190" s="47"/>
      <c r="DT190" s="47"/>
      <c r="DU190" s="47"/>
      <c r="DV190" s="47"/>
      <c r="DW190" s="47"/>
      <c r="DX190" s="47"/>
      <c r="DY190" s="47"/>
      <c r="DZ190" s="219"/>
      <c r="EA190" s="231"/>
      <c r="EB190" s="231"/>
      <c r="EC190" s="231"/>
      <c r="ED190" s="231"/>
      <c r="EE190" s="231"/>
      <c r="EF190" s="231"/>
      <c r="EG190" s="231"/>
      <c r="EH190" s="231"/>
      <c r="EI190" s="231"/>
      <c r="EJ190" s="231"/>
      <c r="EK190" s="231"/>
      <c r="EL190" s="231"/>
      <c r="EM190" s="231"/>
      <c r="EN190" s="231"/>
      <c r="EO190" s="231"/>
      <c r="EP190" s="231"/>
      <c r="EQ190" s="231"/>
    </row>
    <row r="191" spans="1:147" ht="22.9" hidden="1" customHeight="1" outlineLevel="2" x14ac:dyDescent="0.2">
      <c r="A191" s="146" t="s">
        <v>669</v>
      </c>
      <c r="B191" s="53" t="s">
        <v>94</v>
      </c>
      <c r="C191" s="50" t="s">
        <v>133</v>
      </c>
      <c r="D191" s="165">
        <v>1</v>
      </c>
      <c r="E191" s="158">
        <v>1</v>
      </c>
      <c r="F191" s="52">
        <f>SUM(H191:DY191)*E191*Table1[[#This Row],[Cycles]]</f>
        <v>0</v>
      </c>
      <c r="G191" s="46">
        <f t="shared" si="56"/>
        <v>0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  <c r="BS191" s="47"/>
      <c r="BT191" s="47"/>
      <c r="BU191" s="47"/>
      <c r="BV191" s="47"/>
      <c r="BW191" s="47"/>
      <c r="BX191" s="47"/>
      <c r="BY191" s="47"/>
      <c r="BZ191" s="47"/>
      <c r="CA191" s="47"/>
      <c r="CB191" s="47"/>
      <c r="CC191" s="47"/>
      <c r="CD191" s="47"/>
      <c r="CE191" s="47"/>
      <c r="CF191" s="47"/>
      <c r="CG191" s="47"/>
      <c r="CH191" s="47"/>
      <c r="CI191" s="47"/>
      <c r="CJ191" s="47"/>
      <c r="CK191" s="47"/>
      <c r="CL191" s="47"/>
      <c r="CM191" s="47"/>
      <c r="CN191" s="47"/>
      <c r="CO191" s="47"/>
      <c r="CP191" s="47"/>
      <c r="CQ191" s="47"/>
      <c r="CR191" s="47"/>
      <c r="CS191" s="47"/>
      <c r="CT191" s="47"/>
      <c r="CU191" s="47"/>
      <c r="CV191" s="47"/>
      <c r="CW191" s="47"/>
      <c r="CX191" s="47"/>
      <c r="CY191" s="47"/>
      <c r="CZ191" s="47"/>
      <c r="DA191" s="47"/>
      <c r="DB191" s="47"/>
      <c r="DC191" s="47"/>
      <c r="DD191" s="47"/>
      <c r="DE191" s="47"/>
      <c r="DF191" s="47"/>
      <c r="DG191" s="47"/>
      <c r="DH191" s="47"/>
      <c r="DI191" s="47"/>
      <c r="DJ191" s="47"/>
      <c r="DK191" s="47"/>
      <c r="DL191" s="47"/>
      <c r="DM191" s="47"/>
      <c r="DN191" s="47"/>
      <c r="DO191" s="47"/>
      <c r="DP191" s="47"/>
      <c r="DQ191" s="47"/>
      <c r="DR191" s="47"/>
      <c r="DS191" s="47"/>
      <c r="DT191" s="47"/>
      <c r="DU191" s="47"/>
      <c r="DV191" s="47"/>
      <c r="DW191" s="47"/>
      <c r="DX191" s="47"/>
      <c r="DY191" s="47"/>
      <c r="DZ191" s="219"/>
      <c r="EA191" s="231"/>
      <c r="EB191" s="231"/>
      <c r="EC191" s="231"/>
      <c r="ED191" s="231"/>
      <c r="EE191" s="231"/>
      <c r="EF191" s="231"/>
      <c r="EG191" s="231"/>
      <c r="EH191" s="231"/>
      <c r="EI191" s="231"/>
      <c r="EJ191" s="231"/>
      <c r="EK191" s="231"/>
      <c r="EL191" s="231"/>
      <c r="EM191" s="231"/>
      <c r="EN191" s="231"/>
      <c r="EO191" s="231"/>
      <c r="EP191" s="231"/>
      <c r="EQ191" s="231"/>
    </row>
    <row r="192" spans="1:147" ht="22.9" hidden="1" customHeight="1" outlineLevel="2" x14ac:dyDescent="0.2">
      <c r="A192" s="146" t="s">
        <v>670</v>
      </c>
      <c r="B192" s="53" t="s">
        <v>95</v>
      </c>
      <c r="C192" s="50" t="s">
        <v>133</v>
      </c>
      <c r="D192" s="165">
        <v>1</v>
      </c>
      <c r="E192" s="158">
        <v>1</v>
      </c>
      <c r="F192" s="52">
        <f>SUM(H192:DY192)*E192*Table1[[#This Row],[Cycles]]</f>
        <v>0</v>
      </c>
      <c r="G192" s="46">
        <f t="shared" si="56"/>
        <v>0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219"/>
      <c r="EA192" s="231"/>
      <c r="EB192" s="231"/>
      <c r="EC192" s="231"/>
      <c r="ED192" s="231"/>
      <c r="EE192" s="231"/>
      <c r="EF192" s="231"/>
      <c r="EG192" s="231"/>
      <c r="EH192" s="231"/>
      <c r="EI192" s="231"/>
      <c r="EJ192" s="231"/>
      <c r="EK192" s="231"/>
      <c r="EL192" s="231"/>
      <c r="EM192" s="231"/>
      <c r="EN192" s="231"/>
      <c r="EO192" s="231"/>
      <c r="EP192" s="231"/>
      <c r="EQ192" s="231"/>
    </row>
    <row r="193" spans="1:147" ht="22.9" hidden="1" customHeight="1" outlineLevel="2" x14ac:dyDescent="0.2">
      <c r="A193" s="146" t="s">
        <v>671</v>
      </c>
      <c r="B193" s="53" t="s">
        <v>219</v>
      </c>
      <c r="C193" s="50" t="s">
        <v>133</v>
      </c>
      <c r="D193" s="165">
        <v>1</v>
      </c>
      <c r="E193" s="158">
        <v>1</v>
      </c>
      <c r="F193" s="52">
        <f>SUM(H193:DY193)*E193*Table1[[#This Row],[Cycles]]</f>
        <v>0</v>
      </c>
      <c r="G193" s="46">
        <f t="shared" si="56"/>
        <v>0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  <c r="BS193" s="47"/>
      <c r="BT193" s="47"/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47"/>
      <c r="CM193" s="47"/>
      <c r="CN193" s="47"/>
      <c r="CO193" s="47"/>
      <c r="CP193" s="47"/>
      <c r="CQ193" s="47"/>
      <c r="CR193" s="47"/>
      <c r="CS193" s="47"/>
      <c r="CT193" s="47"/>
      <c r="CU193" s="47"/>
      <c r="CV193" s="47"/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7"/>
      <c r="DX193" s="47"/>
      <c r="DY193" s="47"/>
      <c r="DZ193" s="219"/>
      <c r="EA193" s="231"/>
      <c r="EB193" s="231"/>
      <c r="EC193" s="231"/>
      <c r="ED193" s="231"/>
      <c r="EE193" s="231"/>
      <c r="EF193" s="231"/>
      <c r="EG193" s="231"/>
      <c r="EH193" s="231"/>
      <c r="EI193" s="231"/>
      <c r="EJ193" s="231"/>
      <c r="EK193" s="231"/>
      <c r="EL193" s="231"/>
      <c r="EM193" s="231"/>
      <c r="EN193" s="231"/>
      <c r="EO193" s="231"/>
      <c r="EP193" s="231"/>
      <c r="EQ193" s="231"/>
    </row>
    <row r="194" spans="1:147" ht="22.9" hidden="1" customHeight="1" outlineLevel="2" x14ac:dyDescent="0.2">
      <c r="A194" s="146" t="s">
        <v>672</v>
      </c>
      <c r="B194" s="53" t="s">
        <v>96</v>
      </c>
      <c r="C194" s="50" t="s">
        <v>133</v>
      </c>
      <c r="D194" s="165">
        <v>1</v>
      </c>
      <c r="E194" s="158">
        <v>1</v>
      </c>
      <c r="F194" s="52">
        <f>SUM(H194:DY194)*E194*Table1[[#This Row],[Cycles]]</f>
        <v>0</v>
      </c>
      <c r="G194" s="46">
        <f t="shared" si="56"/>
        <v>0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  <c r="BD194" s="47"/>
      <c r="BE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  <c r="BS194" s="47"/>
      <c r="BT194" s="47"/>
      <c r="BU194" s="47"/>
      <c r="BV194" s="47"/>
      <c r="BW194" s="47"/>
      <c r="BX194" s="47"/>
      <c r="BY194" s="47"/>
      <c r="BZ194" s="47"/>
      <c r="CA194" s="47"/>
      <c r="CB194" s="47"/>
      <c r="CC194" s="47"/>
      <c r="CD194" s="47"/>
      <c r="CE194" s="47"/>
      <c r="CF194" s="47"/>
      <c r="CG194" s="47"/>
      <c r="CH194" s="47"/>
      <c r="CI194" s="47"/>
      <c r="CJ194" s="47"/>
      <c r="CK194" s="47"/>
      <c r="CL194" s="47"/>
      <c r="CM194" s="47"/>
      <c r="CN194" s="47"/>
      <c r="CO194" s="47"/>
      <c r="CP194" s="47"/>
      <c r="CQ194" s="47"/>
      <c r="CR194" s="47"/>
      <c r="CS194" s="47"/>
      <c r="CT194" s="47"/>
      <c r="CU194" s="47"/>
      <c r="CV194" s="47"/>
      <c r="CW194" s="47"/>
      <c r="CX194" s="47"/>
      <c r="CY194" s="47"/>
      <c r="CZ194" s="47"/>
      <c r="DA194" s="47"/>
      <c r="DB194" s="47"/>
      <c r="DC194" s="47"/>
      <c r="DD194" s="47"/>
      <c r="DE194" s="47"/>
      <c r="DF194" s="47"/>
      <c r="DG194" s="47"/>
      <c r="DH194" s="47"/>
      <c r="DI194" s="47"/>
      <c r="DJ194" s="47"/>
      <c r="DK194" s="47"/>
      <c r="DL194" s="47"/>
      <c r="DM194" s="47"/>
      <c r="DN194" s="47"/>
      <c r="DO194" s="47"/>
      <c r="DP194" s="47"/>
      <c r="DQ194" s="47"/>
      <c r="DR194" s="47"/>
      <c r="DS194" s="47"/>
      <c r="DT194" s="47"/>
      <c r="DU194" s="47"/>
      <c r="DV194" s="47"/>
      <c r="DW194" s="47"/>
      <c r="DX194" s="47"/>
      <c r="DY194" s="47"/>
      <c r="DZ194" s="219"/>
      <c r="EA194" s="231"/>
      <c r="EB194" s="231"/>
      <c r="EC194" s="231"/>
      <c r="ED194" s="231"/>
      <c r="EE194" s="231"/>
      <c r="EF194" s="231"/>
      <c r="EG194" s="231"/>
      <c r="EH194" s="231"/>
      <c r="EI194" s="231"/>
      <c r="EJ194" s="231"/>
      <c r="EK194" s="231"/>
      <c r="EL194" s="231"/>
      <c r="EM194" s="231"/>
      <c r="EN194" s="231"/>
      <c r="EO194" s="231"/>
      <c r="EP194" s="231"/>
      <c r="EQ194" s="231"/>
    </row>
    <row r="195" spans="1:147" ht="22.9" hidden="1" customHeight="1" outlineLevel="2" x14ac:dyDescent="0.2">
      <c r="A195" s="146" t="s">
        <v>673</v>
      </c>
      <c r="B195" s="53" t="s">
        <v>97</v>
      </c>
      <c r="C195" s="50" t="s">
        <v>133</v>
      </c>
      <c r="D195" s="165">
        <v>1</v>
      </c>
      <c r="E195" s="158">
        <v>1</v>
      </c>
      <c r="F195" s="52">
        <f>SUM(H195:DY195)*E195*Table1[[#This Row],[Cycles]]</f>
        <v>0</v>
      </c>
      <c r="G195" s="46">
        <f t="shared" si="56"/>
        <v>0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7"/>
      <c r="BA195" s="47"/>
      <c r="BB195" s="47"/>
      <c r="BC195" s="47"/>
      <c r="BD195" s="47"/>
      <c r="BE195" s="47"/>
      <c r="BF195" s="47"/>
      <c r="BG195" s="47"/>
      <c r="BH195" s="47"/>
      <c r="BI195" s="47"/>
      <c r="BJ195" s="47"/>
      <c r="BK195" s="47"/>
      <c r="BL195" s="47"/>
      <c r="BM195" s="47"/>
      <c r="BN195" s="47"/>
      <c r="BO195" s="47"/>
      <c r="BP195" s="47"/>
      <c r="BQ195" s="47"/>
      <c r="BR195" s="47"/>
      <c r="BS195" s="47"/>
      <c r="BT195" s="47"/>
      <c r="BU195" s="47"/>
      <c r="BV195" s="47"/>
      <c r="BW195" s="47"/>
      <c r="BX195" s="47"/>
      <c r="BY195" s="47"/>
      <c r="BZ195" s="47"/>
      <c r="CA195" s="47"/>
      <c r="CB195" s="47"/>
      <c r="CC195" s="47"/>
      <c r="CD195" s="47"/>
      <c r="CE195" s="47"/>
      <c r="CF195" s="47"/>
      <c r="CG195" s="47"/>
      <c r="CH195" s="47"/>
      <c r="CI195" s="47"/>
      <c r="CJ195" s="47"/>
      <c r="CK195" s="47"/>
      <c r="CL195" s="47"/>
      <c r="CM195" s="47"/>
      <c r="CN195" s="47"/>
      <c r="CO195" s="47"/>
      <c r="CP195" s="47"/>
      <c r="CQ195" s="47"/>
      <c r="CR195" s="47"/>
      <c r="CS195" s="47"/>
      <c r="CT195" s="47"/>
      <c r="CU195" s="47"/>
      <c r="CV195" s="47"/>
      <c r="CW195" s="47"/>
      <c r="CX195" s="47"/>
      <c r="CY195" s="47"/>
      <c r="CZ195" s="47"/>
      <c r="DA195" s="47"/>
      <c r="DB195" s="47"/>
      <c r="DC195" s="47"/>
      <c r="DD195" s="47"/>
      <c r="DE195" s="47"/>
      <c r="DF195" s="47"/>
      <c r="DG195" s="47"/>
      <c r="DH195" s="47"/>
      <c r="DI195" s="47"/>
      <c r="DJ195" s="47"/>
      <c r="DK195" s="47"/>
      <c r="DL195" s="47"/>
      <c r="DM195" s="47"/>
      <c r="DN195" s="47"/>
      <c r="DO195" s="47"/>
      <c r="DP195" s="47"/>
      <c r="DQ195" s="47"/>
      <c r="DR195" s="47"/>
      <c r="DS195" s="47"/>
      <c r="DT195" s="47"/>
      <c r="DU195" s="47"/>
      <c r="DV195" s="47"/>
      <c r="DW195" s="47"/>
      <c r="DX195" s="47"/>
      <c r="DY195" s="47"/>
      <c r="DZ195" s="219"/>
      <c r="EA195" s="231"/>
      <c r="EB195" s="231"/>
      <c r="EC195" s="231"/>
      <c r="ED195" s="231"/>
      <c r="EE195" s="231"/>
      <c r="EF195" s="231"/>
      <c r="EG195" s="231"/>
      <c r="EH195" s="231"/>
      <c r="EI195" s="231"/>
      <c r="EJ195" s="231"/>
      <c r="EK195" s="231"/>
      <c r="EL195" s="231"/>
      <c r="EM195" s="231"/>
      <c r="EN195" s="231"/>
      <c r="EO195" s="231"/>
      <c r="EP195" s="231"/>
      <c r="EQ195" s="231"/>
    </row>
    <row r="196" spans="1:147" s="40" customFormat="1" ht="22.9" customHeight="1" outlineLevel="1" collapsed="1" x14ac:dyDescent="0.2">
      <c r="A196" s="149" t="s">
        <v>674</v>
      </c>
      <c r="B196" s="34" t="s">
        <v>85</v>
      </c>
      <c r="C196" s="30" t="s">
        <v>100</v>
      </c>
      <c r="D196" s="164"/>
      <c r="E196" s="164"/>
      <c r="F196" s="45">
        <f>SUM(F197:F206)</f>
        <v>0</v>
      </c>
      <c r="G196" s="44">
        <f>SUM(G197:G206)</f>
        <v>0</v>
      </c>
      <c r="H196" s="45">
        <f>SUMPRODUCT($D$197:$D$206,$E$197:$E$206,H197:H206)</f>
        <v>0</v>
      </c>
      <c r="I196" s="45">
        <f>SUMPRODUCT($D$197:$D$206,$E$197:$E$206,I197:I206)</f>
        <v>0</v>
      </c>
      <c r="J196" s="45">
        <f t="shared" ref="J196:BT196" si="57">SUMPRODUCT($D$197:$D$206,$E$197:$E$206,J197:J206)</f>
        <v>0</v>
      </c>
      <c r="K196" s="45">
        <f t="shared" si="57"/>
        <v>0</v>
      </c>
      <c r="L196" s="45">
        <f t="shared" si="57"/>
        <v>0</v>
      </c>
      <c r="M196" s="45">
        <f t="shared" si="57"/>
        <v>0</v>
      </c>
      <c r="N196" s="45">
        <f t="shared" si="57"/>
        <v>0</v>
      </c>
      <c r="O196" s="45">
        <f t="shared" si="57"/>
        <v>0</v>
      </c>
      <c r="P196" s="45">
        <f t="shared" si="57"/>
        <v>0</v>
      </c>
      <c r="Q196" s="45">
        <f t="shared" si="57"/>
        <v>0</v>
      </c>
      <c r="R196" s="45">
        <f t="shared" si="57"/>
        <v>0</v>
      </c>
      <c r="S196" s="45">
        <f t="shared" si="57"/>
        <v>0</v>
      </c>
      <c r="T196" s="45">
        <f t="shared" si="57"/>
        <v>0</v>
      </c>
      <c r="U196" s="45">
        <f t="shared" si="57"/>
        <v>0</v>
      </c>
      <c r="V196" s="45">
        <f t="shared" si="57"/>
        <v>0</v>
      </c>
      <c r="W196" s="45">
        <f t="shared" si="57"/>
        <v>0</v>
      </c>
      <c r="X196" s="45">
        <f t="shared" si="57"/>
        <v>0</v>
      </c>
      <c r="Y196" s="45">
        <f t="shared" si="57"/>
        <v>0</v>
      </c>
      <c r="Z196" s="45">
        <f t="shared" si="57"/>
        <v>0</v>
      </c>
      <c r="AA196" s="45">
        <f t="shared" si="57"/>
        <v>0</v>
      </c>
      <c r="AB196" s="45">
        <f t="shared" si="57"/>
        <v>0</v>
      </c>
      <c r="AC196" s="45">
        <f t="shared" si="57"/>
        <v>0</v>
      </c>
      <c r="AD196" s="45">
        <f t="shared" si="57"/>
        <v>0</v>
      </c>
      <c r="AE196" s="45">
        <f t="shared" si="57"/>
        <v>0</v>
      </c>
      <c r="AF196" s="45">
        <f t="shared" si="57"/>
        <v>0</v>
      </c>
      <c r="AG196" s="45">
        <f t="shared" si="57"/>
        <v>0</v>
      </c>
      <c r="AH196" s="45">
        <f t="shared" si="57"/>
        <v>0</v>
      </c>
      <c r="AI196" s="45">
        <f t="shared" si="57"/>
        <v>0</v>
      </c>
      <c r="AJ196" s="45">
        <f t="shared" si="57"/>
        <v>0</v>
      </c>
      <c r="AK196" s="45">
        <f t="shared" si="57"/>
        <v>0</v>
      </c>
      <c r="AL196" s="45">
        <f t="shared" si="57"/>
        <v>0</v>
      </c>
      <c r="AM196" s="45">
        <f t="shared" si="57"/>
        <v>0</v>
      </c>
      <c r="AN196" s="45">
        <f t="shared" si="57"/>
        <v>0</v>
      </c>
      <c r="AO196" s="45">
        <f t="shared" si="57"/>
        <v>0</v>
      </c>
      <c r="AP196" s="45">
        <f t="shared" si="57"/>
        <v>0</v>
      </c>
      <c r="AQ196" s="45">
        <f t="shared" si="57"/>
        <v>0</v>
      </c>
      <c r="AR196" s="45">
        <f t="shared" si="57"/>
        <v>0</v>
      </c>
      <c r="AS196" s="45">
        <f t="shared" si="57"/>
        <v>0</v>
      </c>
      <c r="AT196" s="45">
        <f t="shared" si="57"/>
        <v>0</v>
      </c>
      <c r="AU196" s="45">
        <f t="shared" si="57"/>
        <v>0</v>
      </c>
      <c r="AV196" s="45">
        <f t="shared" si="57"/>
        <v>0</v>
      </c>
      <c r="AW196" s="45">
        <f t="shared" si="57"/>
        <v>0</v>
      </c>
      <c r="AX196" s="45">
        <f t="shared" si="57"/>
        <v>0</v>
      </c>
      <c r="AY196" s="45">
        <f t="shared" si="57"/>
        <v>0</v>
      </c>
      <c r="AZ196" s="45">
        <f t="shared" si="57"/>
        <v>0</v>
      </c>
      <c r="BA196" s="45">
        <f t="shared" si="57"/>
        <v>0</v>
      </c>
      <c r="BB196" s="45">
        <f t="shared" si="57"/>
        <v>0</v>
      </c>
      <c r="BC196" s="45">
        <f t="shared" si="57"/>
        <v>0</v>
      </c>
      <c r="BD196" s="45">
        <f t="shared" si="57"/>
        <v>0</v>
      </c>
      <c r="BE196" s="45">
        <f t="shared" si="57"/>
        <v>0</v>
      </c>
      <c r="BF196" s="45">
        <f t="shared" si="57"/>
        <v>0</v>
      </c>
      <c r="BG196" s="45">
        <f t="shared" si="57"/>
        <v>0</v>
      </c>
      <c r="BH196" s="45">
        <f t="shared" si="57"/>
        <v>0</v>
      </c>
      <c r="BI196" s="45">
        <f t="shared" si="57"/>
        <v>0</v>
      </c>
      <c r="BJ196" s="45">
        <f t="shared" si="57"/>
        <v>0</v>
      </c>
      <c r="BK196" s="45">
        <f t="shared" si="57"/>
        <v>0</v>
      </c>
      <c r="BL196" s="45">
        <f t="shared" si="57"/>
        <v>0</v>
      </c>
      <c r="BM196" s="45">
        <f t="shared" si="57"/>
        <v>0</v>
      </c>
      <c r="BN196" s="45">
        <f t="shared" si="57"/>
        <v>0</v>
      </c>
      <c r="BO196" s="45">
        <f t="shared" si="57"/>
        <v>0</v>
      </c>
      <c r="BP196" s="45">
        <f t="shared" si="57"/>
        <v>0</v>
      </c>
      <c r="BQ196" s="45">
        <f t="shared" si="57"/>
        <v>0</v>
      </c>
      <c r="BR196" s="45">
        <f t="shared" si="57"/>
        <v>0</v>
      </c>
      <c r="BS196" s="45">
        <f t="shared" si="57"/>
        <v>0</v>
      </c>
      <c r="BT196" s="45">
        <f t="shared" si="57"/>
        <v>0</v>
      </c>
      <c r="BU196" s="45">
        <f t="shared" ref="BU196:DY196" si="58">SUMPRODUCT($D$197:$D$206,$E$197:$E$206,BU197:BU206)</f>
        <v>0</v>
      </c>
      <c r="BV196" s="45">
        <f t="shared" si="58"/>
        <v>0</v>
      </c>
      <c r="BW196" s="45">
        <f t="shared" si="58"/>
        <v>0</v>
      </c>
      <c r="BX196" s="45">
        <f t="shared" si="58"/>
        <v>0</v>
      </c>
      <c r="BY196" s="45">
        <f t="shared" si="58"/>
        <v>0</v>
      </c>
      <c r="BZ196" s="45">
        <f t="shared" si="58"/>
        <v>0</v>
      </c>
      <c r="CA196" s="45">
        <f t="shared" si="58"/>
        <v>0</v>
      </c>
      <c r="CB196" s="45">
        <f t="shared" si="58"/>
        <v>0</v>
      </c>
      <c r="CC196" s="45">
        <f t="shared" si="58"/>
        <v>0</v>
      </c>
      <c r="CD196" s="45">
        <f t="shared" si="58"/>
        <v>0</v>
      </c>
      <c r="CE196" s="45">
        <f t="shared" si="58"/>
        <v>0</v>
      </c>
      <c r="CF196" s="45">
        <f t="shared" si="58"/>
        <v>0</v>
      </c>
      <c r="CG196" s="45">
        <f t="shared" si="58"/>
        <v>0</v>
      </c>
      <c r="CH196" s="45">
        <f t="shared" si="58"/>
        <v>0</v>
      </c>
      <c r="CI196" s="45">
        <f t="shared" si="58"/>
        <v>0</v>
      </c>
      <c r="CJ196" s="45">
        <f t="shared" si="58"/>
        <v>0</v>
      </c>
      <c r="CK196" s="45">
        <f t="shared" si="58"/>
        <v>0</v>
      </c>
      <c r="CL196" s="45">
        <f t="shared" si="58"/>
        <v>0</v>
      </c>
      <c r="CM196" s="45">
        <f t="shared" si="58"/>
        <v>0</v>
      </c>
      <c r="CN196" s="45">
        <f t="shared" si="58"/>
        <v>0</v>
      </c>
      <c r="CO196" s="45">
        <f t="shared" si="58"/>
        <v>0</v>
      </c>
      <c r="CP196" s="45">
        <f t="shared" si="58"/>
        <v>0</v>
      </c>
      <c r="CQ196" s="45">
        <f t="shared" si="58"/>
        <v>0</v>
      </c>
      <c r="CR196" s="45">
        <f t="shared" si="58"/>
        <v>0</v>
      </c>
      <c r="CS196" s="45">
        <f t="shared" si="58"/>
        <v>0</v>
      </c>
      <c r="CT196" s="45">
        <f t="shared" si="58"/>
        <v>0</v>
      </c>
      <c r="CU196" s="45">
        <f t="shared" si="58"/>
        <v>0</v>
      </c>
      <c r="CV196" s="45">
        <f t="shared" si="58"/>
        <v>0</v>
      </c>
      <c r="CW196" s="45">
        <f t="shared" si="58"/>
        <v>0</v>
      </c>
      <c r="CX196" s="45">
        <f t="shared" si="58"/>
        <v>0</v>
      </c>
      <c r="CY196" s="45">
        <f t="shared" si="58"/>
        <v>0</v>
      </c>
      <c r="CZ196" s="45">
        <f t="shared" si="58"/>
        <v>0</v>
      </c>
      <c r="DA196" s="45">
        <f t="shared" si="58"/>
        <v>0</v>
      </c>
      <c r="DB196" s="45">
        <f t="shared" si="58"/>
        <v>0</v>
      </c>
      <c r="DC196" s="45">
        <f t="shared" si="58"/>
        <v>0</v>
      </c>
      <c r="DD196" s="45">
        <f t="shared" si="58"/>
        <v>0</v>
      </c>
      <c r="DE196" s="45">
        <f t="shared" si="58"/>
        <v>0</v>
      </c>
      <c r="DF196" s="45">
        <f t="shared" si="58"/>
        <v>0</v>
      </c>
      <c r="DG196" s="45">
        <f t="shared" si="58"/>
        <v>0</v>
      </c>
      <c r="DH196" s="45">
        <f t="shared" si="58"/>
        <v>0</v>
      </c>
      <c r="DI196" s="45">
        <f t="shared" si="58"/>
        <v>0</v>
      </c>
      <c r="DJ196" s="45">
        <f t="shared" si="58"/>
        <v>0</v>
      </c>
      <c r="DK196" s="45">
        <f t="shared" si="58"/>
        <v>0</v>
      </c>
      <c r="DL196" s="45">
        <f t="shared" si="58"/>
        <v>0</v>
      </c>
      <c r="DM196" s="45">
        <f t="shared" si="58"/>
        <v>0</v>
      </c>
      <c r="DN196" s="45">
        <f t="shared" si="58"/>
        <v>0</v>
      </c>
      <c r="DO196" s="45">
        <f t="shared" si="58"/>
        <v>0</v>
      </c>
      <c r="DP196" s="45">
        <f t="shared" si="58"/>
        <v>0</v>
      </c>
      <c r="DQ196" s="45">
        <f t="shared" si="58"/>
        <v>0</v>
      </c>
      <c r="DR196" s="45">
        <f t="shared" si="58"/>
        <v>0</v>
      </c>
      <c r="DS196" s="45">
        <f t="shared" si="58"/>
        <v>0</v>
      </c>
      <c r="DT196" s="45">
        <f t="shared" si="58"/>
        <v>0</v>
      </c>
      <c r="DU196" s="45">
        <f>SUMPRODUCT($D$197:$D$206,$E$197:$E$206,DU197:DU206)</f>
        <v>0</v>
      </c>
      <c r="DV196" s="45">
        <f t="shared" si="58"/>
        <v>0</v>
      </c>
      <c r="DW196" s="45">
        <f t="shared" si="58"/>
        <v>0</v>
      </c>
      <c r="DX196" s="45">
        <f t="shared" si="58"/>
        <v>0</v>
      </c>
      <c r="DY196" s="45">
        <f t="shared" si="58"/>
        <v>0</v>
      </c>
      <c r="DZ196" s="218"/>
      <c r="EA196" s="231"/>
      <c r="EB196" s="231"/>
      <c r="EC196" s="231"/>
      <c r="ED196" s="231"/>
      <c r="EE196" s="231"/>
      <c r="EF196" s="231"/>
      <c r="EG196" s="231"/>
      <c r="EH196" s="231"/>
      <c r="EI196" s="231"/>
      <c r="EJ196" s="231"/>
      <c r="EK196" s="231"/>
      <c r="EL196" s="231"/>
      <c r="EM196" s="231"/>
      <c r="EN196" s="231"/>
      <c r="EO196" s="231"/>
      <c r="EP196" s="231"/>
      <c r="EQ196" s="231"/>
    </row>
    <row r="197" spans="1:147" ht="22.9" hidden="1" customHeight="1" outlineLevel="2" x14ac:dyDescent="0.2">
      <c r="A197" s="146" t="s">
        <v>675</v>
      </c>
      <c r="B197" s="53" t="s">
        <v>86</v>
      </c>
      <c r="C197" s="50" t="s">
        <v>133</v>
      </c>
      <c r="D197" s="165">
        <v>1</v>
      </c>
      <c r="E197" s="158">
        <v>1</v>
      </c>
      <c r="F197" s="52">
        <f>SUM(H197:DY197)*E197*Table1[[#This Row],[Cycles]]</f>
        <v>0</v>
      </c>
      <c r="G197" s="46">
        <f>SUMPRODUCT($H$3:$DY$3,$H197:$DY197)*E197*D197</f>
        <v>0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  <c r="BB197" s="47"/>
      <c r="BC197" s="47"/>
      <c r="BD197" s="47"/>
      <c r="BE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  <c r="BS197" s="47"/>
      <c r="BT197" s="47"/>
      <c r="BU197" s="47"/>
      <c r="BV197" s="47"/>
      <c r="BW197" s="47"/>
      <c r="BX197" s="47"/>
      <c r="BY197" s="47"/>
      <c r="BZ197" s="47"/>
      <c r="CA197" s="47"/>
      <c r="CB197" s="47"/>
      <c r="CC197" s="47"/>
      <c r="CD197" s="47"/>
      <c r="CE197" s="47"/>
      <c r="CF197" s="47"/>
      <c r="CG197" s="47"/>
      <c r="CH197" s="47"/>
      <c r="CI197" s="47"/>
      <c r="CJ197" s="47"/>
      <c r="CK197" s="47"/>
      <c r="CL197" s="47"/>
      <c r="CM197" s="47"/>
      <c r="CN197" s="47"/>
      <c r="CO197" s="47"/>
      <c r="CP197" s="47"/>
      <c r="CQ197" s="47"/>
      <c r="CR197" s="47"/>
      <c r="CS197" s="47"/>
      <c r="CT197" s="47"/>
      <c r="CU197" s="47"/>
      <c r="CV197" s="47"/>
      <c r="CW197" s="47"/>
      <c r="CX197" s="47"/>
      <c r="CY197" s="47"/>
      <c r="CZ197" s="47"/>
      <c r="DA197" s="47"/>
      <c r="DB197" s="47"/>
      <c r="DC197" s="47"/>
      <c r="DD197" s="47"/>
      <c r="DE197" s="47"/>
      <c r="DF197" s="47"/>
      <c r="DG197" s="47"/>
      <c r="DH197" s="47"/>
      <c r="DI197" s="47"/>
      <c r="DJ197" s="47"/>
      <c r="DK197" s="47"/>
      <c r="DL197" s="47"/>
      <c r="DM197" s="47"/>
      <c r="DN197" s="47"/>
      <c r="DO197" s="47"/>
      <c r="DP197" s="47"/>
      <c r="DQ197" s="47"/>
      <c r="DR197" s="47"/>
      <c r="DS197" s="47"/>
      <c r="DT197" s="47"/>
      <c r="DU197" s="47"/>
      <c r="DV197" s="47"/>
      <c r="DW197" s="47"/>
      <c r="DX197" s="47"/>
      <c r="DY197" s="47"/>
      <c r="DZ197" s="219"/>
      <c r="EA197" s="231"/>
      <c r="EB197" s="231"/>
      <c r="EC197" s="231"/>
      <c r="ED197" s="231"/>
      <c r="EE197" s="231"/>
      <c r="EF197" s="231"/>
      <c r="EG197" s="231"/>
      <c r="EH197" s="231"/>
      <c r="EI197" s="231"/>
      <c r="EJ197" s="231"/>
      <c r="EK197" s="231"/>
      <c r="EL197" s="231"/>
      <c r="EM197" s="231"/>
      <c r="EN197" s="231"/>
      <c r="EO197" s="231"/>
      <c r="EP197" s="231"/>
      <c r="EQ197" s="231"/>
    </row>
    <row r="198" spans="1:147" ht="22.9" hidden="1" customHeight="1" outlineLevel="2" x14ac:dyDescent="0.2">
      <c r="A198" s="146" t="s">
        <v>676</v>
      </c>
      <c r="B198" s="53" t="s">
        <v>87</v>
      </c>
      <c r="C198" s="50" t="s">
        <v>133</v>
      </c>
      <c r="D198" s="165">
        <v>1</v>
      </c>
      <c r="E198" s="158">
        <v>1</v>
      </c>
      <c r="F198" s="52">
        <f>SUM(H198:DY198)*E198*Table1[[#This Row],[Cycles]]</f>
        <v>0</v>
      </c>
      <c r="G198" s="46">
        <f t="shared" ref="G198:G205" si="59">SUMPRODUCT($H$3:$DY$3,$H198:$DY198)*E198*D198</f>
        <v>0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  <c r="BB198" s="47"/>
      <c r="BC198" s="47"/>
      <c r="BD198" s="47"/>
      <c r="BE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  <c r="BS198" s="47"/>
      <c r="BT198" s="47"/>
      <c r="BU198" s="47"/>
      <c r="BV198" s="47"/>
      <c r="BW198" s="47"/>
      <c r="BX198" s="47"/>
      <c r="BY198" s="47"/>
      <c r="BZ198" s="47"/>
      <c r="CA198" s="47"/>
      <c r="CB198" s="47"/>
      <c r="CC198" s="47"/>
      <c r="CD198" s="47"/>
      <c r="CE198" s="47"/>
      <c r="CF198" s="47"/>
      <c r="CG198" s="47"/>
      <c r="CH198" s="47"/>
      <c r="CI198" s="47"/>
      <c r="CJ198" s="47"/>
      <c r="CK198" s="47"/>
      <c r="CL198" s="47"/>
      <c r="CM198" s="47"/>
      <c r="CN198" s="47"/>
      <c r="CO198" s="47"/>
      <c r="CP198" s="47"/>
      <c r="CQ198" s="47"/>
      <c r="CR198" s="47"/>
      <c r="CS198" s="47"/>
      <c r="CT198" s="47"/>
      <c r="CU198" s="47"/>
      <c r="CV198" s="47"/>
      <c r="CW198" s="47"/>
      <c r="CX198" s="47"/>
      <c r="CY198" s="47"/>
      <c r="CZ198" s="47"/>
      <c r="DA198" s="47"/>
      <c r="DB198" s="47"/>
      <c r="DC198" s="47"/>
      <c r="DD198" s="47"/>
      <c r="DE198" s="47"/>
      <c r="DF198" s="47"/>
      <c r="DG198" s="47"/>
      <c r="DH198" s="47"/>
      <c r="DI198" s="47"/>
      <c r="DJ198" s="47"/>
      <c r="DK198" s="47"/>
      <c r="DL198" s="47"/>
      <c r="DM198" s="47"/>
      <c r="DN198" s="47"/>
      <c r="DO198" s="47"/>
      <c r="DP198" s="47"/>
      <c r="DQ198" s="47"/>
      <c r="DR198" s="47"/>
      <c r="DS198" s="47"/>
      <c r="DT198" s="47"/>
      <c r="DU198" s="47"/>
      <c r="DV198" s="47"/>
      <c r="DW198" s="47"/>
      <c r="DX198" s="47"/>
      <c r="DY198" s="47"/>
      <c r="DZ198" s="219"/>
      <c r="EA198" s="231"/>
      <c r="EB198" s="231"/>
      <c r="EC198" s="231"/>
      <c r="ED198" s="231"/>
      <c r="EE198" s="231"/>
      <c r="EF198" s="231"/>
      <c r="EG198" s="231"/>
      <c r="EH198" s="231"/>
      <c r="EI198" s="231"/>
      <c r="EJ198" s="231"/>
      <c r="EK198" s="231"/>
      <c r="EL198" s="231"/>
      <c r="EM198" s="231"/>
      <c r="EN198" s="231"/>
      <c r="EO198" s="231"/>
      <c r="EP198" s="231"/>
      <c r="EQ198" s="231"/>
    </row>
    <row r="199" spans="1:147" ht="22.9" hidden="1" customHeight="1" outlineLevel="2" x14ac:dyDescent="0.2">
      <c r="A199" s="146" t="s">
        <v>677</v>
      </c>
      <c r="B199" s="53" t="s">
        <v>88</v>
      </c>
      <c r="C199" s="50" t="s">
        <v>133</v>
      </c>
      <c r="D199" s="165">
        <v>1</v>
      </c>
      <c r="E199" s="158">
        <v>1</v>
      </c>
      <c r="F199" s="52">
        <f>SUM(H199:DY199)*E199*Table1[[#This Row],[Cycles]]</f>
        <v>0</v>
      </c>
      <c r="G199" s="46">
        <f t="shared" si="59"/>
        <v>0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  <c r="BB199" s="47"/>
      <c r="BC199" s="47"/>
      <c r="BD199" s="47"/>
      <c r="BE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  <c r="BS199" s="47"/>
      <c r="BT199" s="47"/>
      <c r="BU199" s="47"/>
      <c r="BV199" s="47"/>
      <c r="BW199" s="47"/>
      <c r="BX199" s="47"/>
      <c r="BY199" s="47"/>
      <c r="BZ199" s="47"/>
      <c r="CA199" s="47"/>
      <c r="CB199" s="47"/>
      <c r="CC199" s="47"/>
      <c r="CD199" s="47"/>
      <c r="CE199" s="47"/>
      <c r="CF199" s="47"/>
      <c r="CG199" s="47"/>
      <c r="CH199" s="47"/>
      <c r="CI199" s="47"/>
      <c r="CJ199" s="47"/>
      <c r="CK199" s="47"/>
      <c r="CL199" s="47"/>
      <c r="CM199" s="47"/>
      <c r="CN199" s="47"/>
      <c r="CO199" s="47"/>
      <c r="CP199" s="47"/>
      <c r="CQ199" s="47"/>
      <c r="CR199" s="47"/>
      <c r="CS199" s="47"/>
      <c r="CT199" s="47"/>
      <c r="CU199" s="47"/>
      <c r="CV199" s="47"/>
      <c r="CW199" s="47"/>
      <c r="CX199" s="47"/>
      <c r="CY199" s="47"/>
      <c r="CZ199" s="47"/>
      <c r="DA199" s="47"/>
      <c r="DB199" s="47"/>
      <c r="DC199" s="47"/>
      <c r="DD199" s="47"/>
      <c r="DE199" s="47"/>
      <c r="DF199" s="47"/>
      <c r="DG199" s="47"/>
      <c r="DH199" s="47"/>
      <c r="DI199" s="47"/>
      <c r="DJ199" s="47"/>
      <c r="DK199" s="47"/>
      <c r="DL199" s="47"/>
      <c r="DM199" s="47"/>
      <c r="DN199" s="47"/>
      <c r="DO199" s="47"/>
      <c r="DP199" s="47"/>
      <c r="DQ199" s="47"/>
      <c r="DR199" s="47"/>
      <c r="DS199" s="47"/>
      <c r="DT199" s="47"/>
      <c r="DU199" s="47"/>
      <c r="DV199" s="47"/>
      <c r="DW199" s="47"/>
      <c r="DX199" s="47"/>
      <c r="DY199" s="47"/>
      <c r="DZ199" s="219"/>
      <c r="EA199" s="231"/>
      <c r="EB199" s="231"/>
      <c r="EC199" s="231"/>
      <c r="ED199" s="231"/>
      <c r="EE199" s="231"/>
      <c r="EF199" s="231"/>
      <c r="EG199" s="231"/>
      <c r="EH199" s="231"/>
      <c r="EI199" s="231"/>
      <c r="EJ199" s="231"/>
      <c r="EK199" s="231"/>
      <c r="EL199" s="231"/>
      <c r="EM199" s="231"/>
      <c r="EN199" s="231"/>
      <c r="EO199" s="231"/>
      <c r="EP199" s="231"/>
      <c r="EQ199" s="231"/>
    </row>
    <row r="200" spans="1:147" ht="22.9" hidden="1" customHeight="1" outlineLevel="2" x14ac:dyDescent="0.2">
      <c r="A200" s="146" t="s">
        <v>678</v>
      </c>
      <c r="B200" s="53" t="s">
        <v>217</v>
      </c>
      <c r="C200" s="50" t="s">
        <v>133</v>
      </c>
      <c r="D200" s="165">
        <v>1</v>
      </c>
      <c r="E200" s="158">
        <v>1</v>
      </c>
      <c r="F200" s="52">
        <f>SUM(H200:DY200)*E200*Table1[[#This Row],[Cycles]]</f>
        <v>0</v>
      </c>
      <c r="G200" s="46">
        <f>SUMPRODUCT($H$3:$DY$3,$H200:$DY200)*E200*D200</f>
        <v>0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  <c r="BS200" s="47"/>
      <c r="BT200" s="47"/>
      <c r="BU200" s="47"/>
      <c r="BV200" s="47"/>
      <c r="BW200" s="47"/>
      <c r="BX200" s="47"/>
      <c r="BY200" s="47"/>
      <c r="BZ200" s="47"/>
      <c r="CA200" s="47"/>
      <c r="CB200" s="47"/>
      <c r="CC200" s="47"/>
      <c r="CD200" s="47"/>
      <c r="CE200" s="47"/>
      <c r="CF200" s="47"/>
      <c r="CG200" s="47"/>
      <c r="CH200" s="47"/>
      <c r="CI200" s="47"/>
      <c r="CJ200" s="47"/>
      <c r="CK200" s="47"/>
      <c r="CL200" s="47"/>
      <c r="CM200" s="47"/>
      <c r="CN200" s="47"/>
      <c r="CO200" s="47"/>
      <c r="CP200" s="47"/>
      <c r="CQ200" s="47"/>
      <c r="CR200" s="47"/>
      <c r="CS200" s="47"/>
      <c r="CT200" s="47"/>
      <c r="CU200" s="47"/>
      <c r="CV200" s="47"/>
      <c r="CW200" s="47"/>
      <c r="CX200" s="47"/>
      <c r="CY200" s="47"/>
      <c r="CZ200" s="47"/>
      <c r="DA200" s="47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219"/>
      <c r="EA200" s="231"/>
      <c r="EB200" s="231"/>
      <c r="EC200" s="231"/>
      <c r="ED200" s="231"/>
      <c r="EE200" s="231"/>
      <c r="EF200" s="231"/>
      <c r="EG200" s="231"/>
      <c r="EH200" s="231"/>
      <c r="EI200" s="231"/>
      <c r="EJ200" s="231"/>
      <c r="EK200" s="231"/>
      <c r="EL200" s="231"/>
      <c r="EM200" s="231"/>
      <c r="EN200" s="231"/>
      <c r="EO200" s="231"/>
      <c r="EP200" s="231"/>
      <c r="EQ200" s="231"/>
    </row>
    <row r="201" spans="1:147" ht="22.9" hidden="1" customHeight="1" outlineLevel="2" x14ac:dyDescent="0.2">
      <c r="A201" s="146" t="s">
        <v>679</v>
      </c>
      <c r="B201" s="53" t="s">
        <v>89</v>
      </c>
      <c r="C201" s="50" t="s">
        <v>133</v>
      </c>
      <c r="D201" s="165">
        <v>1</v>
      </c>
      <c r="E201" s="158">
        <v>1</v>
      </c>
      <c r="F201" s="52">
        <f>SUM(H201:DY201)*E201*Table1[[#This Row],[Cycles]]</f>
        <v>0</v>
      </c>
      <c r="G201" s="46">
        <f t="shared" si="59"/>
        <v>0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  <c r="BB201" s="47"/>
      <c r="BC201" s="47"/>
      <c r="BD201" s="47"/>
      <c r="BE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  <c r="BS201" s="47"/>
      <c r="BT201" s="47"/>
      <c r="BU201" s="47"/>
      <c r="BV201" s="47"/>
      <c r="BW201" s="47"/>
      <c r="BX201" s="47"/>
      <c r="BY201" s="47"/>
      <c r="BZ201" s="47"/>
      <c r="CA201" s="47"/>
      <c r="CB201" s="47"/>
      <c r="CC201" s="47"/>
      <c r="CD201" s="47"/>
      <c r="CE201" s="47"/>
      <c r="CF201" s="47"/>
      <c r="CG201" s="47"/>
      <c r="CH201" s="47"/>
      <c r="CI201" s="47"/>
      <c r="CJ201" s="47"/>
      <c r="CK201" s="47"/>
      <c r="CL201" s="47"/>
      <c r="CM201" s="47"/>
      <c r="CN201" s="47"/>
      <c r="CO201" s="47"/>
      <c r="CP201" s="47"/>
      <c r="CQ201" s="47"/>
      <c r="CR201" s="47"/>
      <c r="CS201" s="47"/>
      <c r="CT201" s="47"/>
      <c r="CU201" s="47"/>
      <c r="CV201" s="47"/>
      <c r="CW201" s="47"/>
      <c r="CX201" s="47"/>
      <c r="CY201" s="47"/>
      <c r="CZ201" s="47"/>
      <c r="DA201" s="47"/>
      <c r="DB201" s="47"/>
      <c r="DC201" s="47"/>
      <c r="DD201" s="47"/>
      <c r="DE201" s="47"/>
      <c r="DF201" s="47"/>
      <c r="DG201" s="47"/>
      <c r="DH201" s="47"/>
      <c r="DI201" s="47"/>
      <c r="DJ201" s="47"/>
      <c r="DK201" s="47"/>
      <c r="DL201" s="47"/>
      <c r="DM201" s="47"/>
      <c r="DN201" s="47"/>
      <c r="DO201" s="47"/>
      <c r="DP201" s="47"/>
      <c r="DQ201" s="47"/>
      <c r="DR201" s="47"/>
      <c r="DS201" s="47"/>
      <c r="DT201" s="47"/>
      <c r="DU201" s="47"/>
      <c r="DV201" s="47"/>
      <c r="DW201" s="47"/>
      <c r="DX201" s="47"/>
      <c r="DY201" s="47"/>
      <c r="DZ201" s="219"/>
      <c r="EA201" s="231"/>
      <c r="EB201" s="231"/>
      <c r="EC201" s="231"/>
      <c r="ED201" s="231"/>
      <c r="EE201" s="231"/>
      <c r="EF201" s="231"/>
      <c r="EG201" s="231"/>
      <c r="EH201" s="231"/>
      <c r="EI201" s="231"/>
      <c r="EJ201" s="231"/>
      <c r="EK201" s="231"/>
      <c r="EL201" s="231"/>
      <c r="EM201" s="231"/>
      <c r="EN201" s="231"/>
      <c r="EO201" s="231"/>
      <c r="EP201" s="231"/>
      <c r="EQ201" s="231"/>
    </row>
    <row r="202" spans="1:147" ht="22.9" hidden="1" customHeight="1" outlineLevel="2" x14ac:dyDescent="0.2">
      <c r="A202" s="146" t="s">
        <v>680</v>
      </c>
      <c r="B202" s="53" t="s">
        <v>218</v>
      </c>
      <c r="C202" s="50" t="s">
        <v>133</v>
      </c>
      <c r="D202" s="165">
        <v>1</v>
      </c>
      <c r="E202" s="158">
        <v>1</v>
      </c>
      <c r="F202" s="52">
        <f>SUM(H202:DY202)*E202*Table1[[#This Row],[Cycles]]</f>
        <v>0</v>
      </c>
      <c r="G202" s="46">
        <f t="shared" si="59"/>
        <v>0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  <c r="BB202" s="47"/>
      <c r="BC202" s="47"/>
      <c r="BD202" s="47"/>
      <c r="BE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  <c r="BS202" s="47"/>
      <c r="BT202" s="47"/>
      <c r="BU202" s="47"/>
      <c r="BV202" s="47"/>
      <c r="BW202" s="47"/>
      <c r="BX202" s="47"/>
      <c r="BY202" s="47"/>
      <c r="BZ202" s="47"/>
      <c r="CA202" s="47"/>
      <c r="CB202" s="47"/>
      <c r="CC202" s="47"/>
      <c r="CD202" s="47"/>
      <c r="CE202" s="47"/>
      <c r="CF202" s="47"/>
      <c r="CG202" s="47"/>
      <c r="CH202" s="47"/>
      <c r="CI202" s="47"/>
      <c r="CJ202" s="47"/>
      <c r="CK202" s="47"/>
      <c r="CL202" s="47"/>
      <c r="CM202" s="47"/>
      <c r="CN202" s="47"/>
      <c r="CO202" s="47"/>
      <c r="CP202" s="47"/>
      <c r="CQ202" s="47"/>
      <c r="CR202" s="47"/>
      <c r="CS202" s="47"/>
      <c r="CT202" s="47"/>
      <c r="CU202" s="47"/>
      <c r="CV202" s="47"/>
      <c r="CW202" s="47"/>
      <c r="CX202" s="47"/>
      <c r="CY202" s="47"/>
      <c r="CZ202" s="47"/>
      <c r="DA202" s="47"/>
      <c r="DB202" s="47"/>
      <c r="DC202" s="47"/>
      <c r="DD202" s="47"/>
      <c r="DE202" s="47"/>
      <c r="DF202" s="47"/>
      <c r="DG202" s="47"/>
      <c r="DH202" s="47"/>
      <c r="DI202" s="47"/>
      <c r="DJ202" s="47"/>
      <c r="DK202" s="47"/>
      <c r="DL202" s="47"/>
      <c r="DM202" s="47"/>
      <c r="DN202" s="47"/>
      <c r="DO202" s="47"/>
      <c r="DP202" s="47"/>
      <c r="DQ202" s="47"/>
      <c r="DR202" s="47"/>
      <c r="DS202" s="47"/>
      <c r="DT202" s="47"/>
      <c r="DU202" s="47"/>
      <c r="DV202" s="47"/>
      <c r="DW202" s="47"/>
      <c r="DX202" s="47"/>
      <c r="DY202" s="47"/>
      <c r="DZ202" s="219"/>
      <c r="EA202" s="231"/>
      <c r="EB202" s="231"/>
      <c r="EC202" s="231"/>
      <c r="ED202" s="231"/>
      <c r="EE202" s="231"/>
      <c r="EF202" s="231"/>
      <c r="EG202" s="231"/>
      <c r="EH202" s="231"/>
      <c r="EI202" s="231"/>
      <c r="EJ202" s="231"/>
      <c r="EK202" s="231"/>
      <c r="EL202" s="231"/>
      <c r="EM202" s="231"/>
      <c r="EN202" s="231"/>
      <c r="EO202" s="231"/>
      <c r="EP202" s="231"/>
      <c r="EQ202" s="231"/>
    </row>
    <row r="203" spans="1:147" ht="22.9" hidden="1" customHeight="1" outlineLevel="2" x14ac:dyDescent="0.2">
      <c r="A203" s="146" t="s">
        <v>681</v>
      </c>
      <c r="B203" s="53" t="s">
        <v>90</v>
      </c>
      <c r="C203" s="50" t="s">
        <v>133</v>
      </c>
      <c r="D203" s="165">
        <v>1</v>
      </c>
      <c r="E203" s="158">
        <v>1</v>
      </c>
      <c r="F203" s="52">
        <f>SUM(H203:DY203)*E203*Table1[[#This Row],[Cycles]]</f>
        <v>0</v>
      </c>
      <c r="G203" s="46">
        <f t="shared" si="59"/>
        <v>0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  <c r="BB203" s="47"/>
      <c r="BC203" s="47"/>
      <c r="BD203" s="47"/>
      <c r="BE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  <c r="BS203" s="47"/>
      <c r="BT203" s="47"/>
      <c r="BU203" s="47"/>
      <c r="BV203" s="47"/>
      <c r="BW203" s="47"/>
      <c r="BX203" s="47"/>
      <c r="BY203" s="47"/>
      <c r="BZ203" s="47"/>
      <c r="CA203" s="47"/>
      <c r="CB203" s="47"/>
      <c r="CC203" s="47"/>
      <c r="CD203" s="47"/>
      <c r="CE203" s="47"/>
      <c r="CF203" s="47"/>
      <c r="CG203" s="47"/>
      <c r="CH203" s="47"/>
      <c r="CI203" s="47"/>
      <c r="CJ203" s="47"/>
      <c r="CK203" s="47"/>
      <c r="CL203" s="47"/>
      <c r="CM203" s="47"/>
      <c r="CN203" s="47"/>
      <c r="CO203" s="47"/>
      <c r="CP203" s="47"/>
      <c r="CQ203" s="47"/>
      <c r="CR203" s="47"/>
      <c r="CS203" s="47"/>
      <c r="CT203" s="47"/>
      <c r="CU203" s="47"/>
      <c r="CV203" s="47"/>
      <c r="CW203" s="47"/>
      <c r="CX203" s="47"/>
      <c r="CY203" s="47"/>
      <c r="CZ203" s="47"/>
      <c r="DA203" s="47"/>
      <c r="DB203" s="47"/>
      <c r="DC203" s="47"/>
      <c r="DD203" s="47"/>
      <c r="DE203" s="47"/>
      <c r="DF203" s="47"/>
      <c r="DG203" s="47"/>
      <c r="DH203" s="47"/>
      <c r="DI203" s="47"/>
      <c r="DJ203" s="47"/>
      <c r="DK203" s="47"/>
      <c r="DL203" s="47"/>
      <c r="DM203" s="47"/>
      <c r="DN203" s="47"/>
      <c r="DO203" s="47"/>
      <c r="DP203" s="47"/>
      <c r="DQ203" s="47"/>
      <c r="DR203" s="47"/>
      <c r="DS203" s="47"/>
      <c r="DT203" s="47"/>
      <c r="DU203" s="47"/>
      <c r="DV203" s="47"/>
      <c r="DW203" s="47"/>
      <c r="DX203" s="47"/>
      <c r="DY203" s="47"/>
      <c r="DZ203" s="219"/>
      <c r="EA203" s="231"/>
      <c r="EB203" s="231"/>
      <c r="EC203" s="231"/>
      <c r="ED203" s="231"/>
      <c r="EE203" s="231"/>
      <c r="EF203" s="231"/>
      <c r="EG203" s="231"/>
      <c r="EH203" s="231"/>
      <c r="EI203" s="231"/>
      <c r="EJ203" s="231"/>
      <c r="EK203" s="231"/>
      <c r="EL203" s="231"/>
      <c r="EM203" s="231"/>
      <c r="EN203" s="231"/>
      <c r="EO203" s="231"/>
      <c r="EP203" s="231"/>
      <c r="EQ203" s="231"/>
    </row>
    <row r="204" spans="1:147" ht="22.9" hidden="1" customHeight="1" outlineLevel="2" x14ac:dyDescent="0.2">
      <c r="A204" s="146" t="s">
        <v>682</v>
      </c>
      <c r="B204" s="53" t="s">
        <v>277</v>
      </c>
      <c r="C204" s="50" t="s">
        <v>133</v>
      </c>
      <c r="D204" s="165">
        <v>1</v>
      </c>
      <c r="E204" s="158">
        <v>1</v>
      </c>
      <c r="F204" s="52">
        <f>SUM(H204:DY204)*E204*Table1[[#This Row],[Cycles]]</f>
        <v>0</v>
      </c>
      <c r="G204" s="46">
        <f>SUMPRODUCT($H$3:$DY$3,$H204:$DY204)*E204*D204</f>
        <v>0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  <c r="BB204" s="47"/>
      <c r="BC204" s="47"/>
      <c r="BD204" s="47"/>
      <c r="BE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  <c r="BS204" s="47"/>
      <c r="BT204" s="47"/>
      <c r="BU204" s="47"/>
      <c r="BV204" s="47"/>
      <c r="BW204" s="47"/>
      <c r="BX204" s="47"/>
      <c r="BY204" s="47"/>
      <c r="BZ204" s="47"/>
      <c r="CA204" s="47"/>
      <c r="CB204" s="47"/>
      <c r="CC204" s="47"/>
      <c r="CD204" s="47"/>
      <c r="CE204" s="47"/>
      <c r="CF204" s="47"/>
      <c r="CG204" s="47"/>
      <c r="CH204" s="47"/>
      <c r="CI204" s="47"/>
      <c r="CJ204" s="47"/>
      <c r="CK204" s="47"/>
      <c r="CL204" s="47"/>
      <c r="CM204" s="47"/>
      <c r="CN204" s="47"/>
      <c r="CO204" s="47"/>
      <c r="CP204" s="47"/>
      <c r="CQ204" s="47"/>
      <c r="CR204" s="47"/>
      <c r="CS204" s="47"/>
      <c r="CT204" s="47"/>
      <c r="CU204" s="47"/>
      <c r="CV204" s="47"/>
      <c r="CW204" s="47"/>
      <c r="CX204" s="47"/>
      <c r="CY204" s="47"/>
      <c r="CZ204" s="47"/>
      <c r="DA204" s="47"/>
      <c r="DB204" s="47"/>
      <c r="DC204" s="47"/>
      <c r="DD204" s="47"/>
      <c r="DE204" s="47"/>
      <c r="DF204" s="47"/>
      <c r="DG204" s="47"/>
      <c r="DH204" s="47"/>
      <c r="DI204" s="47"/>
      <c r="DJ204" s="47"/>
      <c r="DK204" s="47"/>
      <c r="DL204" s="47"/>
      <c r="DM204" s="47"/>
      <c r="DN204" s="47"/>
      <c r="DO204" s="47"/>
      <c r="DP204" s="47"/>
      <c r="DQ204" s="47"/>
      <c r="DR204" s="47"/>
      <c r="DS204" s="47"/>
      <c r="DT204" s="47"/>
      <c r="DU204" s="47"/>
      <c r="DV204" s="47"/>
      <c r="DW204" s="47"/>
      <c r="DX204" s="47"/>
      <c r="DY204" s="47"/>
      <c r="DZ204" s="219"/>
      <c r="EA204" s="231"/>
      <c r="EB204" s="231"/>
      <c r="EC204" s="231"/>
      <c r="ED204" s="231"/>
      <c r="EE204" s="231"/>
      <c r="EF204" s="231"/>
      <c r="EG204" s="231"/>
      <c r="EH204" s="231"/>
      <c r="EI204" s="231"/>
      <c r="EJ204" s="231"/>
      <c r="EK204" s="231"/>
      <c r="EL204" s="231"/>
      <c r="EM204" s="231"/>
      <c r="EN204" s="231"/>
      <c r="EO204" s="231"/>
      <c r="EP204" s="231"/>
      <c r="EQ204" s="231"/>
    </row>
    <row r="205" spans="1:147" ht="22.9" hidden="1" customHeight="1" outlineLevel="2" x14ac:dyDescent="0.2">
      <c r="A205" s="146" t="s">
        <v>683</v>
      </c>
      <c r="B205" s="53" t="s">
        <v>146</v>
      </c>
      <c r="C205" s="50" t="s">
        <v>133</v>
      </c>
      <c r="D205" s="165">
        <v>1</v>
      </c>
      <c r="E205" s="158">
        <v>1</v>
      </c>
      <c r="F205" s="52">
        <f>SUM(H205:DY205)*E205*Table1[[#This Row],[Cycles]]</f>
        <v>0</v>
      </c>
      <c r="G205" s="46">
        <f t="shared" si="59"/>
        <v>0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47"/>
      <c r="CF205" s="47"/>
      <c r="CG205" s="47"/>
      <c r="CH205" s="47"/>
      <c r="CI205" s="47"/>
      <c r="CJ205" s="47"/>
      <c r="CK205" s="47"/>
      <c r="CL205" s="47"/>
      <c r="CM205" s="47"/>
      <c r="CN205" s="47"/>
      <c r="CO205" s="47"/>
      <c r="CP205" s="47"/>
      <c r="CQ205" s="47"/>
      <c r="CR205" s="47"/>
      <c r="CS205" s="47"/>
      <c r="CT205" s="47"/>
      <c r="CU205" s="47"/>
      <c r="CV205" s="47"/>
      <c r="CW205" s="47"/>
      <c r="CX205" s="47"/>
      <c r="CY205" s="47"/>
      <c r="CZ205" s="47"/>
      <c r="DA205" s="47"/>
      <c r="DB205" s="47"/>
      <c r="DC205" s="47"/>
      <c r="DD205" s="47"/>
      <c r="DE205" s="47"/>
      <c r="DF205" s="47"/>
      <c r="DG205" s="47"/>
      <c r="DH205" s="47"/>
      <c r="DI205" s="47"/>
      <c r="DJ205" s="47"/>
      <c r="DK205" s="47"/>
      <c r="DL205" s="47"/>
      <c r="DM205" s="47"/>
      <c r="DN205" s="47"/>
      <c r="DO205" s="47"/>
      <c r="DP205" s="47"/>
      <c r="DQ205" s="47"/>
      <c r="DR205" s="47"/>
      <c r="DS205" s="47"/>
      <c r="DT205" s="47"/>
      <c r="DU205" s="47"/>
      <c r="DV205" s="47"/>
      <c r="DW205" s="47"/>
      <c r="DX205" s="47"/>
      <c r="DY205" s="47"/>
      <c r="DZ205" s="219"/>
      <c r="EA205" s="231"/>
      <c r="EB205" s="231"/>
      <c r="EC205" s="231"/>
      <c r="ED205" s="231"/>
      <c r="EE205" s="231"/>
      <c r="EF205" s="231"/>
      <c r="EG205" s="231"/>
      <c r="EH205" s="231"/>
      <c r="EI205" s="231"/>
      <c r="EJ205" s="231"/>
      <c r="EK205" s="231"/>
      <c r="EL205" s="231"/>
      <c r="EM205" s="231"/>
      <c r="EN205" s="231"/>
      <c r="EO205" s="231"/>
      <c r="EP205" s="231"/>
      <c r="EQ205" s="231"/>
    </row>
    <row r="206" spans="1:147" ht="22.9" hidden="1" customHeight="1" outlineLevel="2" x14ac:dyDescent="0.2">
      <c r="A206" s="146" t="s">
        <v>684</v>
      </c>
      <c r="B206" s="53" t="s">
        <v>278</v>
      </c>
      <c r="C206" s="50" t="s">
        <v>133</v>
      </c>
      <c r="D206" s="165">
        <v>1</v>
      </c>
      <c r="E206" s="158">
        <v>1</v>
      </c>
      <c r="F206" s="52">
        <f>SUM(H206:DY206)*E206*Table1[[#This Row],[Cycles]]</f>
        <v>0</v>
      </c>
      <c r="G206" s="46">
        <f>SUMPRODUCT($H$3:$DY$3,$H206:$DY206)*E206*D206</f>
        <v>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7"/>
      <c r="BA206" s="47"/>
      <c r="BB206" s="47"/>
      <c r="BC206" s="47"/>
      <c r="BD206" s="47"/>
      <c r="BE206" s="47"/>
      <c r="BF206" s="47"/>
      <c r="BG206" s="47"/>
      <c r="BH206" s="47"/>
      <c r="BI206" s="47"/>
      <c r="BJ206" s="47"/>
      <c r="BK206" s="47"/>
      <c r="BL206" s="47"/>
      <c r="BM206" s="47"/>
      <c r="BN206" s="47"/>
      <c r="BO206" s="47"/>
      <c r="BP206" s="47"/>
      <c r="BQ206" s="47"/>
      <c r="BR206" s="47"/>
      <c r="BS206" s="47"/>
      <c r="BT206" s="47"/>
      <c r="BU206" s="47"/>
      <c r="BV206" s="47"/>
      <c r="BW206" s="47"/>
      <c r="BX206" s="47"/>
      <c r="BY206" s="47"/>
      <c r="BZ206" s="47"/>
      <c r="CA206" s="47"/>
      <c r="CB206" s="47"/>
      <c r="CC206" s="47"/>
      <c r="CD206" s="47"/>
      <c r="CE206" s="47"/>
      <c r="CF206" s="47"/>
      <c r="CG206" s="47"/>
      <c r="CH206" s="47"/>
      <c r="CI206" s="47"/>
      <c r="CJ206" s="47"/>
      <c r="CK206" s="47"/>
      <c r="CL206" s="47"/>
      <c r="CM206" s="47"/>
      <c r="CN206" s="47"/>
      <c r="CO206" s="47"/>
      <c r="CP206" s="47"/>
      <c r="CQ206" s="47"/>
      <c r="CR206" s="47"/>
      <c r="CS206" s="47"/>
      <c r="CT206" s="47"/>
      <c r="CU206" s="47"/>
      <c r="CV206" s="47"/>
      <c r="CW206" s="47"/>
      <c r="CX206" s="47"/>
      <c r="CY206" s="47"/>
      <c r="CZ206" s="47"/>
      <c r="DA206" s="47"/>
      <c r="DB206" s="47"/>
      <c r="DC206" s="47"/>
      <c r="DD206" s="47"/>
      <c r="DE206" s="47"/>
      <c r="DF206" s="47"/>
      <c r="DG206" s="47"/>
      <c r="DH206" s="47"/>
      <c r="DI206" s="47"/>
      <c r="DJ206" s="47"/>
      <c r="DK206" s="47"/>
      <c r="DL206" s="47"/>
      <c r="DM206" s="47"/>
      <c r="DN206" s="47"/>
      <c r="DO206" s="47"/>
      <c r="DP206" s="47"/>
      <c r="DQ206" s="47"/>
      <c r="DR206" s="47"/>
      <c r="DS206" s="47"/>
      <c r="DT206" s="47"/>
      <c r="DU206" s="47"/>
      <c r="DV206" s="47"/>
      <c r="DW206" s="47"/>
      <c r="DX206" s="47"/>
      <c r="DY206" s="47"/>
      <c r="DZ206" s="219"/>
      <c r="EA206" s="231"/>
      <c r="EB206" s="231"/>
      <c r="EC206" s="231"/>
      <c r="ED206" s="231"/>
      <c r="EE206" s="231"/>
      <c r="EF206" s="231"/>
      <c r="EG206" s="231"/>
      <c r="EH206" s="231"/>
      <c r="EI206" s="231"/>
      <c r="EJ206" s="231"/>
      <c r="EK206" s="231"/>
      <c r="EL206" s="231"/>
      <c r="EM206" s="231"/>
      <c r="EN206" s="231"/>
      <c r="EO206" s="231"/>
      <c r="EP206" s="231"/>
      <c r="EQ206" s="231"/>
    </row>
    <row r="207" spans="1:147" s="40" customFormat="1" ht="22.9" customHeight="1" x14ac:dyDescent="0.2">
      <c r="A207" s="148" t="s">
        <v>685</v>
      </c>
      <c r="B207" s="48" t="s">
        <v>711</v>
      </c>
      <c r="C207" s="33"/>
      <c r="D207" s="163"/>
      <c r="E207" s="163"/>
      <c r="F207" s="31" cm="1">
        <f t="array" ref="F207">SumByColor(F208:F263,REFERENCE!$G$2)</f>
        <v>0</v>
      </c>
      <c r="G207" s="31" cm="1">
        <f t="array" ref="G207">SumByColor(G208:G263,REFERENCE!$G$2)</f>
        <v>0</v>
      </c>
      <c r="H207" s="31" cm="1">
        <f t="array" ref="H207">SumByColor(H208:H263,REFERENCE!$G$2)</f>
        <v>0</v>
      </c>
      <c r="I207" s="31" cm="1">
        <f t="array" ref="I207">SumByColor(I208:I263,REFERENCE!$G$2)</f>
        <v>0</v>
      </c>
      <c r="J207" s="31" cm="1">
        <f t="array" ref="J207">SumByColor(J208:J263,REFERENCE!$G$2)</f>
        <v>0</v>
      </c>
      <c r="K207" s="31" cm="1">
        <f t="array" ref="K207">SumByColor(K208:K263,REFERENCE!$G$2)</f>
        <v>0</v>
      </c>
      <c r="L207" s="31" cm="1">
        <f t="array" ref="L207">SumByColor(L208:L263,REFERENCE!$G$2)</f>
        <v>0</v>
      </c>
      <c r="M207" s="31" cm="1">
        <f t="array" ref="M207">SumByColor(M208:M263,REFERENCE!$G$2)</f>
        <v>0</v>
      </c>
      <c r="N207" s="31" cm="1">
        <f t="array" ref="N207">SumByColor(N208:N263,REFERENCE!$G$2)</f>
        <v>0</v>
      </c>
      <c r="O207" s="31" cm="1">
        <f t="array" ref="O207">SumByColor(O208:O263,REFERENCE!$G$2)</f>
        <v>0</v>
      </c>
      <c r="P207" s="31" cm="1">
        <f t="array" ref="P207">SumByColor(P208:P263,REFERENCE!$G$2)</f>
        <v>0</v>
      </c>
      <c r="Q207" s="31" cm="1">
        <f t="array" ref="Q207">SumByColor(Q208:Q263,REFERENCE!$G$2)</f>
        <v>0</v>
      </c>
      <c r="R207" s="31" cm="1">
        <f t="array" ref="R207">SumByColor(R208:R263,REFERENCE!$G$2)</f>
        <v>0</v>
      </c>
      <c r="S207" s="31" cm="1">
        <f t="array" ref="S207">SumByColor(S208:S263,REFERENCE!$G$2)</f>
        <v>0</v>
      </c>
      <c r="T207" s="31" cm="1">
        <f t="array" ref="T207">SumByColor(T208:T263,REFERENCE!$G$2)</f>
        <v>0</v>
      </c>
      <c r="U207" s="31" cm="1">
        <f t="array" ref="U207">SumByColor(U208:U263,REFERENCE!$G$2)</f>
        <v>0</v>
      </c>
      <c r="V207" s="31" cm="1">
        <f t="array" ref="V207">SumByColor(V208:V263,REFERENCE!$G$2)</f>
        <v>0</v>
      </c>
      <c r="W207" s="31" cm="1">
        <f t="array" ref="W207">SumByColor(W208:W263,REFERENCE!$G$2)</f>
        <v>0</v>
      </c>
      <c r="X207" s="31" cm="1">
        <f t="array" ref="X207">SumByColor(X208:X263,REFERENCE!$G$2)</f>
        <v>0</v>
      </c>
      <c r="Y207" s="31" cm="1">
        <f t="array" ref="Y207">SumByColor(Y208:Y263,REFERENCE!$G$2)</f>
        <v>0</v>
      </c>
      <c r="Z207" s="31" cm="1">
        <f t="array" ref="Z207">SumByColor(Z208:Z263,REFERENCE!$G$2)</f>
        <v>0</v>
      </c>
      <c r="AA207" s="31" cm="1">
        <f t="array" ref="AA207">SumByColor(AA208:AA263,REFERENCE!$G$2)</f>
        <v>0</v>
      </c>
      <c r="AB207" s="31" cm="1">
        <f t="array" ref="AB207">SumByColor(AB208:AB263,REFERENCE!$G$2)</f>
        <v>0</v>
      </c>
      <c r="AC207" s="31" cm="1">
        <f t="array" ref="AC207">SumByColor(AC208:AC263,REFERENCE!$G$2)</f>
        <v>0</v>
      </c>
      <c r="AD207" s="31" cm="1">
        <f t="array" ref="AD207">SumByColor(AD208:AD263,REFERENCE!$G$2)</f>
        <v>0</v>
      </c>
      <c r="AE207" s="31" cm="1">
        <f t="array" ref="AE207">SumByColor(AE208:AE263,REFERENCE!$G$2)</f>
        <v>0</v>
      </c>
      <c r="AF207" s="31" cm="1">
        <f t="array" ref="AF207">SumByColor(AF208:AF263,REFERENCE!$G$2)</f>
        <v>0</v>
      </c>
      <c r="AG207" s="31" cm="1">
        <f t="array" ref="AG207">SumByColor(AG208:AG263,REFERENCE!$G$2)</f>
        <v>0</v>
      </c>
      <c r="AH207" s="31" cm="1">
        <f t="array" ref="AH207">SumByColor(AH208:AH263,REFERENCE!$G$2)</f>
        <v>0</v>
      </c>
      <c r="AI207" s="31" cm="1">
        <f t="array" ref="AI207">SumByColor(AI208:AI263,REFERENCE!$G$2)</f>
        <v>0</v>
      </c>
      <c r="AJ207" s="31" cm="1">
        <f t="array" ref="AJ207">SumByColor(AJ208:AJ263,REFERENCE!$G$2)</f>
        <v>0</v>
      </c>
      <c r="AK207" s="31" cm="1">
        <f t="array" ref="AK207">SumByColor(AK208:AK263,REFERENCE!$G$2)</f>
        <v>0</v>
      </c>
      <c r="AL207" s="31" cm="1">
        <f t="array" ref="AL207">SumByColor(AL208:AL263,REFERENCE!$G$2)</f>
        <v>0</v>
      </c>
      <c r="AM207" s="31" cm="1">
        <f t="array" ref="AM207">SumByColor(AM208:AM263,REFERENCE!$G$2)</f>
        <v>0</v>
      </c>
      <c r="AN207" s="31" cm="1">
        <f t="array" ref="AN207">SumByColor(AN208:AN263,REFERENCE!$G$2)</f>
        <v>0</v>
      </c>
      <c r="AO207" s="31" cm="1">
        <f t="array" ref="AO207">SumByColor(AO208:AO263,REFERENCE!$G$2)</f>
        <v>0</v>
      </c>
      <c r="AP207" s="31" cm="1">
        <f t="array" ref="AP207">SumByColor(AP208:AP263,REFERENCE!$G$2)</f>
        <v>0</v>
      </c>
      <c r="AQ207" s="31" cm="1">
        <f t="array" ref="AQ207">SumByColor(AQ208:AQ263,REFERENCE!$G$2)</f>
        <v>0</v>
      </c>
      <c r="AR207" s="31" cm="1">
        <f t="array" ref="AR207">SumByColor(AR208:AR263,REFERENCE!$G$2)</f>
        <v>0</v>
      </c>
      <c r="AS207" s="31" cm="1">
        <f t="array" ref="AS207">SumByColor(AS208:AS263,REFERENCE!$G$2)</f>
        <v>0</v>
      </c>
      <c r="AT207" s="31" cm="1">
        <f t="array" ref="AT207">SumByColor(AT208:AT263,REFERENCE!$G$2)</f>
        <v>0</v>
      </c>
      <c r="AU207" s="31" cm="1">
        <f t="array" ref="AU207">SumByColor(AU208:AU263,REFERENCE!$G$2)</f>
        <v>0</v>
      </c>
      <c r="AV207" s="31" cm="1">
        <f t="array" ref="AV207">SumByColor(AV208:AV263,REFERENCE!$G$2)</f>
        <v>0</v>
      </c>
      <c r="AW207" s="31" cm="1">
        <f t="array" ref="AW207">SumByColor(AW208:AW263,REFERENCE!$G$2)</f>
        <v>0</v>
      </c>
      <c r="AX207" s="31" cm="1">
        <f t="array" ref="AX207">SumByColor(AX208:AX263,REFERENCE!$G$2)</f>
        <v>0</v>
      </c>
      <c r="AY207" s="31" cm="1">
        <f t="array" ref="AY207">SumByColor(AY208:AY263,REFERENCE!$G$2)</f>
        <v>0</v>
      </c>
      <c r="AZ207" s="31" cm="1">
        <f t="array" ref="AZ207">SumByColor(AZ208:AZ263,REFERENCE!$G$2)</f>
        <v>0</v>
      </c>
      <c r="BA207" s="31" cm="1">
        <f t="array" ref="BA207">SumByColor(BA208:BA263,REFERENCE!$G$2)</f>
        <v>0</v>
      </c>
      <c r="BB207" s="31" cm="1">
        <f t="array" ref="BB207">SumByColor(BB208:BB263,REFERENCE!$G$2)</f>
        <v>0</v>
      </c>
      <c r="BC207" s="31" cm="1">
        <f t="array" ref="BC207">SumByColor(BC208:BC263,REFERENCE!$G$2)</f>
        <v>0</v>
      </c>
      <c r="BD207" s="31" cm="1">
        <f t="array" ref="BD207">SumByColor(BD208:BD263,REFERENCE!$G$2)</f>
        <v>0</v>
      </c>
      <c r="BE207" s="31" cm="1">
        <f t="array" ref="BE207">SumByColor(BE208:BE263,REFERENCE!$G$2)</f>
        <v>0</v>
      </c>
      <c r="BF207" s="31" cm="1">
        <f t="array" ref="BF207">SumByColor(BF208:BF263,REFERENCE!$G$2)</f>
        <v>0</v>
      </c>
      <c r="BG207" s="31" cm="1">
        <f t="array" ref="BG207">SumByColor(BG208:BG263,REFERENCE!$G$2)</f>
        <v>0</v>
      </c>
      <c r="BH207" s="31" cm="1">
        <f t="array" ref="BH207">SumByColor(BH208:BH263,REFERENCE!$G$2)</f>
        <v>0</v>
      </c>
      <c r="BI207" s="31" cm="1">
        <f t="array" ref="BI207">SumByColor(BI208:BI263,REFERENCE!$G$2)</f>
        <v>0</v>
      </c>
      <c r="BJ207" s="31" cm="1">
        <f t="array" ref="BJ207">SumByColor(BJ208:BJ263,REFERENCE!$G$2)</f>
        <v>0</v>
      </c>
      <c r="BK207" s="31" cm="1">
        <f t="array" ref="BK207">SumByColor(BK208:BK263,REFERENCE!$G$2)</f>
        <v>0</v>
      </c>
      <c r="BL207" s="31" cm="1">
        <f t="array" ref="BL207">SumByColor(BL208:BL263,REFERENCE!$G$2)</f>
        <v>0</v>
      </c>
      <c r="BM207" s="31" cm="1">
        <f t="array" ref="BM207">SumByColor(BM208:BM263,REFERENCE!$G$2)</f>
        <v>0</v>
      </c>
      <c r="BN207" s="31" cm="1">
        <f t="array" ref="BN207">SumByColor(BN208:BN263,REFERENCE!$G$2)</f>
        <v>0</v>
      </c>
      <c r="BO207" s="31" cm="1">
        <f t="array" ref="BO207">SumByColor(BO208:BO263,REFERENCE!$G$2)</f>
        <v>0</v>
      </c>
      <c r="BP207" s="31" cm="1">
        <f t="array" ref="BP207">SumByColor(BP208:BP263,REFERENCE!$G$2)</f>
        <v>0</v>
      </c>
      <c r="BQ207" s="31" cm="1">
        <f t="array" ref="BQ207">SumByColor(BQ208:BQ263,REFERENCE!$G$2)</f>
        <v>0</v>
      </c>
      <c r="BR207" s="31" cm="1">
        <f t="array" ref="BR207">SumByColor(BR208:BR263,REFERENCE!$G$2)</f>
        <v>0</v>
      </c>
      <c r="BS207" s="31" cm="1">
        <f t="array" ref="BS207">SumByColor(BS208:BS263,REFERENCE!$G$2)</f>
        <v>0</v>
      </c>
      <c r="BT207" s="31" cm="1">
        <f t="array" ref="BT207">SumByColor(BT208:BT263,REFERENCE!$G$2)</f>
        <v>0</v>
      </c>
      <c r="BU207" s="31" cm="1">
        <f t="array" ref="BU207">SumByColor(BU208:BU263,REFERENCE!$G$2)</f>
        <v>0</v>
      </c>
      <c r="BV207" s="31" cm="1">
        <f t="array" ref="BV207">SumByColor(BV208:BV263,REFERENCE!$G$2)</f>
        <v>0</v>
      </c>
      <c r="BW207" s="31" cm="1">
        <f t="array" ref="BW207">SumByColor(BW208:BW263,REFERENCE!$G$2)</f>
        <v>0</v>
      </c>
      <c r="BX207" s="31" cm="1">
        <f t="array" ref="BX207">SumByColor(BX208:BX263,REFERENCE!$G$2)</f>
        <v>0</v>
      </c>
      <c r="BY207" s="31" cm="1">
        <f t="array" ref="BY207">SumByColor(BY208:BY263,REFERENCE!$G$2)</f>
        <v>0</v>
      </c>
      <c r="BZ207" s="31" cm="1">
        <f t="array" ref="BZ207">SumByColor(BZ208:BZ263,REFERENCE!$G$2)</f>
        <v>0</v>
      </c>
      <c r="CA207" s="31" cm="1">
        <f t="array" ref="CA207">SumByColor(CA208:CA263,REFERENCE!$G$2)</f>
        <v>0</v>
      </c>
      <c r="CB207" s="31" cm="1">
        <f t="array" ref="CB207">SumByColor(CB208:CB263,REFERENCE!$G$2)</f>
        <v>0</v>
      </c>
      <c r="CC207" s="31" cm="1">
        <f t="array" ref="CC207">SumByColor(CC208:CC263,REFERENCE!$G$2)</f>
        <v>0</v>
      </c>
      <c r="CD207" s="31" cm="1">
        <f t="array" ref="CD207">SumByColor(CD208:CD263,REFERENCE!$G$2)</f>
        <v>0</v>
      </c>
      <c r="CE207" s="31" cm="1">
        <f t="array" ref="CE207">SumByColor(CE208:CE263,REFERENCE!$G$2)</f>
        <v>0</v>
      </c>
      <c r="CF207" s="31" cm="1">
        <f t="array" ref="CF207">SumByColor(CF208:CF263,REFERENCE!$G$2)</f>
        <v>0</v>
      </c>
      <c r="CG207" s="31" cm="1">
        <f t="array" ref="CG207">SumByColor(CG208:CG263,REFERENCE!$G$2)</f>
        <v>0</v>
      </c>
      <c r="CH207" s="31" cm="1">
        <f t="array" ref="CH207">SumByColor(CH208:CH263,REFERENCE!$G$2)</f>
        <v>0</v>
      </c>
      <c r="CI207" s="31" cm="1">
        <f t="array" ref="CI207">SumByColor(CI208:CI263,REFERENCE!$G$2)</f>
        <v>0</v>
      </c>
      <c r="CJ207" s="31" cm="1">
        <f t="array" ref="CJ207">SumByColor(CJ208:CJ263,REFERENCE!$G$2)</f>
        <v>0</v>
      </c>
      <c r="CK207" s="31" cm="1">
        <f t="array" ref="CK207">SumByColor(CK208:CK263,REFERENCE!$G$2)</f>
        <v>0</v>
      </c>
      <c r="CL207" s="31" cm="1">
        <f t="array" ref="CL207">SumByColor(CL208:CL263,REFERENCE!$G$2)</f>
        <v>0</v>
      </c>
      <c r="CM207" s="31" cm="1">
        <f t="array" ref="CM207">SumByColor(CM208:CM263,REFERENCE!$G$2)</f>
        <v>0</v>
      </c>
      <c r="CN207" s="31" cm="1">
        <f t="array" ref="CN207">SumByColor(CN208:CN263,REFERENCE!$G$2)</f>
        <v>0</v>
      </c>
      <c r="CO207" s="31" cm="1">
        <f t="array" ref="CO207">SumByColor(CO208:CO263,REFERENCE!$G$2)</f>
        <v>0</v>
      </c>
      <c r="CP207" s="31" cm="1">
        <f t="array" ref="CP207">SumByColor(CP208:CP263,REFERENCE!$G$2)</f>
        <v>0</v>
      </c>
      <c r="CQ207" s="31" cm="1">
        <f t="array" ref="CQ207">SumByColor(CQ208:CQ263,REFERENCE!$G$2)</f>
        <v>0</v>
      </c>
      <c r="CR207" s="31" cm="1">
        <f t="array" ref="CR207">SumByColor(CR208:CR263,REFERENCE!$G$2)</f>
        <v>0</v>
      </c>
      <c r="CS207" s="31" cm="1">
        <f t="array" ref="CS207">SumByColor(CS208:CS263,REFERENCE!$G$2)</f>
        <v>0</v>
      </c>
      <c r="CT207" s="31" cm="1">
        <f t="array" ref="CT207">SumByColor(CT208:CT263,REFERENCE!$G$2)</f>
        <v>0</v>
      </c>
      <c r="CU207" s="31" cm="1">
        <f t="array" ref="CU207">SumByColor(CU208:CU263,REFERENCE!$G$2)</f>
        <v>0</v>
      </c>
      <c r="CV207" s="31" cm="1">
        <f t="array" ref="CV207">SumByColor(CV208:CV263,REFERENCE!$G$2)</f>
        <v>0</v>
      </c>
      <c r="CW207" s="31" cm="1">
        <f t="array" ref="CW207">SumByColor(CW208:CW263,REFERENCE!$G$2)</f>
        <v>0</v>
      </c>
      <c r="CX207" s="31" cm="1">
        <f t="array" ref="CX207">SumByColor(CX208:CX263,REFERENCE!$G$2)</f>
        <v>0</v>
      </c>
      <c r="CY207" s="31" cm="1">
        <f t="array" ref="CY207">SumByColor(CY208:CY263,REFERENCE!$G$2)</f>
        <v>0</v>
      </c>
      <c r="CZ207" s="31" cm="1">
        <f t="array" ref="CZ207">SumByColor(CZ208:CZ263,REFERENCE!$G$2)</f>
        <v>0</v>
      </c>
      <c r="DA207" s="31" cm="1">
        <f t="array" ref="DA207">SumByColor(DA208:DA263,REFERENCE!$G$2)</f>
        <v>0</v>
      </c>
      <c r="DB207" s="31" cm="1">
        <f t="array" ref="DB207">SumByColor(DB208:DB263,REFERENCE!$G$2)</f>
        <v>0</v>
      </c>
      <c r="DC207" s="31" cm="1">
        <f t="array" ref="DC207">SumByColor(DC208:DC263,REFERENCE!$G$2)</f>
        <v>0</v>
      </c>
      <c r="DD207" s="31" cm="1">
        <f t="array" ref="DD207">SumByColor(DD208:DD263,REFERENCE!$G$2)</f>
        <v>0</v>
      </c>
      <c r="DE207" s="31" cm="1">
        <f t="array" ref="DE207">SumByColor(DE208:DE263,REFERENCE!$G$2)</f>
        <v>0</v>
      </c>
      <c r="DF207" s="31" cm="1">
        <f t="array" ref="DF207">SumByColor(DF208:DF263,REFERENCE!$G$2)</f>
        <v>0</v>
      </c>
      <c r="DG207" s="31" cm="1">
        <f t="array" ref="DG207">SumByColor(DG208:DG263,REFERENCE!$G$2)</f>
        <v>0</v>
      </c>
      <c r="DH207" s="31" cm="1">
        <f t="array" ref="DH207">SumByColor(DH208:DH263,REFERENCE!$G$2)</f>
        <v>0</v>
      </c>
      <c r="DI207" s="31" cm="1">
        <f t="array" ref="DI207">SumByColor(DI208:DI263,REFERENCE!$G$2)</f>
        <v>0</v>
      </c>
      <c r="DJ207" s="31" cm="1">
        <f t="array" ref="DJ207">SumByColor(DJ208:DJ263,REFERENCE!$G$2)</f>
        <v>0</v>
      </c>
      <c r="DK207" s="31" cm="1">
        <f t="array" ref="DK207">SumByColor(DK208:DK263,REFERENCE!$G$2)</f>
        <v>0</v>
      </c>
      <c r="DL207" s="31" cm="1">
        <f t="array" ref="DL207">SumByColor(DL208:DL263,REFERENCE!$G$2)</f>
        <v>0</v>
      </c>
      <c r="DM207" s="31" cm="1">
        <f t="array" ref="DM207">SumByColor(DM208:DM263,REFERENCE!$G$2)</f>
        <v>0</v>
      </c>
      <c r="DN207" s="31" cm="1">
        <f t="array" ref="DN207">SumByColor(DN208:DN263,REFERENCE!$G$2)</f>
        <v>0</v>
      </c>
      <c r="DO207" s="31" cm="1">
        <f t="array" ref="DO207">SumByColor(DO208:DO263,REFERENCE!$G$2)</f>
        <v>0</v>
      </c>
      <c r="DP207" s="31" cm="1">
        <f t="array" ref="DP207">SumByColor(DP208:DP263,REFERENCE!$G$2)</f>
        <v>0</v>
      </c>
      <c r="DQ207" s="31" cm="1">
        <f t="array" ref="DQ207">SumByColor(DQ208:DQ263,REFERENCE!$G$2)</f>
        <v>0</v>
      </c>
      <c r="DR207" s="31" cm="1">
        <f t="array" ref="DR207">SumByColor(DR208:DR263,REFERENCE!$G$2)</f>
        <v>0</v>
      </c>
      <c r="DS207" s="31" cm="1">
        <f t="array" ref="DS207">SumByColor(DS208:DS263,REFERENCE!$G$2)</f>
        <v>0</v>
      </c>
      <c r="DT207" s="31" cm="1">
        <f t="array" ref="DT207">SumByColor(DT208:DT263,REFERENCE!$G$2)</f>
        <v>0</v>
      </c>
      <c r="DU207" s="31" cm="1">
        <f t="array" ref="DU207">SumByColor(DU208:DU263,REFERENCE!$G$2)</f>
        <v>0</v>
      </c>
      <c r="DV207" s="31" cm="1">
        <f t="array" ref="DV207">SumByColor(DV208:DV263,REFERENCE!$G$2)</f>
        <v>0</v>
      </c>
      <c r="DW207" s="31" cm="1">
        <f t="array" ref="DW207">SumByColor(DW208:DW263,REFERENCE!$G$2)</f>
        <v>0</v>
      </c>
      <c r="DX207" s="31" cm="1">
        <f t="array" ref="DX207">SumByColor(DX208:DX263,REFERENCE!$G$2)</f>
        <v>0</v>
      </c>
      <c r="DY207" s="31" cm="1">
        <f t="array" ref="DY207">SumByColor(DY208:DY263,REFERENCE!$G$2)</f>
        <v>0</v>
      </c>
      <c r="DZ207" s="218"/>
      <c r="EA207" s="232"/>
      <c r="EB207" s="232"/>
      <c r="EC207" s="232"/>
      <c r="ED207" s="232"/>
      <c r="EE207" s="232"/>
      <c r="EF207" s="232"/>
      <c r="EG207" s="232"/>
      <c r="EH207" s="232"/>
      <c r="EI207" s="232"/>
      <c r="EJ207" s="232"/>
      <c r="EK207" s="232"/>
      <c r="EL207" s="232"/>
      <c r="EM207" s="232"/>
      <c r="EN207" s="232"/>
      <c r="EO207" s="232"/>
      <c r="EP207" s="232"/>
      <c r="EQ207" s="232"/>
    </row>
    <row r="208" spans="1:147" s="40" customFormat="1" ht="22.9" customHeight="1" outlineLevel="1" collapsed="1" x14ac:dyDescent="0.2">
      <c r="A208" s="149" t="s">
        <v>686</v>
      </c>
      <c r="B208" s="35" t="s">
        <v>492</v>
      </c>
      <c r="C208" s="32" t="s">
        <v>100</v>
      </c>
      <c r="D208" s="164"/>
      <c r="E208" s="164"/>
      <c r="F208" s="43">
        <f>SUM(F209:F218)</f>
        <v>0</v>
      </c>
      <c r="G208" s="43">
        <f>SUM(G209:G218)</f>
        <v>0</v>
      </c>
      <c r="H208" s="45">
        <f>SUMPRODUCT($D$209:$D$218,$E$209:$E$218,H209:H218)</f>
        <v>0</v>
      </c>
      <c r="I208" s="45">
        <f t="shared" ref="I208:BT208" si="60">SUMPRODUCT($D$209:$D$218,$E$209:$E$218,I209:I218)</f>
        <v>0</v>
      </c>
      <c r="J208" s="45">
        <f t="shared" si="60"/>
        <v>0</v>
      </c>
      <c r="K208" s="45">
        <f t="shared" si="60"/>
        <v>0</v>
      </c>
      <c r="L208" s="45">
        <f t="shared" si="60"/>
        <v>0</v>
      </c>
      <c r="M208" s="45">
        <f t="shared" si="60"/>
        <v>0</v>
      </c>
      <c r="N208" s="45">
        <f t="shared" si="60"/>
        <v>0</v>
      </c>
      <c r="O208" s="45">
        <f t="shared" si="60"/>
        <v>0</v>
      </c>
      <c r="P208" s="45">
        <f t="shared" si="60"/>
        <v>0</v>
      </c>
      <c r="Q208" s="45">
        <f t="shared" si="60"/>
        <v>0</v>
      </c>
      <c r="R208" s="45">
        <f t="shared" si="60"/>
        <v>0</v>
      </c>
      <c r="S208" s="45">
        <f t="shared" si="60"/>
        <v>0</v>
      </c>
      <c r="T208" s="45">
        <f t="shared" si="60"/>
        <v>0</v>
      </c>
      <c r="U208" s="45">
        <f t="shared" si="60"/>
        <v>0</v>
      </c>
      <c r="V208" s="45">
        <f t="shared" si="60"/>
        <v>0</v>
      </c>
      <c r="W208" s="45">
        <f t="shared" si="60"/>
        <v>0</v>
      </c>
      <c r="X208" s="45">
        <f t="shared" si="60"/>
        <v>0</v>
      </c>
      <c r="Y208" s="45">
        <f t="shared" si="60"/>
        <v>0</v>
      </c>
      <c r="Z208" s="45">
        <f t="shared" si="60"/>
        <v>0</v>
      </c>
      <c r="AA208" s="45">
        <f t="shared" si="60"/>
        <v>0</v>
      </c>
      <c r="AB208" s="45">
        <f t="shared" si="60"/>
        <v>0</v>
      </c>
      <c r="AC208" s="45">
        <f t="shared" si="60"/>
        <v>0</v>
      </c>
      <c r="AD208" s="45">
        <f t="shared" si="60"/>
        <v>0</v>
      </c>
      <c r="AE208" s="45">
        <f t="shared" si="60"/>
        <v>0</v>
      </c>
      <c r="AF208" s="45">
        <f t="shared" si="60"/>
        <v>0</v>
      </c>
      <c r="AG208" s="45">
        <f t="shared" si="60"/>
        <v>0</v>
      </c>
      <c r="AH208" s="45">
        <f t="shared" si="60"/>
        <v>0</v>
      </c>
      <c r="AI208" s="45">
        <f t="shared" si="60"/>
        <v>0</v>
      </c>
      <c r="AJ208" s="45">
        <f t="shared" si="60"/>
        <v>0</v>
      </c>
      <c r="AK208" s="45">
        <f t="shared" si="60"/>
        <v>0</v>
      </c>
      <c r="AL208" s="45">
        <f t="shared" si="60"/>
        <v>0</v>
      </c>
      <c r="AM208" s="45">
        <f t="shared" si="60"/>
        <v>0</v>
      </c>
      <c r="AN208" s="45">
        <f t="shared" si="60"/>
        <v>0</v>
      </c>
      <c r="AO208" s="45">
        <f t="shared" si="60"/>
        <v>0</v>
      </c>
      <c r="AP208" s="45">
        <f t="shared" si="60"/>
        <v>0</v>
      </c>
      <c r="AQ208" s="45">
        <f t="shared" si="60"/>
        <v>0</v>
      </c>
      <c r="AR208" s="45">
        <f t="shared" si="60"/>
        <v>0</v>
      </c>
      <c r="AS208" s="45">
        <f t="shared" si="60"/>
        <v>0</v>
      </c>
      <c r="AT208" s="45">
        <f t="shared" si="60"/>
        <v>0</v>
      </c>
      <c r="AU208" s="45">
        <f t="shared" si="60"/>
        <v>0</v>
      </c>
      <c r="AV208" s="45">
        <f t="shared" si="60"/>
        <v>0</v>
      </c>
      <c r="AW208" s="45">
        <f t="shared" si="60"/>
        <v>0</v>
      </c>
      <c r="AX208" s="45">
        <f t="shared" si="60"/>
        <v>0</v>
      </c>
      <c r="AY208" s="45">
        <f t="shared" si="60"/>
        <v>0</v>
      </c>
      <c r="AZ208" s="45">
        <f t="shared" si="60"/>
        <v>0</v>
      </c>
      <c r="BA208" s="45">
        <f t="shared" si="60"/>
        <v>0</v>
      </c>
      <c r="BB208" s="45">
        <f t="shared" si="60"/>
        <v>0</v>
      </c>
      <c r="BC208" s="45">
        <f t="shared" si="60"/>
        <v>0</v>
      </c>
      <c r="BD208" s="45">
        <f t="shared" si="60"/>
        <v>0</v>
      </c>
      <c r="BE208" s="45">
        <f t="shared" si="60"/>
        <v>0</v>
      </c>
      <c r="BF208" s="45">
        <f t="shared" si="60"/>
        <v>0</v>
      </c>
      <c r="BG208" s="45">
        <f t="shared" si="60"/>
        <v>0</v>
      </c>
      <c r="BH208" s="45">
        <f t="shared" si="60"/>
        <v>0</v>
      </c>
      <c r="BI208" s="45">
        <f t="shared" si="60"/>
        <v>0</v>
      </c>
      <c r="BJ208" s="45">
        <f t="shared" si="60"/>
        <v>0</v>
      </c>
      <c r="BK208" s="45">
        <f t="shared" si="60"/>
        <v>0</v>
      </c>
      <c r="BL208" s="45">
        <f t="shared" si="60"/>
        <v>0</v>
      </c>
      <c r="BM208" s="45">
        <f t="shared" si="60"/>
        <v>0</v>
      </c>
      <c r="BN208" s="45">
        <f t="shared" si="60"/>
        <v>0</v>
      </c>
      <c r="BO208" s="45">
        <f t="shared" si="60"/>
        <v>0</v>
      </c>
      <c r="BP208" s="45">
        <f t="shared" si="60"/>
        <v>0</v>
      </c>
      <c r="BQ208" s="45">
        <f t="shared" si="60"/>
        <v>0</v>
      </c>
      <c r="BR208" s="45">
        <f t="shared" si="60"/>
        <v>0</v>
      </c>
      <c r="BS208" s="45">
        <f t="shared" si="60"/>
        <v>0</v>
      </c>
      <c r="BT208" s="45">
        <f t="shared" si="60"/>
        <v>0</v>
      </c>
      <c r="BU208" s="45">
        <f t="shared" ref="BU208:DY208" si="61">SUMPRODUCT($D$209:$D$218,$E$209:$E$218,BU209:BU218)</f>
        <v>0</v>
      </c>
      <c r="BV208" s="45">
        <f t="shared" si="61"/>
        <v>0</v>
      </c>
      <c r="BW208" s="45">
        <f t="shared" si="61"/>
        <v>0</v>
      </c>
      <c r="BX208" s="45">
        <f t="shared" si="61"/>
        <v>0</v>
      </c>
      <c r="BY208" s="45">
        <f t="shared" si="61"/>
        <v>0</v>
      </c>
      <c r="BZ208" s="45">
        <f t="shared" si="61"/>
        <v>0</v>
      </c>
      <c r="CA208" s="45">
        <f t="shared" si="61"/>
        <v>0</v>
      </c>
      <c r="CB208" s="45">
        <f t="shared" si="61"/>
        <v>0</v>
      </c>
      <c r="CC208" s="45">
        <f t="shared" si="61"/>
        <v>0</v>
      </c>
      <c r="CD208" s="45">
        <f t="shared" si="61"/>
        <v>0</v>
      </c>
      <c r="CE208" s="45">
        <f t="shared" si="61"/>
        <v>0</v>
      </c>
      <c r="CF208" s="45">
        <f t="shared" si="61"/>
        <v>0</v>
      </c>
      <c r="CG208" s="45">
        <f t="shared" si="61"/>
        <v>0</v>
      </c>
      <c r="CH208" s="45">
        <f t="shared" si="61"/>
        <v>0</v>
      </c>
      <c r="CI208" s="45">
        <f t="shared" si="61"/>
        <v>0</v>
      </c>
      <c r="CJ208" s="45">
        <f t="shared" si="61"/>
        <v>0</v>
      </c>
      <c r="CK208" s="45">
        <f t="shared" si="61"/>
        <v>0</v>
      </c>
      <c r="CL208" s="45">
        <f t="shared" si="61"/>
        <v>0</v>
      </c>
      <c r="CM208" s="45">
        <f t="shared" si="61"/>
        <v>0</v>
      </c>
      <c r="CN208" s="45">
        <f t="shared" si="61"/>
        <v>0</v>
      </c>
      <c r="CO208" s="45">
        <f t="shared" si="61"/>
        <v>0</v>
      </c>
      <c r="CP208" s="45">
        <f t="shared" si="61"/>
        <v>0</v>
      </c>
      <c r="CQ208" s="45">
        <f t="shared" si="61"/>
        <v>0</v>
      </c>
      <c r="CR208" s="45">
        <f t="shared" si="61"/>
        <v>0</v>
      </c>
      <c r="CS208" s="45">
        <f t="shared" si="61"/>
        <v>0</v>
      </c>
      <c r="CT208" s="45">
        <f t="shared" si="61"/>
        <v>0</v>
      </c>
      <c r="CU208" s="45">
        <f t="shared" si="61"/>
        <v>0</v>
      </c>
      <c r="CV208" s="45">
        <f t="shared" si="61"/>
        <v>0</v>
      </c>
      <c r="CW208" s="45">
        <f t="shared" si="61"/>
        <v>0</v>
      </c>
      <c r="CX208" s="45">
        <f t="shared" si="61"/>
        <v>0</v>
      </c>
      <c r="CY208" s="45">
        <f t="shared" si="61"/>
        <v>0</v>
      </c>
      <c r="CZ208" s="45">
        <f t="shared" si="61"/>
        <v>0</v>
      </c>
      <c r="DA208" s="45">
        <f t="shared" si="61"/>
        <v>0</v>
      </c>
      <c r="DB208" s="45">
        <f t="shared" si="61"/>
        <v>0</v>
      </c>
      <c r="DC208" s="45">
        <f t="shared" si="61"/>
        <v>0</v>
      </c>
      <c r="DD208" s="45">
        <f t="shared" si="61"/>
        <v>0</v>
      </c>
      <c r="DE208" s="45">
        <f t="shared" si="61"/>
        <v>0</v>
      </c>
      <c r="DF208" s="45">
        <f t="shared" si="61"/>
        <v>0</v>
      </c>
      <c r="DG208" s="45">
        <f t="shared" si="61"/>
        <v>0</v>
      </c>
      <c r="DH208" s="45">
        <f t="shared" si="61"/>
        <v>0</v>
      </c>
      <c r="DI208" s="45">
        <f t="shared" si="61"/>
        <v>0</v>
      </c>
      <c r="DJ208" s="45">
        <f t="shared" si="61"/>
        <v>0</v>
      </c>
      <c r="DK208" s="45">
        <f t="shared" si="61"/>
        <v>0</v>
      </c>
      <c r="DL208" s="45">
        <f t="shared" si="61"/>
        <v>0</v>
      </c>
      <c r="DM208" s="45">
        <f t="shared" si="61"/>
        <v>0</v>
      </c>
      <c r="DN208" s="45">
        <f t="shared" si="61"/>
        <v>0</v>
      </c>
      <c r="DO208" s="45">
        <f t="shared" si="61"/>
        <v>0</v>
      </c>
      <c r="DP208" s="45">
        <f t="shared" si="61"/>
        <v>0</v>
      </c>
      <c r="DQ208" s="45">
        <f t="shared" si="61"/>
        <v>0</v>
      </c>
      <c r="DR208" s="45">
        <f t="shared" si="61"/>
        <v>0</v>
      </c>
      <c r="DS208" s="45">
        <f t="shared" si="61"/>
        <v>0</v>
      </c>
      <c r="DT208" s="45">
        <f t="shared" si="61"/>
        <v>0</v>
      </c>
      <c r="DU208" s="45">
        <f>SUMPRODUCT($D$209:$D$218,$E$209:$E$218,DU209:DU218)</f>
        <v>0</v>
      </c>
      <c r="DV208" s="45">
        <f t="shared" si="61"/>
        <v>0</v>
      </c>
      <c r="DW208" s="45">
        <f t="shared" si="61"/>
        <v>0</v>
      </c>
      <c r="DX208" s="45">
        <f t="shared" si="61"/>
        <v>0</v>
      </c>
      <c r="DY208" s="45">
        <f t="shared" si="61"/>
        <v>0</v>
      </c>
      <c r="DZ208" s="218"/>
      <c r="EA208" s="231"/>
      <c r="EB208" s="231"/>
      <c r="EC208" s="231"/>
      <c r="ED208" s="231"/>
      <c r="EE208" s="231"/>
      <c r="EF208" s="231"/>
      <c r="EG208" s="231"/>
      <c r="EH208" s="231"/>
      <c r="EI208" s="231"/>
      <c r="EJ208" s="231"/>
      <c r="EK208" s="231"/>
      <c r="EL208" s="231"/>
      <c r="EM208" s="231"/>
      <c r="EN208" s="231"/>
      <c r="EO208" s="231"/>
      <c r="EP208" s="231"/>
      <c r="EQ208" s="231"/>
    </row>
    <row r="209" spans="1:147" ht="22.9" hidden="1" customHeight="1" outlineLevel="2" x14ac:dyDescent="0.2">
      <c r="A209" s="146" t="s">
        <v>689</v>
      </c>
      <c r="B209" s="53" t="s">
        <v>220</v>
      </c>
      <c r="C209" s="50" t="s">
        <v>133</v>
      </c>
      <c r="D209" s="165">
        <v>1</v>
      </c>
      <c r="E209" s="158">
        <v>1</v>
      </c>
      <c r="F209" s="52">
        <f>SUM(H209:DY209)*E209*Table1[[#This Row],[Cycles]]</f>
        <v>0</v>
      </c>
      <c r="G209" s="46">
        <f>SUMPRODUCT($H$3:$DY$3,$H209:$DY209)*E209*D209</f>
        <v>0</v>
      </c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  <c r="BD209" s="47"/>
      <c r="BE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  <c r="BS209" s="47"/>
      <c r="BT209" s="47"/>
      <c r="BU209" s="47"/>
      <c r="BV209" s="47"/>
      <c r="BW209" s="47"/>
      <c r="BX209" s="47"/>
      <c r="BY209" s="47"/>
      <c r="BZ209" s="47"/>
      <c r="CA209" s="47"/>
      <c r="CB209" s="47"/>
      <c r="CC209" s="47"/>
      <c r="CD209" s="47"/>
      <c r="CE209" s="47"/>
      <c r="CF209" s="47"/>
      <c r="CG209" s="47"/>
      <c r="CH209" s="47"/>
      <c r="CI209" s="47"/>
      <c r="CJ209" s="47"/>
      <c r="CK209" s="47"/>
      <c r="CL209" s="47"/>
      <c r="CM209" s="47"/>
      <c r="CN209" s="47"/>
      <c r="CO209" s="47"/>
      <c r="CP209" s="47"/>
      <c r="CQ209" s="47"/>
      <c r="CR209" s="47"/>
      <c r="CS209" s="47"/>
      <c r="CT209" s="47"/>
      <c r="CU209" s="47"/>
      <c r="CV209" s="47"/>
      <c r="CW209" s="47"/>
      <c r="CX209" s="47"/>
      <c r="CY209" s="47"/>
      <c r="CZ209" s="47"/>
      <c r="DA209" s="47"/>
      <c r="DB209" s="47"/>
      <c r="DC209" s="47"/>
      <c r="DD209" s="47"/>
      <c r="DE209" s="47"/>
      <c r="DF209" s="47"/>
      <c r="DG209" s="47"/>
      <c r="DH209" s="47"/>
      <c r="DI209" s="47"/>
      <c r="DJ209" s="47"/>
      <c r="DK209" s="47"/>
      <c r="DL209" s="47"/>
      <c r="DM209" s="47"/>
      <c r="DN209" s="47"/>
      <c r="DO209" s="47"/>
      <c r="DP209" s="47"/>
      <c r="DQ209" s="47"/>
      <c r="DR209" s="47"/>
      <c r="DS209" s="47"/>
      <c r="DT209" s="47"/>
      <c r="DU209" s="47"/>
      <c r="DV209" s="47"/>
      <c r="DW209" s="47"/>
      <c r="DX209" s="47"/>
      <c r="DY209" s="47"/>
      <c r="DZ209" s="219"/>
      <c r="EA209" s="231"/>
      <c r="EB209" s="231"/>
      <c r="EC209" s="231"/>
      <c r="ED209" s="231"/>
      <c r="EE209" s="231"/>
      <c r="EF209" s="231"/>
      <c r="EG209" s="231"/>
      <c r="EH209" s="231"/>
      <c r="EI209" s="231"/>
      <c r="EJ209" s="231"/>
      <c r="EK209" s="231"/>
      <c r="EL209" s="231"/>
      <c r="EM209" s="231"/>
      <c r="EN209" s="231"/>
      <c r="EO209" s="231"/>
      <c r="EP209" s="231"/>
      <c r="EQ209" s="231"/>
    </row>
    <row r="210" spans="1:147" ht="22.9" hidden="1" customHeight="1" outlineLevel="2" x14ac:dyDescent="0.2">
      <c r="A210" s="146" t="s">
        <v>690</v>
      </c>
      <c r="B210" s="53" t="s">
        <v>222</v>
      </c>
      <c r="C210" s="50" t="s">
        <v>133</v>
      </c>
      <c r="D210" s="165">
        <v>1</v>
      </c>
      <c r="E210" s="158">
        <v>1</v>
      </c>
      <c r="F210" s="52">
        <f>SUM(H210:DY210)*E210*Table1[[#This Row],[Cycles]]</f>
        <v>0</v>
      </c>
      <c r="G210" s="46">
        <f t="shared" ref="G210:G218" si="62">SUMPRODUCT($H$3:$DY$3,$H210:$DY210)*E210*D210</f>
        <v>0</v>
      </c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  <c r="BD210" s="47"/>
      <c r="BE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  <c r="BS210" s="47"/>
      <c r="BT210" s="47"/>
      <c r="BU210" s="47"/>
      <c r="BV210" s="47"/>
      <c r="BW210" s="47"/>
      <c r="BX210" s="47"/>
      <c r="BY210" s="47"/>
      <c r="BZ210" s="47"/>
      <c r="CA210" s="47"/>
      <c r="CB210" s="47"/>
      <c r="CC210" s="47"/>
      <c r="CD210" s="47"/>
      <c r="CE210" s="47"/>
      <c r="CF210" s="47"/>
      <c r="CG210" s="47"/>
      <c r="CH210" s="47"/>
      <c r="CI210" s="47"/>
      <c r="CJ210" s="47"/>
      <c r="CK210" s="47"/>
      <c r="CL210" s="47"/>
      <c r="CM210" s="47"/>
      <c r="CN210" s="47"/>
      <c r="CO210" s="47"/>
      <c r="CP210" s="47"/>
      <c r="CQ210" s="47"/>
      <c r="CR210" s="47"/>
      <c r="CS210" s="47"/>
      <c r="CT210" s="47"/>
      <c r="CU210" s="47"/>
      <c r="CV210" s="47"/>
      <c r="CW210" s="47"/>
      <c r="CX210" s="47"/>
      <c r="CY210" s="47"/>
      <c r="CZ210" s="47"/>
      <c r="DA210" s="47"/>
      <c r="DB210" s="47"/>
      <c r="DC210" s="47"/>
      <c r="DD210" s="47"/>
      <c r="DE210" s="47"/>
      <c r="DF210" s="47"/>
      <c r="DG210" s="47"/>
      <c r="DH210" s="47"/>
      <c r="DI210" s="47"/>
      <c r="DJ210" s="47"/>
      <c r="DK210" s="47"/>
      <c r="DL210" s="47"/>
      <c r="DM210" s="47"/>
      <c r="DN210" s="47"/>
      <c r="DO210" s="47"/>
      <c r="DP210" s="47"/>
      <c r="DQ210" s="47"/>
      <c r="DR210" s="47"/>
      <c r="DS210" s="47"/>
      <c r="DT210" s="47"/>
      <c r="DU210" s="47"/>
      <c r="DV210" s="47"/>
      <c r="DW210" s="47"/>
      <c r="DX210" s="47"/>
      <c r="DY210" s="47"/>
      <c r="DZ210" s="219"/>
      <c r="EA210" s="231"/>
      <c r="EB210" s="231"/>
      <c r="EC210" s="231"/>
      <c r="ED210" s="231"/>
      <c r="EE210" s="231"/>
      <c r="EF210" s="231"/>
      <c r="EG210" s="231"/>
      <c r="EH210" s="231"/>
      <c r="EI210" s="231"/>
      <c r="EJ210" s="231"/>
      <c r="EK210" s="231"/>
      <c r="EL210" s="231"/>
      <c r="EM210" s="231"/>
      <c r="EN210" s="231"/>
      <c r="EO210" s="231"/>
      <c r="EP210" s="231"/>
      <c r="EQ210" s="231"/>
    </row>
    <row r="211" spans="1:147" ht="22.9" hidden="1" customHeight="1" outlineLevel="2" x14ac:dyDescent="0.2">
      <c r="A211" s="146" t="s">
        <v>691</v>
      </c>
      <c r="B211" s="53" t="s">
        <v>225</v>
      </c>
      <c r="C211" s="50" t="s">
        <v>133</v>
      </c>
      <c r="D211" s="165">
        <v>1</v>
      </c>
      <c r="E211" s="158">
        <v>1</v>
      </c>
      <c r="F211" s="52">
        <f>SUM(H211:DY211)*E211*Table1[[#This Row],[Cycles]]</f>
        <v>0</v>
      </c>
      <c r="G211" s="46">
        <f t="shared" si="62"/>
        <v>0</v>
      </c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7"/>
      <c r="BA211" s="47"/>
      <c r="BB211" s="47"/>
      <c r="BC211" s="47"/>
      <c r="BD211" s="47"/>
      <c r="BE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  <c r="BS211" s="47"/>
      <c r="BT211" s="47"/>
      <c r="BU211" s="47"/>
      <c r="BV211" s="47"/>
      <c r="BW211" s="47"/>
      <c r="BX211" s="47"/>
      <c r="BY211" s="47"/>
      <c r="BZ211" s="47"/>
      <c r="CA211" s="47"/>
      <c r="CB211" s="47"/>
      <c r="CC211" s="47"/>
      <c r="CD211" s="47"/>
      <c r="CE211" s="47"/>
      <c r="CF211" s="47"/>
      <c r="CG211" s="47"/>
      <c r="CH211" s="47"/>
      <c r="CI211" s="47"/>
      <c r="CJ211" s="47"/>
      <c r="CK211" s="47"/>
      <c r="CL211" s="47"/>
      <c r="CM211" s="47"/>
      <c r="CN211" s="47"/>
      <c r="CO211" s="47"/>
      <c r="CP211" s="47"/>
      <c r="CQ211" s="47"/>
      <c r="CR211" s="47"/>
      <c r="CS211" s="47"/>
      <c r="CT211" s="47"/>
      <c r="CU211" s="47"/>
      <c r="CV211" s="47"/>
      <c r="CW211" s="47"/>
      <c r="CX211" s="47"/>
      <c r="CY211" s="47"/>
      <c r="CZ211" s="47"/>
      <c r="DA211" s="47"/>
      <c r="DB211" s="47"/>
      <c r="DC211" s="47"/>
      <c r="DD211" s="47"/>
      <c r="DE211" s="47"/>
      <c r="DF211" s="47"/>
      <c r="DG211" s="47"/>
      <c r="DH211" s="47"/>
      <c r="DI211" s="47"/>
      <c r="DJ211" s="47"/>
      <c r="DK211" s="47"/>
      <c r="DL211" s="47"/>
      <c r="DM211" s="47"/>
      <c r="DN211" s="47"/>
      <c r="DO211" s="47"/>
      <c r="DP211" s="47"/>
      <c r="DQ211" s="47"/>
      <c r="DR211" s="47"/>
      <c r="DS211" s="47"/>
      <c r="DT211" s="47"/>
      <c r="DU211" s="47"/>
      <c r="DV211" s="47"/>
      <c r="DW211" s="47"/>
      <c r="DX211" s="47"/>
      <c r="DY211" s="47"/>
      <c r="DZ211" s="219"/>
      <c r="EA211" s="231"/>
      <c r="EB211" s="231"/>
      <c r="EC211" s="231"/>
      <c r="ED211" s="231"/>
      <c r="EE211" s="231"/>
      <c r="EF211" s="231"/>
      <c r="EG211" s="231"/>
      <c r="EH211" s="231"/>
      <c r="EI211" s="231"/>
      <c r="EJ211" s="231"/>
      <c r="EK211" s="231"/>
      <c r="EL211" s="231"/>
      <c r="EM211" s="231"/>
      <c r="EN211" s="231"/>
      <c r="EO211" s="231"/>
      <c r="EP211" s="231"/>
      <c r="EQ211" s="231"/>
    </row>
    <row r="212" spans="1:147" ht="22.9" hidden="1" customHeight="1" outlineLevel="2" x14ac:dyDescent="0.2">
      <c r="A212" s="146" t="s">
        <v>692</v>
      </c>
      <c r="B212" s="53" t="s">
        <v>221</v>
      </c>
      <c r="C212" s="50" t="s">
        <v>133</v>
      </c>
      <c r="D212" s="165">
        <v>1</v>
      </c>
      <c r="E212" s="158">
        <v>1</v>
      </c>
      <c r="F212" s="52">
        <f>SUM(H212:DY212)*E212*Table1[[#This Row],[Cycles]]</f>
        <v>0</v>
      </c>
      <c r="G212" s="46">
        <f t="shared" si="62"/>
        <v>0</v>
      </c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  <c r="BD212" s="47"/>
      <c r="BE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  <c r="BS212" s="47"/>
      <c r="BT212" s="47"/>
      <c r="BU212" s="47"/>
      <c r="BV212" s="47"/>
      <c r="BW212" s="47"/>
      <c r="BX212" s="47"/>
      <c r="BY212" s="47"/>
      <c r="BZ212" s="47"/>
      <c r="CA212" s="47"/>
      <c r="CB212" s="47"/>
      <c r="CC212" s="47"/>
      <c r="CD212" s="47"/>
      <c r="CE212" s="47"/>
      <c r="CF212" s="47"/>
      <c r="CG212" s="47"/>
      <c r="CH212" s="47"/>
      <c r="CI212" s="47"/>
      <c r="CJ212" s="47"/>
      <c r="CK212" s="47"/>
      <c r="CL212" s="47"/>
      <c r="CM212" s="47"/>
      <c r="CN212" s="47"/>
      <c r="CO212" s="47"/>
      <c r="CP212" s="47"/>
      <c r="CQ212" s="47"/>
      <c r="CR212" s="47"/>
      <c r="CS212" s="47"/>
      <c r="CT212" s="47"/>
      <c r="CU212" s="47"/>
      <c r="CV212" s="47"/>
      <c r="CW212" s="47"/>
      <c r="CX212" s="47"/>
      <c r="CY212" s="47"/>
      <c r="CZ212" s="47"/>
      <c r="DA212" s="47"/>
      <c r="DB212" s="47"/>
      <c r="DC212" s="47"/>
      <c r="DD212" s="47"/>
      <c r="DE212" s="47"/>
      <c r="DF212" s="47"/>
      <c r="DG212" s="47"/>
      <c r="DH212" s="47"/>
      <c r="DI212" s="47"/>
      <c r="DJ212" s="47"/>
      <c r="DK212" s="47"/>
      <c r="DL212" s="47"/>
      <c r="DM212" s="47"/>
      <c r="DN212" s="47"/>
      <c r="DO212" s="47"/>
      <c r="DP212" s="47"/>
      <c r="DQ212" s="47"/>
      <c r="DR212" s="47"/>
      <c r="DS212" s="47"/>
      <c r="DT212" s="47"/>
      <c r="DU212" s="47"/>
      <c r="DV212" s="47"/>
      <c r="DW212" s="47"/>
      <c r="DX212" s="47"/>
      <c r="DY212" s="47"/>
      <c r="DZ212" s="219"/>
      <c r="EA212" s="231"/>
      <c r="EB212" s="231"/>
      <c r="EC212" s="231"/>
      <c r="ED212" s="231"/>
      <c r="EE212" s="231"/>
      <c r="EF212" s="231"/>
      <c r="EG212" s="231"/>
      <c r="EH212" s="231"/>
      <c r="EI212" s="231"/>
      <c r="EJ212" s="231"/>
      <c r="EK212" s="231"/>
      <c r="EL212" s="231"/>
      <c r="EM212" s="231"/>
      <c r="EN212" s="231"/>
      <c r="EO212" s="231"/>
      <c r="EP212" s="231"/>
      <c r="EQ212" s="231"/>
    </row>
    <row r="213" spans="1:147" ht="22.9" hidden="1" customHeight="1" outlineLevel="2" x14ac:dyDescent="0.2">
      <c r="A213" s="146" t="s">
        <v>693</v>
      </c>
      <c r="B213" s="53" t="s">
        <v>263</v>
      </c>
      <c r="C213" s="50" t="s">
        <v>133</v>
      </c>
      <c r="D213" s="165">
        <v>1</v>
      </c>
      <c r="E213" s="158">
        <v>1</v>
      </c>
      <c r="F213" s="52">
        <f>SUM(H213:DY213)*E213*Table1[[#This Row],[Cycles]]</f>
        <v>0</v>
      </c>
      <c r="G213" s="46">
        <f t="shared" si="62"/>
        <v>0</v>
      </c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7"/>
      <c r="BA213" s="47"/>
      <c r="BB213" s="47"/>
      <c r="BC213" s="47"/>
      <c r="BD213" s="47"/>
      <c r="BE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  <c r="BS213" s="47"/>
      <c r="BT213" s="47"/>
      <c r="BU213" s="47"/>
      <c r="BV213" s="47"/>
      <c r="BW213" s="47"/>
      <c r="BX213" s="47"/>
      <c r="BY213" s="47"/>
      <c r="BZ213" s="47"/>
      <c r="CA213" s="47"/>
      <c r="CB213" s="47"/>
      <c r="CC213" s="47"/>
      <c r="CD213" s="47"/>
      <c r="CE213" s="47"/>
      <c r="CF213" s="47"/>
      <c r="CG213" s="47"/>
      <c r="CH213" s="47"/>
      <c r="CI213" s="47"/>
      <c r="CJ213" s="47"/>
      <c r="CK213" s="47"/>
      <c r="CL213" s="47"/>
      <c r="CM213" s="47"/>
      <c r="CN213" s="47"/>
      <c r="CO213" s="47"/>
      <c r="CP213" s="47"/>
      <c r="CQ213" s="47"/>
      <c r="CR213" s="47"/>
      <c r="CS213" s="47"/>
      <c r="CT213" s="47"/>
      <c r="CU213" s="47"/>
      <c r="CV213" s="47"/>
      <c r="CW213" s="47"/>
      <c r="CX213" s="47"/>
      <c r="CY213" s="47"/>
      <c r="CZ213" s="47"/>
      <c r="DA213" s="47"/>
      <c r="DB213" s="47"/>
      <c r="DC213" s="47"/>
      <c r="DD213" s="47"/>
      <c r="DE213" s="47"/>
      <c r="DF213" s="47"/>
      <c r="DG213" s="47"/>
      <c r="DH213" s="47"/>
      <c r="DI213" s="47"/>
      <c r="DJ213" s="47"/>
      <c r="DK213" s="47"/>
      <c r="DL213" s="47"/>
      <c r="DM213" s="47"/>
      <c r="DN213" s="47"/>
      <c r="DO213" s="47"/>
      <c r="DP213" s="47"/>
      <c r="DQ213" s="47"/>
      <c r="DR213" s="47"/>
      <c r="DS213" s="47"/>
      <c r="DT213" s="47"/>
      <c r="DU213" s="47"/>
      <c r="DV213" s="47"/>
      <c r="DW213" s="47"/>
      <c r="DX213" s="47"/>
      <c r="DY213" s="47"/>
      <c r="DZ213" s="219"/>
      <c r="EA213" s="231"/>
      <c r="EB213" s="231"/>
      <c r="EC213" s="231"/>
      <c r="ED213" s="231"/>
      <c r="EE213" s="231"/>
      <c r="EF213" s="231"/>
      <c r="EG213" s="231"/>
      <c r="EH213" s="231"/>
      <c r="EI213" s="231"/>
      <c r="EJ213" s="231"/>
      <c r="EK213" s="231"/>
      <c r="EL213" s="231"/>
      <c r="EM213" s="231"/>
      <c r="EN213" s="231"/>
      <c r="EO213" s="231"/>
      <c r="EP213" s="231"/>
      <c r="EQ213" s="231"/>
    </row>
    <row r="214" spans="1:147" ht="22.9" hidden="1" customHeight="1" outlineLevel="2" x14ac:dyDescent="0.2">
      <c r="A214" s="146" t="s">
        <v>694</v>
      </c>
      <c r="B214" s="53" t="s">
        <v>420</v>
      </c>
      <c r="C214" s="50" t="s">
        <v>133</v>
      </c>
      <c r="D214" s="165">
        <v>1</v>
      </c>
      <c r="E214" s="158">
        <v>1</v>
      </c>
      <c r="F214" s="52">
        <f>SUM(H214:DY214)*E214*Table1[[#This Row],[Cycles]]</f>
        <v>0</v>
      </c>
      <c r="G214" s="46">
        <f t="shared" si="62"/>
        <v>0</v>
      </c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  <c r="BS214" s="47"/>
      <c r="BT214" s="47"/>
      <c r="BU214" s="47"/>
      <c r="BV214" s="47"/>
      <c r="BW214" s="47"/>
      <c r="BX214" s="47"/>
      <c r="BY214" s="47"/>
      <c r="BZ214" s="47"/>
      <c r="CA214" s="47"/>
      <c r="CB214" s="47"/>
      <c r="CC214" s="47"/>
      <c r="CD214" s="47"/>
      <c r="CE214" s="47"/>
      <c r="CF214" s="47"/>
      <c r="CG214" s="47"/>
      <c r="CH214" s="47"/>
      <c r="CI214" s="47"/>
      <c r="CJ214" s="47"/>
      <c r="CK214" s="47"/>
      <c r="CL214" s="47"/>
      <c r="CM214" s="47"/>
      <c r="CN214" s="47"/>
      <c r="CO214" s="47"/>
      <c r="CP214" s="47"/>
      <c r="CQ214" s="47"/>
      <c r="CR214" s="47"/>
      <c r="CS214" s="47"/>
      <c r="CT214" s="47"/>
      <c r="CU214" s="47"/>
      <c r="CV214" s="47"/>
      <c r="CW214" s="47"/>
      <c r="CX214" s="47"/>
      <c r="CY214" s="47"/>
      <c r="CZ214" s="47"/>
      <c r="DA214" s="47"/>
      <c r="DB214" s="47"/>
      <c r="DC214" s="47"/>
      <c r="DD214" s="47"/>
      <c r="DE214" s="47"/>
      <c r="DF214" s="47"/>
      <c r="DG214" s="47"/>
      <c r="DH214" s="47"/>
      <c r="DI214" s="47"/>
      <c r="DJ214" s="47"/>
      <c r="DK214" s="47"/>
      <c r="DL214" s="47"/>
      <c r="DM214" s="47"/>
      <c r="DN214" s="47"/>
      <c r="DO214" s="47"/>
      <c r="DP214" s="47"/>
      <c r="DQ214" s="47"/>
      <c r="DR214" s="47"/>
      <c r="DS214" s="47"/>
      <c r="DT214" s="47"/>
      <c r="DU214" s="47"/>
      <c r="DV214" s="47"/>
      <c r="DW214" s="47"/>
      <c r="DX214" s="47"/>
      <c r="DY214" s="47"/>
      <c r="DZ214" s="219"/>
      <c r="EA214" s="231"/>
      <c r="EB214" s="231"/>
      <c r="EC214" s="231"/>
      <c r="ED214" s="231"/>
      <c r="EE214" s="231"/>
      <c r="EF214" s="231"/>
      <c r="EG214" s="231"/>
      <c r="EH214" s="231"/>
      <c r="EI214" s="231"/>
      <c r="EJ214" s="231"/>
      <c r="EK214" s="231"/>
      <c r="EL214" s="231"/>
      <c r="EM214" s="231"/>
      <c r="EN214" s="231"/>
      <c r="EO214" s="231"/>
      <c r="EP214" s="231"/>
      <c r="EQ214" s="231"/>
    </row>
    <row r="215" spans="1:147" ht="22.9" hidden="1" customHeight="1" outlineLevel="2" x14ac:dyDescent="0.2">
      <c r="A215" s="146" t="s">
        <v>695</v>
      </c>
      <c r="B215" s="53" t="s">
        <v>223</v>
      </c>
      <c r="C215" s="50" t="s">
        <v>133</v>
      </c>
      <c r="D215" s="165">
        <v>1</v>
      </c>
      <c r="E215" s="158">
        <v>1</v>
      </c>
      <c r="F215" s="52">
        <f>SUM(H215:DY215)*E215*Table1[[#This Row],[Cycles]]</f>
        <v>0</v>
      </c>
      <c r="G215" s="46">
        <f t="shared" si="62"/>
        <v>0</v>
      </c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  <c r="BD215" s="47"/>
      <c r="BE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  <c r="BS215" s="47"/>
      <c r="BT215" s="47"/>
      <c r="BU215" s="47"/>
      <c r="BV215" s="47"/>
      <c r="BW215" s="47"/>
      <c r="BX215" s="47"/>
      <c r="BY215" s="47"/>
      <c r="BZ215" s="47"/>
      <c r="CA215" s="47"/>
      <c r="CB215" s="47"/>
      <c r="CC215" s="47"/>
      <c r="CD215" s="47"/>
      <c r="CE215" s="47"/>
      <c r="CF215" s="47"/>
      <c r="CG215" s="47"/>
      <c r="CH215" s="47"/>
      <c r="CI215" s="47"/>
      <c r="CJ215" s="47"/>
      <c r="CK215" s="47"/>
      <c r="CL215" s="47"/>
      <c r="CM215" s="47"/>
      <c r="CN215" s="47"/>
      <c r="CO215" s="47"/>
      <c r="CP215" s="47"/>
      <c r="CQ215" s="47"/>
      <c r="CR215" s="47"/>
      <c r="CS215" s="47"/>
      <c r="CT215" s="47"/>
      <c r="CU215" s="47"/>
      <c r="CV215" s="47"/>
      <c r="CW215" s="47"/>
      <c r="CX215" s="47"/>
      <c r="CY215" s="47"/>
      <c r="CZ215" s="47"/>
      <c r="DA215" s="47"/>
      <c r="DB215" s="47"/>
      <c r="DC215" s="47"/>
      <c r="DD215" s="47"/>
      <c r="DE215" s="47"/>
      <c r="DF215" s="47"/>
      <c r="DG215" s="47"/>
      <c r="DH215" s="47"/>
      <c r="DI215" s="47"/>
      <c r="DJ215" s="47"/>
      <c r="DK215" s="47"/>
      <c r="DL215" s="47"/>
      <c r="DM215" s="47"/>
      <c r="DN215" s="47"/>
      <c r="DO215" s="47"/>
      <c r="DP215" s="47"/>
      <c r="DQ215" s="47"/>
      <c r="DR215" s="47"/>
      <c r="DS215" s="47"/>
      <c r="DT215" s="47"/>
      <c r="DU215" s="47"/>
      <c r="DV215" s="47"/>
      <c r="DW215" s="47"/>
      <c r="DX215" s="47"/>
      <c r="DY215" s="47"/>
      <c r="DZ215" s="219"/>
      <c r="EA215" s="231"/>
      <c r="EB215" s="231"/>
      <c r="EC215" s="231"/>
      <c r="ED215" s="231"/>
      <c r="EE215" s="231"/>
      <c r="EF215" s="231"/>
      <c r="EG215" s="231"/>
      <c r="EH215" s="231"/>
      <c r="EI215" s="231"/>
      <c r="EJ215" s="231"/>
      <c r="EK215" s="231"/>
      <c r="EL215" s="231"/>
      <c r="EM215" s="231"/>
      <c r="EN215" s="231"/>
      <c r="EO215" s="231"/>
      <c r="EP215" s="231"/>
      <c r="EQ215" s="231"/>
    </row>
    <row r="216" spans="1:147" ht="22.9" hidden="1" customHeight="1" outlineLevel="2" x14ac:dyDescent="0.2">
      <c r="A216" s="146" t="s">
        <v>696</v>
      </c>
      <c r="B216" s="53" t="s">
        <v>224</v>
      </c>
      <c r="C216" s="50" t="s">
        <v>133</v>
      </c>
      <c r="D216" s="165">
        <v>1</v>
      </c>
      <c r="E216" s="158">
        <v>1</v>
      </c>
      <c r="F216" s="52">
        <f>SUM(H216:DY216)*E216*Table1[[#This Row],[Cycles]]</f>
        <v>0</v>
      </c>
      <c r="G216" s="46">
        <f t="shared" si="62"/>
        <v>0</v>
      </c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  <c r="BD216" s="47"/>
      <c r="BE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  <c r="BS216" s="47"/>
      <c r="BT216" s="47"/>
      <c r="BU216" s="47"/>
      <c r="BV216" s="47"/>
      <c r="BW216" s="47"/>
      <c r="BX216" s="47"/>
      <c r="BY216" s="47"/>
      <c r="BZ216" s="47"/>
      <c r="CA216" s="47"/>
      <c r="CB216" s="47"/>
      <c r="CC216" s="47"/>
      <c r="CD216" s="47"/>
      <c r="CE216" s="47"/>
      <c r="CF216" s="47"/>
      <c r="CG216" s="47"/>
      <c r="CH216" s="47"/>
      <c r="CI216" s="47"/>
      <c r="CJ216" s="47"/>
      <c r="CK216" s="47"/>
      <c r="CL216" s="47"/>
      <c r="CM216" s="47"/>
      <c r="CN216" s="47"/>
      <c r="CO216" s="47"/>
      <c r="CP216" s="47"/>
      <c r="CQ216" s="47"/>
      <c r="CR216" s="47"/>
      <c r="CS216" s="47"/>
      <c r="CT216" s="47"/>
      <c r="CU216" s="47"/>
      <c r="CV216" s="47"/>
      <c r="CW216" s="47"/>
      <c r="CX216" s="47"/>
      <c r="CY216" s="47"/>
      <c r="CZ216" s="47"/>
      <c r="DA216" s="47"/>
      <c r="DB216" s="47"/>
      <c r="DC216" s="47"/>
      <c r="DD216" s="47"/>
      <c r="DE216" s="47"/>
      <c r="DF216" s="47"/>
      <c r="DG216" s="47"/>
      <c r="DH216" s="47"/>
      <c r="DI216" s="47"/>
      <c r="DJ216" s="47"/>
      <c r="DK216" s="47"/>
      <c r="DL216" s="47"/>
      <c r="DM216" s="47"/>
      <c r="DN216" s="47"/>
      <c r="DO216" s="47"/>
      <c r="DP216" s="47"/>
      <c r="DQ216" s="47"/>
      <c r="DR216" s="47"/>
      <c r="DS216" s="47"/>
      <c r="DT216" s="47"/>
      <c r="DU216" s="47"/>
      <c r="DV216" s="47"/>
      <c r="DW216" s="47"/>
      <c r="DX216" s="47"/>
      <c r="DY216" s="47"/>
      <c r="DZ216" s="219"/>
      <c r="EA216" s="231"/>
      <c r="EB216" s="231"/>
      <c r="EC216" s="231"/>
      <c r="ED216" s="231"/>
      <c r="EE216" s="231"/>
      <c r="EF216" s="231"/>
      <c r="EG216" s="231"/>
      <c r="EH216" s="231"/>
      <c r="EI216" s="231"/>
      <c r="EJ216" s="231"/>
      <c r="EK216" s="231"/>
      <c r="EL216" s="231"/>
      <c r="EM216" s="231"/>
      <c r="EN216" s="231"/>
      <c r="EO216" s="231"/>
      <c r="EP216" s="231"/>
      <c r="EQ216" s="231"/>
    </row>
    <row r="217" spans="1:147" ht="22.9" hidden="1" customHeight="1" outlineLevel="2" x14ac:dyDescent="0.2">
      <c r="A217" s="146" t="s">
        <v>714</v>
      </c>
      <c r="B217" s="53" t="s">
        <v>421</v>
      </c>
      <c r="C217" s="50" t="s">
        <v>133</v>
      </c>
      <c r="D217" s="165">
        <v>1</v>
      </c>
      <c r="E217" s="158">
        <v>1</v>
      </c>
      <c r="F217" s="52">
        <f>SUM(H217:DY217)*E217*Table1[[#This Row],[Cycles]]</f>
        <v>0</v>
      </c>
      <c r="G217" s="46">
        <f>SUMPRODUCT($H$3:$DY$3,$H217:$DY217)*E217*D217</f>
        <v>0</v>
      </c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  <c r="BD217" s="47"/>
      <c r="BE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  <c r="BS217" s="47"/>
      <c r="BT217" s="47"/>
      <c r="BU217" s="47"/>
      <c r="BV217" s="47"/>
      <c r="BW217" s="47"/>
      <c r="BX217" s="47"/>
      <c r="BY217" s="47"/>
      <c r="BZ217" s="47"/>
      <c r="CA217" s="47"/>
      <c r="CB217" s="47"/>
      <c r="CC217" s="47"/>
      <c r="CD217" s="47"/>
      <c r="CE217" s="47"/>
      <c r="CF217" s="47"/>
      <c r="CG217" s="47"/>
      <c r="CH217" s="47"/>
      <c r="CI217" s="47"/>
      <c r="CJ217" s="47"/>
      <c r="CK217" s="47"/>
      <c r="CL217" s="47"/>
      <c r="CM217" s="47"/>
      <c r="CN217" s="47"/>
      <c r="CO217" s="47"/>
      <c r="CP217" s="47"/>
      <c r="CQ217" s="47"/>
      <c r="CR217" s="47"/>
      <c r="CS217" s="47"/>
      <c r="CT217" s="47"/>
      <c r="CU217" s="47"/>
      <c r="CV217" s="47"/>
      <c r="CW217" s="47"/>
      <c r="CX217" s="47"/>
      <c r="CY217" s="47"/>
      <c r="CZ217" s="47"/>
      <c r="DA217" s="47"/>
      <c r="DB217" s="47"/>
      <c r="DC217" s="47"/>
      <c r="DD217" s="47"/>
      <c r="DE217" s="47"/>
      <c r="DF217" s="47"/>
      <c r="DG217" s="47"/>
      <c r="DH217" s="47"/>
      <c r="DI217" s="47"/>
      <c r="DJ217" s="47"/>
      <c r="DK217" s="47"/>
      <c r="DL217" s="47"/>
      <c r="DM217" s="47"/>
      <c r="DN217" s="47"/>
      <c r="DO217" s="47"/>
      <c r="DP217" s="47"/>
      <c r="DQ217" s="47"/>
      <c r="DR217" s="47"/>
      <c r="DS217" s="47"/>
      <c r="DT217" s="47"/>
      <c r="DU217" s="47"/>
      <c r="DV217" s="47"/>
      <c r="DW217" s="47"/>
      <c r="DX217" s="47"/>
      <c r="DY217" s="47"/>
      <c r="DZ217" s="219"/>
      <c r="EA217" s="231"/>
      <c r="EB217" s="231"/>
      <c r="EC217" s="231"/>
      <c r="ED217" s="231"/>
      <c r="EE217" s="231"/>
      <c r="EF217" s="231"/>
      <c r="EG217" s="231"/>
      <c r="EH217" s="231"/>
      <c r="EI217" s="231"/>
      <c r="EJ217" s="231"/>
      <c r="EK217" s="231"/>
      <c r="EL217" s="231"/>
      <c r="EM217" s="231"/>
      <c r="EN217" s="231"/>
      <c r="EO217" s="231"/>
      <c r="EP217" s="231"/>
      <c r="EQ217" s="231"/>
    </row>
    <row r="218" spans="1:147" ht="22.9" hidden="1" customHeight="1" outlineLevel="2" x14ac:dyDescent="0.2">
      <c r="A218" s="146" t="s">
        <v>715</v>
      </c>
      <c r="B218" s="53" t="s">
        <v>419</v>
      </c>
      <c r="C218" s="50" t="s">
        <v>133</v>
      </c>
      <c r="D218" s="165">
        <v>1</v>
      </c>
      <c r="E218" s="158">
        <v>1</v>
      </c>
      <c r="F218" s="52">
        <f>SUM(H218:DY218)*E218*Table1[[#This Row],[Cycles]]</f>
        <v>0</v>
      </c>
      <c r="G218" s="46">
        <f t="shared" si="62"/>
        <v>0</v>
      </c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7"/>
      <c r="BA218" s="47"/>
      <c r="BB218" s="47"/>
      <c r="BC218" s="47"/>
      <c r="BD218" s="47"/>
      <c r="BE218" s="47"/>
      <c r="BF218" s="47"/>
      <c r="BG218" s="47"/>
      <c r="BH218" s="47"/>
      <c r="BI218" s="47"/>
      <c r="BJ218" s="47"/>
      <c r="BK218" s="47"/>
      <c r="BL218" s="47"/>
      <c r="BM218" s="47"/>
      <c r="BN218" s="47"/>
      <c r="BO218" s="47"/>
      <c r="BP218" s="47"/>
      <c r="BQ218" s="47"/>
      <c r="BR218" s="47"/>
      <c r="BS218" s="47"/>
      <c r="BT218" s="47"/>
      <c r="BU218" s="47"/>
      <c r="BV218" s="47"/>
      <c r="BW218" s="47"/>
      <c r="BX218" s="47"/>
      <c r="BY218" s="47"/>
      <c r="BZ218" s="47"/>
      <c r="CA218" s="47"/>
      <c r="CB218" s="47"/>
      <c r="CC218" s="47"/>
      <c r="CD218" s="47"/>
      <c r="CE218" s="47"/>
      <c r="CF218" s="47"/>
      <c r="CG218" s="47"/>
      <c r="CH218" s="47"/>
      <c r="CI218" s="47"/>
      <c r="CJ218" s="47"/>
      <c r="CK218" s="47"/>
      <c r="CL218" s="47"/>
      <c r="CM218" s="47"/>
      <c r="CN218" s="47"/>
      <c r="CO218" s="47"/>
      <c r="CP218" s="47"/>
      <c r="CQ218" s="47"/>
      <c r="CR218" s="47"/>
      <c r="CS218" s="47"/>
      <c r="CT218" s="47"/>
      <c r="CU218" s="47"/>
      <c r="CV218" s="47"/>
      <c r="CW218" s="47"/>
      <c r="CX218" s="47"/>
      <c r="CY218" s="47"/>
      <c r="CZ218" s="47"/>
      <c r="DA218" s="47"/>
      <c r="DB218" s="47"/>
      <c r="DC218" s="47"/>
      <c r="DD218" s="47"/>
      <c r="DE218" s="47"/>
      <c r="DF218" s="47"/>
      <c r="DG218" s="47"/>
      <c r="DH218" s="47"/>
      <c r="DI218" s="47"/>
      <c r="DJ218" s="47"/>
      <c r="DK218" s="47"/>
      <c r="DL218" s="47"/>
      <c r="DM218" s="47"/>
      <c r="DN218" s="47"/>
      <c r="DO218" s="47"/>
      <c r="DP218" s="47"/>
      <c r="DQ218" s="47"/>
      <c r="DR218" s="47"/>
      <c r="DS218" s="47"/>
      <c r="DT218" s="47"/>
      <c r="DU218" s="47"/>
      <c r="DV218" s="47"/>
      <c r="DW218" s="47"/>
      <c r="DX218" s="47"/>
      <c r="DY218" s="47"/>
      <c r="DZ218" s="219"/>
      <c r="EA218" s="231"/>
      <c r="EB218" s="231"/>
      <c r="EC218" s="231"/>
      <c r="ED218" s="231"/>
      <c r="EE218" s="231"/>
      <c r="EF218" s="231"/>
      <c r="EG218" s="231"/>
      <c r="EH218" s="231"/>
      <c r="EI218" s="231"/>
      <c r="EJ218" s="231"/>
      <c r="EK218" s="231"/>
      <c r="EL218" s="231"/>
      <c r="EM218" s="231"/>
      <c r="EN218" s="231"/>
      <c r="EO218" s="231"/>
      <c r="EP218" s="231"/>
      <c r="EQ218" s="231"/>
    </row>
    <row r="219" spans="1:147" s="40" customFormat="1" ht="22.9" customHeight="1" outlineLevel="1" x14ac:dyDescent="0.2">
      <c r="A219" s="149" t="s">
        <v>687</v>
      </c>
      <c r="B219" s="34" t="s">
        <v>712</v>
      </c>
      <c r="C219" s="30" t="s">
        <v>100</v>
      </c>
      <c r="D219" s="164"/>
      <c r="E219" s="164"/>
      <c r="F219" s="44" cm="1">
        <f t="array" ref="F219">SumByColor(F220:F255,REFERENCE!$G$3)</f>
        <v>0</v>
      </c>
      <c r="G219" s="44" cm="1">
        <f t="array" ref="G219">SumByColor(G220:G255,REFERENCE!$G$3)</f>
        <v>0</v>
      </c>
      <c r="H219" s="44" cm="1">
        <f t="array" ref="H219">SumByColor(H220:H255,REFERENCE!$G$3)</f>
        <v>0</v>
      </c>
      <c r="I219" s="44" cm="1">
        <f t="array" ref="I219">SumByColor(I220:I255,REFERENCE!$G$3)</f>
        <v>0</v>
      </c>
      <c r="J219" s="44" cm="1">
        <f t="array" ref="J219">SumByColor(J220:J255,REFERENCE!$G$3)</f>
        <v>0</v>
      </c>
      <c r="K219" s="44" cm="1">
        <f t="array" ref="K219">SumByColor(K220:K255,REFERENCE!$G$3)</f>
        <v>0</v>
      </c>
      <c r="L219" s="44" cm="1">
        <f t="array" ref="L219">SumByColor(L220:L255,REFERENCE!$G$3)</f>
        <v>0</v>
      </c>
      <c r="M219" s="44" cm="1">
        <f t="array" ref="M219">SumByColor(M220:M255,REFERENCE!$G$3)</f>
        <v>0</v>
      </c>
      <c r="N219" s="44" cm="1">
        <f t="array" ref="N219">SumByColor(N220:N255,REFERENCE!$G$3)</f>
        <v>0</v>
      </c>
      <c r="O219" s="44" cm="1">
        <f t="array" ref="O219">SumByColor(O220:O255,REFERENCE!$G$3)</f>
        <v>0</v>
      </c>
      <c r="P219" s="44" cm="1">
        <f t="array" ref="P219">SumByColor(P220:P255,REFERENCE!$G$3)</f>
        <v>0</v>
      </c>
      <c r="Q219" s="44" cm="1">
        <f t="array" ref="Q219">SumByColor(Q220:Q255,REFERENCE!$G$3)</f>
        <v>0</v>
      </c>
      <c r="R219" s="44" cm="1">
        <f t="array" ref="R219">SumByColor(R220:R255,REFERENCE!$G$3)</f>
        <v>0</v>
      </c>
      <c r="S219" s="44" cm="1">
        <f t="array" ref="S219">SumByColor(S220:S255,REFERENCE!$G$3)</f>
        <v>0</v>
      </c>
      <c r="T219" s="44" cm="1">
        <f t="array" ref="T219">SumByColor(T220:T255,REFERENCE!$G$3)</f>
        <v>0</v>
      </c>
      <c r="U219" s="44" cm="1">
        <f t="array" ref="U219">SumByColor(U220:U255,REFERENCE!$G$3)</f>
        <v>0</v>
      </c>
      <c r="V219" s="44" cm="1">
        <f t="array" ref="V219">SumByColor(V220:V255,REFERENCE!$G$3)</f>
        <v>0</v>
      </c>
      <c r="W219" s="44" cm="1">
        <f t="array" ref="W219">SumByColor(W220:W255,REFERENCE!$G$3)</f>
        <v>0</v>
      </c>
      <c r="X219" s="44" cm="1">
        <f t="array" ref="X219">SumByColor(X220:X255,REFERENCE!$G$3)</f>
        <v>0</v>
      </c>
      <c r="Y219" s="44" cm="1">
        <f t="array" ref="Y219">SumByColor(Y220:Y255,REFERENCE!$G$3)</f>
        <v>0</v>
      </c>
      <c r="Z219" s="44" cm="1">
        <f t="array" ref="Z219">SumByColor(Z220:Z255,REFERENCE!$G$3)</f>
        <v>0</v>
      </c>
      <c r="AA219" s="44" cm="1">
        <f t="array" ref="AA219">SumByColor(AA220:AA255,REFERENCE!$G$3)</f>
        <v>0</v>
      </c>
      <c r="AB219" s="44" cm="1">
        <f t="array" ref="AB219">SumByColor(AB220:AB255,REFERENCE!$G$3)</f>
        <v>0</v>
      </c>
      <c r="AC219" s="44" cm="1">
        <f t="array" ref="AC219">SumByColor(AC220:AC255,REFERENCE!$G$3)</f>
        <v>0</v>
      </c>
      <c r="AD219" s="44" cm="1">
        <f t="array" ref="AD219">SumByColor(AD220:AD255,REFERENCE!$G$3)</f>
        <v>0</v>
      </c>
      <c r="AE219" s="44" cm="1">
        <f t="array" ref="AE219">SumByColor(AE220:AE255,REFERENCE!$G$3)</f>
        <v>0</v>
      </c>
      <c r="AF219" s="44" cm="1">
        <f t="array" ref="AF219">SumByColor(AF220:AF255,REFERENCE!$G$3)</f>
        <v>0</v>
      </c>
      <c r="AG219" s="44" cm="1">
        <f t="array" ref="AG219">SumByColor(AG220:AG255,REFERENCE!$G$3)</f>
        <v>0</v>
      </c>
      <c r="AH219" s="44" cm="1">
        <f t="array" ref="AH219">SumByColor(AH220:AH255,REFERENCE!$G$3)</f>
        <v>0</v>
      </c>
      <c r="AI219" s="44" cm="1">
        <f t="array" ref="AI219">SumByColor(AI220:AI255,REFERENCE!$G$3)</f>
        <v>0</v>
      </c>
      <c r="AJ219" s="44" cm="1">
        <f t="array" ref="AJ219">SumByColor(AJ220:AJ255,REFERENCE!$G$3)</f>
        <v>0</v>
      </c>
      <c r="AK219" s="44" cm="1">
        <f t="array" ref="AK219">SumByColor(AK220:AK255,REFERENCE!$G$3)</f>
        <v>0</v>
      </c>
      <c r="AL219" s="44" cm="1">
        <f t="array" ref="AL219">SumByColor(AL220:AL255,REFERENCE!$G$3)</f>
        <v>0</v>
      </c>
      <c r="AM219" s="44" cm="1">
        <f t="array" ref="AM219">SumByColor(AM220:AM255,REFERENCE!$G$3)</f>
        <v>0</v>
      </c>
      <c r="AN219" s="44" cm="1">
        <f t="array" ref="AN219">SumByColor(AN220:AN255,REFERENCE!$G$3)</f>
        <v>0</v>
      </c>
      <c r="AO219" s="44" cm="1">
        <f t="array" ref="AO219">SumByColor(AO220:AO255,REFERENCE!$G$3)</f>
        <v>0</v>
      </c>
      <c r="AP219" s="44" cm="1">
        <f t="array" ref="AP219">SumByColor(AP220:AP255,REFERENCE!$G$3)</f>
        <v>0</v>
      </c>
      <c r="AQ219" s="44" cm="1">
        <f t="array" ref="AQ219">SumByColor(AQ220:AQ255,REFERENCE!$G$3)</f>
        <v>0</v>
      </c>
      <c r="AR219" s="44" cm="1">
        <f t="array" ref="AR219">SumByColor(AR220:AR255,REFERENCE!$G$3)</f>
        <v>0</v>
      </c>
      <c r="AS219" s="44" cm="1">
        <f t="array" ref="AS219">SumByColor(AS220:AS255,REFERENCE!$G$3)</f>
        <v>0</v>
      </c>
      <c r="AT219" s="44" cm="1">
        <f t="array" ref="AT219">SumByColor(AT220:AT255,REFERENCE!$G$3)</f>
        <v>0</v>
      </c>
      <c r="AU219" s="44" cm="1">
        <f t="array" ref="AU219">SumByColor(AU220:AU255,REFERENCE!$G$3)</f>
        <v>0</v>
      </c>
      <c r="AV219" s="44" cm="1">
        <f t="array" ref="AV219">SumByColor(AV220:AV255,REFERENCE!$G$3)</f>
        <v>0</v>
      </c>
      <c r="AW219" s="44" cm="1">
        <f t="array" ref="AW219">SumByColor(AW220:AW255,REFERENCE!$G$3)</f>
        <v>0</v>
      </c>
      <c r="AX219" s="44" cm="1">
        <f t="array" ref="AX219">SumByColor(AX220:AX255,REFERENCE!$G$3)</f>
        <v>0</v>
      </c>
      <c r="AY219" s="44" cm="1">
        <f t="array" ref="AY219">SumByColor(AY220:AY255,REFERENCE!$G$3)</f>
        <v>0</v>
      </c>
      <c r="AZ219" s="44" cm="1">
        <f t="array" ref="AZ219">SumByColor(AZ220:AZ255,REFERENCE!$G$3)</f>
        <v>0</v>
      </c>
      <c r="BA219" s="44" cm="1">
        <f t="array" ref="BA219">SumByColor(BA220:BA255,REFERENCE!$G$3)</f>
        <v>0</v>
      </c>
      <c r="BB219" s="44" cm="1">
        <f t="array" ref="BB219">SumByColor(BB220:BB255,REFERENCE!$G$3)</f>
        <v>0</v>
      </c>
      <c r="BC219" s="44" cm="1">
        <f t="array" ref="BC219">SumByColor(BC220:BC255,REFERENCE!$G$3)</f>
        <v>0</v>
      </c>
      <c r="BD219" s="44" cm="1">
        <f t="array" ref="BD219">SumByColor(BD220:BD255,REFERENCE!$G$3)</f>
        <v>0</v>
      </c>
      <c r="BE219" s="44" cm="1">
        <f t="array" ref="BE219">SumByColor(BE220:BE255,REFERENCE!$G$3)</f>
        <v>0</v>
      </c>
      <c r="BF219" s="44" cm="1">
        <f t="array" ref="BF219">SumByColor(BF220:BF255,REFERENCE!$G$3)</f>
        <v>0</v>
      </c>
      <c r="BG219" s="44" cm="1">
        <f t="array" ref="BG219">SumByColor(BG220:BG255,REFERENCE!$G$3)</f>
        <v>0</v>
      </c>
      <c r="BH219" s="44" cm="1">
        <f t="array" ref="BH219">SumByColor(BH220:BH255,REFERENCE!$G$3)</f>
        <v>0</v>
      </c>
      <c r="BI219" s="44" cm="1">
        <f t="array" ref="BI219">SumByColor(BI220:BI255,REFERENCE!$G$3)</f>
        <v>0</v>
      </c>
      <c r="BJ219" s="44" cm="1">
        <f t="array" ref="BJ219">SumByColor(BJ220:BJ255,REFERENCE!$G$3)</f>
        <v>0</v>
      </c>
      <c r="BK219" s="44" cm="1">
        <f t="array" ref="BK219">SumByColor(BK220:BK255,REFERENCE!$G$3)</f>
        <v>0</v>
      </c>
      <c r="BL219" s="44" cm="1">
        <f t="array" ref="BL219">SumByColor(BL220:BL255,REFERENCE!$G$3)</f>
        <v>0</v>
      </c>
      <c r="BM219" s="44" cm="1">
        <f t="array" ref="BM219">SumByColor(BM220:BM255,REFERENCE!$G$3)</f>
        <v>0</v>
      </c>
      <c r="BN219" s="44" cm="1">
        <f t="array" ref="BN219">SumByColor(BN220:BN255,REFERENCE!$G$3)</f>
        <v>0</v>
      </c>
      <c r="BO219" s="44" cm="1">
        <f t="array" ref="BO219">SumByColor(BO220:BO255,REFERENCE!$G$3)</f>
        <v>0</v>
      </c>
      <c r="BP219" s="44" cm="1">
        <f t="array" ref="BP219">SumByColor(BP220:BP255,REFERENCE!$G$3)</f>
        <v>0</v>
      </c>
      <c r="BQ219" s="44" cm="1">
        <f t="array" ref="BQ219">SumByColor(BQ220:BQ255,REFERENCE!$G$3)</f>
        <v>0</v>
      </c>
      <c r="BR219" s="44" cm="1">
        <f t="array" ref="BR219">SumByColor(BR220:BR255,REFERENCE!$G$3)</f>
        <v>0</v>
      </c>
      <c r="BS219" s="44" cm="1">
        <f t="array" ref="BS219">SumByColor(BS220:BS255,REFERENCE!$G$3)</f>
        <v>0</v>
      </c>
      <c r="BT219" s="44" cm="1">
        <f t="array" ref="BT219">SumByColor(BT220:BT255,REFERENCE!$G$3)</f>
        <v>0</v>
      </c>
      <c r="BU219" s="44" cm="1">
        <f t="array" ref="BU219">SumByColor(BU220:BU255,REFERENCE!$G$3)</f>
        <v>0</v>
      </c>
      <c r="BV219" s="44" cm="1">
        <f t="array" ref="BV219">SumByColor(BV220:BV255,REFERENCE!$G$3)</f>
        <v>0</v>
      </c>
      <c r="BW219" s="44" cm="1">
        <f t="array" ref="BW219">SumByColor(BW220:BW255,REFERENCE!$G$3)</f>
        <v>0</v>
      </c>
      <c r="BX219" s="44" cm="1">
        <f t="array" ref="BX219">SumByColor(BX220:BX255,REFERENCE!$G$3)</f>
        <v>0</v>
      </c>
      <c r="BY219" s="44" cm="1">
        <f t="array" ref="BY219">SumByColor(BY220:BY255,REFERENCE!$G$3)</f>
        <v>0</v>
      </c>
      <c r="BZ219" s="44" cm="1">
        <f t="array" ref="BZ219">SumByColor(BZ220:BZ255,REFERENCE!$G$3)</f>
        <v>0</v>
      </c>
      <c r="CA219" s="44" cm="1">
        <f t="array" ref="CA219">SumByColor(CA220:CA255,REFERENCE!$G$3)</f>
        <v>0</v>
      </c>
      <c r="CB219" s="44" cm="1">
        <f t="array" ref="CB219">SumByColor(CB220:CB255,REFERENCE!$G$3)</f>
        <v>0</v>
      </c>
      <c r="CC219" s="44" cm="1">
        <f t="array" ref="CC219">SumByColor(CC220:CC255,REFERENCE!$G$3)</f>
        <v>0</v>
      </c>
      <c r="CD219" s="44" cm="1">
        <f t="array" ref="CD219">SumByColor(CD220:CD255,REFERENCE!$G$3)</f>
        <v>0</v>
      </c>
      <c r="CE219" s="44" cm="1">
        <f t="array" ref="CE219">SumByColor(CE220:CE255,REFERENCE!$G$3)</f>
        <v>0</v>
      </c>
      <c r="CF219" s="44" cm="1">
        <f t="array" ref="CF219">SumByColor(CF220:CF255,REFERENCE!$G$3)</f>
        <v>0</v>
      </c>
      <c r="CG219" s="44" cm="1">
        <f t="array" ref="CG219">SumByColor(CG220:CG255,REFERENCE!$G$3)</f>
        <v>0</v>
      </c>
      <c r="CH219" s="44" cm="1">
        <f t="array" ref="CH219">SumByColor(CH220:CH255,REFERENCE!$G$3)</f>
        <v>0</v>
      </c>
      <c r="CI219" s="44" cm="1">
        <f t="array" ref="CI219">SumByColor(CI220:CI255,REFERENCE!$G$3)</f>
        <v>0</v>
      </c>
      <c r="CJ219" s="44" cm="1">
        <f t="array" ref="CJ219">SumByColor(CJ220:CJ255,REFERENCE!$G$3)</f>
        <v>0</v>
      </c>
      <c r="CK219" s="44" cm="1">
        <f t="array" ref="CK219">SumByColor(CK220:CK255,REFERENCE!$G$3)</f>
        <v>0</v>
      </c>
      <c r="CL219" s="44" cm="1">
        <f t="array" ref="CL219">SumByColor(CL220:CL255,REFERENCE!$G$3)</f>
        <v>0</v>
      </c>
      <c r="CM219" s="44" cm="1">
        <f t="array" ref="CM219">SumByColor(CM220:CM255,REFERENCE!$G$3)</f>
        <v>0</v>
      </c>
      <c r="CN219" s="44" cm="1">
        <f t="array" ref="CN219">SumByColor(CN220:CN255,REFERENCE!$G$3)</f>
        <v>0</v>
      </c>
      <c r="CO219" s="44" cm="1">
        <f t="array" ref="CO219">SumByColor(CO220:CO255,REFERENCE!$G$3)</f>
        <v>0</v>
      </c>
      <c r="CP219" s="44" cm="1">
        <f t="array" ref="CP219">SumByColor(CP220:CP255,REFERENCE!$G$3)</f>
        <v>0</v>
      </c>
      <c r="CQ219" s="44" cm="1">
        <f t="array" ref="CQ219">SumByColor(CQ220:CQ255,REFERENCE!$G$3)</f>
        <v>0</v>
      </c>
      <c r="CR219" s="44" cm="1">
        <f t="array" ref="CR219">SumByColor(CR220:CR255,REFERENCE!$G$3)</f>
        <v>0</v>
      </c>
      <c r="CS219" s="44" cm="1">
        <f t="array" ref="CS219">SumByColor(CS220:CS255,REFERENCE!$G$3)</f>
        <v>0</v>
      </c>
      <c r="CT219" s="44" cm="1">
        <f t="array" ref="CT219">SumByColor(CT220:CT255,REFERENCE!$G$3)</f>
        <v>0</v>
      </c>
      <c r="CU219" s="44" cm="1">
        <f t="array" ref="CU219">SumByColor(CU220:CU255,REFERENCE!$G$3)</f>
        <v>0</v>
      </c>
      <c r="CV219" s="44" cm="1">
        <f t="array" ref="CV219">SumByColor(CV220:CV255,REFERENCE!$G$3)</f>
        <v>0</v>
      </c>
      <c r="CW219" s="44" cm="1">
        <f t="array" ref="CW219">SumByColor(CW220:CW255,REFERENCE!$G$3)</f>
        <v>0</v>
      </c>
      <c r="CX219" s="44" cm="1">
        <f t="array" ref="CX219">SumByColor(CX220:CX255,REFERENCE!$G$3)</f>
        <v>0</v>
      </c>
      <c r="CY219" s="44" cm="1">
        <f t="array" ref="CY219">SumByColor(CY220:CY255,REFERENCE!$G$3)</f>
        <v>0</v>
      </c>
      <c r="CZ219" s="44" cm="1">
        <f t="array" ref="CZ219">SumByColor(CZ220:CZ255,REFERENCE!$G$3)</f>
        <v>0</v>
      </c>
      <c r="DA219" s="44" cm="1">
        <f t="array" ref="DA219">SumByColor(DA220:DA255,REFERENCE!$G$3)</f>
        <v>0</v>
      </c>
      <c r="DB219" s="44" cm="1">
        <f t="array" ref="DB219">SumByColor(DB220:DB255,REFERENCE!$G$3)</f>
        <v>0</v>
      </c>
      <c r="DC219" s="44" cm="1">
        <f t="array" ref="DC219">SumByColor(DC220:DC255,REFERENCE!$G$3)</f>
        <v>0</v>
      </c>
      <c r="DD219" s="44" cm="1">
        <f t="array" ref="DD219">SumByColor(DD220:DD255,REFERENCE!$G$3)</f>
        <v>0</v>
      </c>
      <c r="DE219" s="44" cm="1">
        <f t="array" ref="DE219">SumByColor(DE220:DE255,REFERENCE!$G$3)</f>
        <v>0</v>
      </c>
      <c r="DF219" s="44" cm="1">
        <f t="array" ref="DF219">SumByColor(DF220:DF255,REFERENCE!$G$3)</f>
        <v>0</v>
      </c>
      <c r="DG219" s="44" cm="1">
        <f t="array" ref="DG219">SumByColor(DG220:DG255,REFERENCE!$G$3)</f>
        <v>0</v>
      </c>
      <c r="DH219" s="44" cm="1">
        <f t="array" ref="DH219">SumByColor(DH220:DH255,REFERENCE!$G$3)</f>
        <v>0</v>
      </c>
      <c r="DI219" s="44" cm="1">
        <f t="array" ref="DI219">SumByColor(DI220:DI255,REFERENCE!$G$3)</f>
        <v>0</v>
      </c>
      <c r="DJ219" s="44" cm="1">
        <f t="array" ref="DJ219">SumByColor(DJ220:DJ255,REFERENCE!$G$3)</f>
        <v>0</v>
      </c>
      <c r="DK219" s="44" cm="1">
        <f t="array" ref="DK219">SumByColor(DK220:DK255,REFERENCE!$G$3)</f>
        <v>0</v>
      </c>
      <c r="DL219" s="44" cm="1">
        <f t="array" ref="DL219">SumByColor(DL220:DL255,REFERENCE!$G$3)</f>
        <v>0</v>
      </c>
      <c r="DM219" s="44" cm="1">
        <f t="array" ref="DM219">SumByColor(DM220:DM255,REFERENCE!$G$3)</f>
        <v>0</v>
      </c>
      <c r="DN219" s="44" cm="1">
        <f t="array" ref="DN219">SumByColor(DN220:DN255,REFERENCE!$G$3)</f>
        <v>0</v>
      </c>
      <c r="DO219" s="44" cm="1">
        <f t="array" ref="DO219">SumByColor(DO220:DO255,REFERENCE!$G$3)</f>
        <v>0</v>
      </c>
      <c r="DP219" s="44" cm="1">
        <f t="array" ref="DP219">SumByColor(DP220:DP255,REFERENCE!$G$3)</f>
        <v>0</v>
      </c>
      <c r="DQ219" s="44" cm="1">
        <f t="array" ref="DQ219">SumByColor(DQ220:DQ255,REFERENCE!$G$3)</f>
        <v>0</v>
      </c>
      <c r="DR219" s="44" cm="1">
        <f t="array" ref="DR219">SumByColor(DR220:DR255,REFERENCE!$G$3)</f>
        <v>0</v>
      </c>
      <c r="DS219" s="44" cm="1">
        <f t="array" ref="DS219">SumByColor(DS220:DS255,REFERENCE!$G$3)</f>
        <v>0</v>
      </c>
      <c r="DT219" s="44" cm="1">
        <f t="array" ref="DT219">SumByColor(DT220:DT255,REFERENCE!$G$3)</f>
        <v>0</v>
      </c>
      <c r="DU219" s="44" cm="1">
        <f t="array" ref="DU219">SumByColor(DU220:DU255,REFERENCE!$G$3)</f>
        <v>0</v>
      </c>
      <c r="DV219" s="44" cm="1">
        <f t="array" ref="DV219">SumByColor(DV220:DV255,REFERENCE!$G$3)</f>
        <v>0</v>
      </c>
      <c r="DW219" s="44" cm="1">
        <f t="array" ref="DW219">SumByColor(DW220:DW255,REFERENCE!$G$3)</f>
        <v>0</v>
      </c>
      <c r="DX219" s="44" cm="1">
        <f t="array" ref="DX219">SumByColor(DX220:DX255,REFERENCE!$G$3)</f>
        <v>0</v>
      </c>
      <c r="DY219" s="44" cm="1">
        <f t="array" ref="DY219">SumByColor(DY220:DY255,REFERENCE!$G$3)</f>
        <v>0</v>
      </c>
      <c r="DZ219" s="220"/>
      <c r="EA219" s="234"/>
      <c r="EB219" s="234"/>
      <c r="EC219" s="234"/>
      <c r="ED219" s="234"/>
      <c r="EE219" s="234"/>
      <c r="EF219" s="234"/>
      <c r="EG219" s="234"/>
      <c r="EH219" s="234"/>
      <c r="EI219" s="234"/>
      <c r="EJ219" s="234"/>
      <c r="EK219" s="234"/>
      <c r="EL219" s="234"/>
      <c r="EM219" s="234"/>
      <c r="EN219" s="234"/>
      <c r="EO219" s="234"/>
      <c r="EP219" s="234"/>
      <c r="EQ219" s="234"/>
    </row>
    <row r="220" spans="1:147" customFormat="1" ht="22.5" customHeight="1" outlineLevel="2" x14ac:dyDescent="0.2">
      <c r="A220" s="169" t="s">
        <v>732</v>
      </c>
      <c r="B220" s="170" t="s">
        <v>733</v>
      </c>
      <c r="C220" s="171"/>
      <c r="D220" s="172"/>
      <c r="E220" s="173"/>
      <c r="F220" s="175">
        <f>SUM(F221:F231)</f>
        <v>0</v>
      </c>
      <c r="G220" s="175">
        <f>SUM(G221:G231)</f>
        <v>0</v>
      </c>
      <c r="H220" s="175">
        <f>SUM(H221:H231)</f>
        <v>0</v>
      </c>
      <c r="I220" s="175">
        <f t="shared" ref="I220:BR220" si="63">SUM(I222:I230)</f>
        <v>0</v>
      </c>
      <c r="J220" s="175">
        <f t="shared" si="63"/>
        <v>0</v>
      </c>
      <c r="K220" s="175">
        <f t="shared" si="63"/>
        <v>0</v>
      </c>
      <c r="L220" s="175">
        <f t="shared" si="63"/>
        <v>0</v>
      </c>
      <c r="M220" s="175">
        <f t="shared" si="63"/>
        <v>0</v>
      </c>
      <c r="N220" s="175">
        <f t="shared" si="63"/>
        <v>0</v>
      </c>
      <c r="O220" s="175">
        <f t="shared" si="63"/>
        <v>0</v>
      </c>
      <c r="P220" s="175">
        <f t="shared" si="63"/>
        <v>0</v>
      </c>
      <c r="Q220" s="175">
        <f t="shared" si="63"/>
        <v>0</v>
      </c>
      <c r="R220" s="175">
        <f t="shared" si="63"/>
        <v>0</v>
      </c>
      <c r="S220" s="175">
        <f t="shared" si="63"/>
        <v>0</v>
      </c>
      <c r="T220" s="175">
        <f t="shared" si="63"/>
        <v>0</v>
      </c>
      <c r="U220" s="175">
        <f t="shared" si="63"/>
        <v>0</v>
      </c>
      <c r="V220" s="175">
        <f t="shared" si="63"/>
        <v>0</v>
      </c>
      <c r="W220" s="175">
        <f t="shared" si="63"/>
        <v>0</v>
      </c>
      <c r="X220" s="175">
        <f t="shared" si="63"/>
        <v>0</v>
      </c>
      <c r="Y220" s="175">
        <f t="shared" si="63"/>
        <v>0</v>
      </c>
      <c r="Z220" s="175">
        <f t="shared" si="63"/>
        <v>0</v>
      </c>
      <c r="AA220" s="175">
        <f t="shared" si="63"/>
        <v>0</v>
      </c>
      <c r="AB220" s="175">
        <f t="shared" si="63"/>
        <v>0</v>
      </c>
      <c r="AC220" s="175">
        <f t="shared" si="63"/>
        <v>0</v>
      </c>
      <c r="AD220" s="175">
        <f t="shared" si="63"/>
        <v>0</v>
      </c>
      <c r="AE220" s="175">
        <f t="shared" si="63"/>
        <v>0</v>
      </c>
      <c r="AF220" s="175">
        <f t="shared" si="63"/>
        <v>0</v>
      </c>
      <c r="AG220" s="175">
        <f t="shared" si="63"/>
        <v>0</v>
      </c>
      <c r="AH220" s="175">
        <f t="shared" si="63"/>
        <v>0</v>
      </c>
      <c r="AI220" s="175">
        <f t="shared" si="63"/>
        <v>0</v>
      </c>
      <c r="AJ220" s="175">
        <f t="shared" si="63"/>
        <v>0</v>
      </c>
      <c r="AK220" s="175">
        <f t="shared" si="63"/>
        <v>0</v>
      </c>
      <c r="AL220" s="175">
        <f t="shared" si="63"/>
        <v>0</v>
      </c>
      <c r="AM220" s="175">
        <f t="shared" si="63"/>
        <v>0</v>
      </c>
      <c r="AN220" s="175">
        <f t="shared" si="63"/>
        <v>0</v>
      </c>
      <c r="AO220" s="175">
        <f t="shared" si="63"/>
        <v>0</v>
      </c>
      <c r="AP220" s="175">
        <f t="shared" si="63"/>
        <v>0</v>
      </c>
      <c r="AQ220" s="175">
        <f t="shared" si="63"/>
        <v>0</v>
      </c>
      <c r="AR220" s="175">
        <f t="shared" si="63"/>
        <v>0</v>
      </c>
      <c r="AS220" s="175">
        <f t="shared" si="63"/>
        <v>0</v>
      </c>
      <c r="AT220" s="175">
        <f t="shared" si="63"/>
        <v>0</v>
      </c>
      <c r="AU220" s="175">
        <f t="shared" si="63"/>
        <v>0</v>
      </c>
      <c r="AV220" s="175">
        <f t="shared" si="63"/>
        <v>0</v>
      </c>
      <c r="AW220" s="175">
        <f t="shared" si="63"/>
        <v>0</v>
      </c>
      <c r="AX220" s="175">
        <f t="shared" si="63"/>
        <v>0</v>
      </c>
      <c r="AY220" s="175">
        <f t="shared" si="63"/>
        <v>0</v>
      </c>
      <c r="AZ220" s="175">
        <f t="shared" si="63"/>
        <v>0</v>
      </c>
      <c r="BA220" s="175">
        <f t="shared" si="63"/>
        <v>0</v>
      </c>
      <c r="BB220" s="175">
        <f t="shared" si="63"/>
        <v>0</v>
      </c>
      <c r="BC220" s="175">
        <f t="shared" si="63"/>
        <v>0</v>
      </c>
      <c r="BD220" s="175">
        <f t="shared" si="63"/>
        <v>0</v>
      </c>
      <c r="BE220" s="175">
        <f t="shared" si="63"/>
        <v>0</v>
      </c>
      <c r="BF220" s="175">
        <f t="shared" si="63"/>
        <v>0</v>
      </c>
      <c r="BG220" s="175">
        <f t="shared" si="63"/>
        <v>0</v>
      </c>
      <c r="BH220" s="175">
        <f t="shared" si="63"/>
        <v>0</v>
      </c>
      <c r="BI220" s="175">
        <f t="shared" si="63"/>
        <v>0</v>
      </c>
      <c r="BJ220" s="175">
        <f t="shared" si="63"/>
        <v>0</v>
      </c>
      <c r="BK220" s="175">
        <f t="shared" si="63"/>
        <v>0</v>
      </c>
      <c r="BL220" s="175">
        <f t="shared" si="63"/>
        <v>0</v>
      </c>
      <c r="BM220" s="175">
        <f t="shared" si="63"/>
        <v>0</v>
      </c>
      <c r="BN220" s="175">
        <f t="shared" si="63"/>
        <v>0</v>
      </c>
      <c r="BO220" s="175">
        <f t="shared" si="63"/>
        <v>0</v>
      </c>
      <c r="BP220" s="175">
        <f t="shared" si="63"/>
        <v>0</v>
      </c>
      <c r="BQ220" s="175">
        <f t="shared" si="63"/>
        <v>0</v>
      </c>
      <c r="BR220" s="175">
        <f t="shared" si="63"/>
        <v>0</v>
      </c>
      <c r="BS220" s="175">
        <f t="shared" ref="BS220:DT220" si="64">SUM(BS222:BS230)</f>
        <v>0</v>
      </c>
      <c r="BT220" s="175">
        <f t="shared" si="64"/>
        <v>0</v>
      </c>
      <c r="BU220" s="175">
        <f t="shared" si="64"/>
        <v>0</v>
      </c>
      <c r="BV220" s="175">
        <f t="shared" si="64"/>
        <v>0</v>
      </c>
      <c r="BW220" s="175">
        <f t="shared" si="64"/>
        <v>0</v>
      </c>
      <c r="BX220" s="175">
        <f t="shared" si="64"/>
        <v>0</v>
      </c>
      <c r="BY220" s="175">
        <f t="shared" si="64"/>
        <v>0</v>
      </c>
      <c r="BZ220" s="175">
        <f t="shared" si="64"/>
        <v>0</v>
      </c>
      <c r="CA220" s="175">
        <f t="shared" si="64"/>
        <v>0</v>
      </c>
      <c r="CB220" s="175">
        <f t="shared" si="64"/>
        <v>0</v>
      </c>
      <c r="CC220" s="175">
        <f t="shared" si="64"/>
        <v>0</v>
      </c>
      <c r="CD220" s="175">
        <f t="shared" si="64"/>
        <v>0</v>
      </c>
      <c r="CE220" s="175">
        <f t="shared" si="64"/>
        <v>0</v>
      </c>
      <c r="CF220" s="175">
        <f t="shared" si="64"/>
        <v>0</v>
      </c>
      <c r="CG220" s="175">
        <f t="shared" si="64"/>
        <v>0</v>
      </c>
      <c r="CH220" s="175">
        <f t="shared" si="64"/>
        <v>0</v>
      </c>
      <c r="CI220" s="175">
        <f t="shared" si="64"/>
        <v>0</v>
      </c>
      <c r="CJ220" s="175">
        <f t="shared" si="64"/>
        <v>0</v>
      </c>
      <c r="CK220" s="175">
        <f t="shared" si="64"/>
        <v>0</v>
      </c>
      <c r="CL220" s="175">
        <f t="shared" si="64"/>
        <v>0</v>
      </c>
      <c r="CM220" s="175">
        <f t="shared" si="64"/>
        <v>0</v>
      </c>
      <c r="CN220" s="175">
        <f t="shared" si="64"/>
        <v>0</v>
      </c>
      <c r="CO220" s="175">
        <f t="shared" si="64"/>
        <v>0</v>
      </c>
      <c r="CP220" s="175">
        <f t="shared" si="64"/>
        <v>0</v>
      </c>
      <c r="CQ220" s="175">
        <f t="shared" si="64"/>
        <v>0</v>
      </c>
      <c r="CR220" s="175">
        <f t="shared" si="64"/>
        <v>0</v>
      </c>
      <c r="CS220" s="175">
        <f t="shared" si="64"/>
        <v>0</v>
      </c>
      <c r="CT220" s="175">
        <f t="shared" si="64"/>
        <v>0</v>
      </c>
      <c r="CU220" s="175">
        <f t="shared" si="64"/>
        <v>0</v>
      </c>
      <c r="CV220" s="175">
        <f t="shared" si="64"/>
        <v>0</v>
      </c>
      <c r="CW220" s="175">
        <f t="shared" si="64"/>
        <v>0</v>
      </c>
      <c r="CX220" s="175">
        <f t="shared" si="64"/>
        <v>0</v>
      </c>
      <c r="CY220" s="175">
        <f t="shared" si="64"/>
        <v>0</v>
      </c>
      <c r="CZ220" s="175">
        <f t="shared" si="64"/>
        <v>0</v>
      </c>
      <c r="DA220" s="175">
        <f t="shared" si="64"/>
        <v>0</v>
      </c>
      <c r="DB220" s="175">
        <f t="shared" si="64"/>
        <v>0</v>
      </c>
      <c r="DC220" s="175">
        <f t="shared" si="64"/>
        <v>0</v>
      </c>
      <c r="DD220" s="175">
        <f t="shared" si="64"/>
        <v>0</v>
      </c>
      <c r="DE220" s="175">
        <f t="shared" si="64"/>
        <v>0</v>
      </c>
      <c r="DF220" s="175">
        <f t="shared" si="64"/>
        <v>0</v>
      </c>
      <c r="DG220" s="175">
        <f t="shared" si="64"/>
        <v>0</v>
      </c>
      <c r="DH220" s="175">
        <f t="shared" si="64"/>
        <v>0</v>
      </c>
      <c r="DI220" s="175">
        <f t="shared" si="64"/>
        <v>0</v>
      </c>
      <c r="DJ220" s="175">
        <f t="shared" si="64"/>
        <v>0</v>
      </c>
      <c r="DK220" s="175">
        <f t="shared" si="64"/>
        <v>0</v>
      </c>
      <c r="DL220" s="175">
        <f t="shared" si="64"/>
        <v>0</v>
      </c>
      <c r="DM220" s="175">
        <f t="shared" si="64"/>
        <v>0</v>
      </c>
      <c r="DN220" s="175">
        <f t="shared" si="64"/>
        <v>0</v>
      </c>
      <c r="DO220" s="175">
        <f t="shared" si="64"/>
        <v>0</v>
      </c>
      <c r="DP220" s="175">
        <f t="shared" si="64"/>
        <v>0</v>
      </c>
      <c r="DQ220" s="175">
        <f t="shared" si="64"/>
        <v>0</v>
      </c>
      <c r="DR220" s="175">
        <f t="shared" si="64"/>
        <v>0</v>
      </c>
      <c r="DS220" s="175">
        <f t="shared" si="64"/>
        <v>0</v>
      </c>
      <c r="DT220" s="175">
        <f t="shared" si="64"/>
        <v>0</v>
      </c>
      <c r="DU220" s="175">
        <f>SUMPRODUCT($D$221:$D$230,$E$221:$E$230,DU221:DU230)</f>
        <v>0</v>
      </c>
      <c r="DV220" s="175">
        <f>SUMPRODUCT($D$221:$D$230,$E$221:$E$230,DV221:DV230)</f>
        <v>0</v>
      </c>
      <c r="DW220" s="175">
        <f>SUMPRODUCT($D$221:$D$230,$E$221:$E$230,DW221:DW230)</f>
        <v>0</v>
      </c>
      <c r="DX220" s="175">
        <f>SUMPRODUCT($D$221:$D$230,$E$221:$E$230,DX221:DX230)</f>
        <v>0</v>
      </c>
      <c r="DY220" s="175">
        <f>SUMPRODUCT($D$221:$D$230,$E$221:$E$230,DY221:DY230)</f>
        <v>0</v>
      </c>
      <c r="DZ220" s="221"/>
      <c r="EA220" s="235"/>
      <c r="EB220" s="235"/>
      <c r="EC220" s="235"/>
      <c r="ED220" s="235"/>
      <c r="EE220" s="235"/>
      <c r="EF220" s="235"/>
      <c r="EG220" s="235"/>
      <c r="EH220" s="235"/>
      <c r="EI220" s="235"/>
      <c r="EJ220" s="235"/>
      <c r="EK220" s="235"/>
      <c r="EL220" s="235"/>
      <c r="EM220" s="235"/>
      <c r="EN220" s="235"/>
      <c r="EO220" s="235"/>
      <c r="EP220" s="235"/>
      <c r="EQ220" s="235"/>
    </row>
    <row r="221" spans="1:147" ht="22.9" customHeight="1" outlineLevel="4" x14ac:dyDescent="0.2">
      <c r="A221" s="146" t="s">
        <v>734</v>
      </c>
      <c r="B221" s="53" t="s">
        <v>735</v>
      </c>
      <c r="C221" s="50" t="s">
        <v>100</v>
      </c>
      <c r="D221" s="165">
        <v>1</v>
      </c>
      <c r="E221" s="158">
        <v>1</v>
      </c>
      <c r="F221" s="52">
        <f>SUM(H221:EQ221)*E221*Table1[[#This Row],[Cycles]]</f>
        <v>0</v>
      </c>
      <c r="G221" s="46">
        <f>SUMPRODUCT($H$3:$EQ$3,$H221:$EQ221)*E221*D221</f>
        <v>0</v>
      </c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  <c r="BS221" s="47"/>
      <c r="BT221" s="47"/>
      <c r="BU221" s="47"/>
      <c r="BV221" s="47"/>
      <c r="BW221" s="47"/>
      <c r="BX221" s="47"/>
      <c r="BY221" s="47"/>
      <c r="BZ221" s="47"/>
      <c r="CA221" s="47"/>
      <c r="CB221" s="47"/>
      <c r="CC221" s="47"/>
      <c r="CD221" s="47"/>
      <c r="CE221" s="47"/>
      <c r="CF221" s="47"/>
      <c r="CG221" s="47"/>
      <c r="CH221" s="47"/>
      <c r="CI221" s="47"/>
      <c r="CJ221" s="47"/>
      <c r="CK221" s="47"/>
      <c r="CL221" s="47"/>
      <c r="CM221" s="47"/>
      <c r="CN221" s="47"/>
      <c r="CO221" s="47"/>
      <c r="CP221" s="47"/>
      <c r="CQ221" s="47"/>
      <c r="CR221" s="47"/>
      <c r="CS221" s="47"/>
      <c r="CT221" s="47"/>
      <c r="CU221" s="47"/>
      <c r="CV221" s="47"/>
      <c r="CW221" s="47"/>
      <c r="CX221" s="47"/>
      <c r="CY221" s="47"/>
      <c r="CZ221" s="47"/>
      <c r="DA221" s="47"/>
      <c r="DB221" s="47"/>
      <c r="DC221" s="47"/>
      <c r="DD221" s="47"/>
      <c r="DE221" s="47"/>
      <c r="DF221" s="47"/>
      <c r="DG221" s="47"/>
      <c r="DH221" s="47"/>
      <c r="DI221" s="47"/>
      <c r="DJ221" s="47"/>
      <c r="DK221" s="47"/>
      <c r="DL221" s="47"/>
      <c r="DM221" s="47"/>
      <c r="DN221" s="47"/>
      <c r="DO221" s="47"/>
      <c r="DP221" s="47"/>
      <c r="DQ221" s="47"/>
      <c r="DR221" s="47"/>
      <c r="DS221" s="47"/>
      <c r="DT221" s="47"/>
      <c r="DU221" s="47"/>
      <c r="DV221" s="47"/>
      <c r="DW221" s="47"/>
      <c r="DX221" s="47"/>
      <c r="DY221" s="47"/>
      <c r="DZ221" s="219"/>
      <c r="EA221" s="231"/>
      <c r="EB221" s="231"/>
      <c r="EC221" s="231"/>
      <c r="ED221" s="231"/>
      <c r="EE221" s="231"/>
      <c r="EF221" s="231"/>
      <c r="EG221" s="231"/>
      <c r="EH221" s="231"/>
      <c r="EI221" s="231"/>
      <c r="EJ221" s="231"/>
      <c r="EK221" s="231"/>
      <c r="EL221" s="231"/>
      <c r="EM221" s="231"/>
      <c r="EN221" s="231"/>
      <c r="EO221" s="231"/>
      <c r="EP221" s="231"/>
      <c r="EQ221" s="231"/>
    </row>
    <row r="222" spans="1:147" ht="22.9" customHeight="1" outlineLevel="4" x14ac:dyDescent="0.2">
      <c r="A222" s="146" t="s">
        <v>736</v>
      </c>
      <c r="B222" s="53" t="s">
        <v>737</v>
      </c>
      <c r="C222" s="50" t="s">
        <v>100</v>
      </c>
      <c r="D222" s="165">
        <v>1</v>
      </c>
      <c r="E222" s="158">
        <v>1</v>
      </c>
      <c r="F222" s="52">
        <f>SUM(H222:DY222)*E222*Table1[[#This Row],[Cycles]]</f>
        <v>0</v>
      </c>
      <c r="G222" s="46">
        <f>SUMPRODUCT($H$3:$DY$3,$H222:$DY222)*E222*D222</f>
        <v>0</v>
      </c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  <c r="BD222" s="47"/>
      <c r="BE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  <c r="BS222" s="47"/>
      <c r="BT222" s="47"/>
      <c r="BU222" s="47"/>
      <c r="BV222" s="47"/>
      <c r="BW222" s="47"/>
      <c r="BX222" s="47"/>
      <c r="BY222" s="47"/>
      <c r="BZ222" s="47"/>
      <c r="CA222" s="47"/>
      <c r="CB222" s="47"/>
      <c r="CC222" s="47"/>
      <c r="CD222" s="47"/>
      <c r="CE222" s="47"/>
      <c r="CF222" s="47"/>
      <c r="CG222" s="47"/>
      <c r="CH222" s="47"/>
      <c r="CI222" s="47"/>
      <c r="CJ222" s="47"/>
      <c r="CK222" s="47"/>
      <c r="CL222" s="47"/>
      <c r="CM222" s="47"/>
      <c r="CN222" s="47"/>
      <c r="CO222" s="47"/>
      <c r="CP222" s="47"/>
      <c r="CQ222" s="47"/>
      <c r="CR222" s="47"/>
      <c r="CS222" s="47"/>
      <c r="CT222" s="47"/>
      <c r="CU222" s="47"/>
      <c r="CV222" s="47"/>
      <c r="CW222" s="47"/>
      <c r="CX222" s="47"/>
      <c r="CY222" s="47"/>
      <c r="CZ222" s="47"/>
      <c r="DA222" s="47"/>
      <c r="DB222" s="47"/>
      <c r="DC222" s="47"/>
      <c r="DD222" s="47"/>
      <c r="DE222" s="47"/>
      <c r="DF222" s="47"/>
      <c r="DG222" s="47"/>
      <c r="DH222" s="47"/>
      <c r="DI222" s="47"/>
      <c r="DJ222" s="47"/>
      <c r="DK222" s="47"/>
      <c r="DL222" s="47"/>
      <c r="DM222" s="47"/>
      <c r="DN222" s="47"/>
      <c r="DO222" s="47"/>
      <c r="DP222" s="47"/>
      <c r="DQ222" s="47"/>
      <c r="DR222" s="47"/>
      <c r="DS222" s="47"/>
      <c r="DT222" s="47"/>
      <c r="DU222" s="47"/>
      <c r="DV222" s="47"/>
      <c r="DW222" s="47"/>
      <c r="DX222" s="47"/>
      <c r="DY222" s="47"/>
      <c r="DZ222" s="219"/>
      <c r="EA222" s="231"/>
      <c r="EB222" s="231"/>
      <c r="EC222" s="231"/>
      <c r="ED222" s="231"/>
      <c r="EE222" s="231"/>
      <c r="EF222" s="231"/>
      <c r="EG222" s="231"/>
      <c r="EH222" s="231"/>
      <c r="EI222" s="231"/>
      <c r="EJ222" s="231"/>
      <c r="EK222" s="231"/>
      <c r="EL222" s="231"/>
      <c r="EM222" s="231"/>
      <c r="EN222" s="231"/>
      <c r="EO222" s="231"/>
      <c r="EP222" s="231"/>
      <c r="EQ222" s="231"/>
    </row>
    <row r="223" spans="1:147" ht="21.75" customHeight="1" outlineLevel="4" x14ac:dyDescent="0.2">
      <c r="A223" s="146" t="s">
        <v>738</v>
      </c>
      <c r="B223" s="53" t="s">
        <v>739</v>
      </c>
      <c r="C223" s="50" t="s">
        <v>100</v>
      </c>
      <c r="D223" s="165">
        <v>1</v>
      </c>
      <c r="E223" s="158">
        <v>1</v>
      </c>
      <c r="F223" s="52">
        <f>SUM(H223:DY223)*E223*Table1[[#This Row],[Cycles]]</f>
        <v>0</v>
      </c>
      <c r="G223" s="46">
        <f t="shared" ref="G223:G230" si="65">SUMPRODUCT($H$3:$DY$3,$H223:$DY223)*E223*D223</f>
        <v>0</v>
      </c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  <c r="BD223" s="47"/>
      <c r="BE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  <c r="BS223" s="47"/>
      <c r="BT223" s="47"/>
      <c r="BU223" s="47"/>
      <c r="BV223" s="47"/>
      <c r="BW223" s="47"/>
      <c r="BX223" s="47"/>
      <c r="BY223" s="47"/>
      <c r="BZ223" s="47"/>
      <c r="CA223" s="47"/>
      <c r="CB223" s="47"/>
      <c r="CC223" s="47"/>
      <c r="CD223" s="47"/>
      <c r="CE223" s="47"/>
      <c r="CF223" s="47"/>
      <c r="CG223" s="47"/>
      <c r="CH223" s="47"/>
      <c r="CI223" s="47"/>
      <c r="CJ223" s="47"/>
      <c r="CK223" s="47"/>
      <c r="CL223" s="47"/>
      <c r="CM223" s="47"/>
      <c r="CN223" s="47"/>
      <c r="CO223" s="47"/>
      <c r="CP223" s="47"/>
      <c r="CQ223" s="47"/>
      <c r="CR223" s="47"/>
      <c r="CS223" s="47"/>
      <c r="CT223" s="47"/>
      <c r="CU223" s="47"/>
      <c r="CV223" s="47"/>
      <c r="CW223" s="47"/>
      <c r="CX223" s="47"/>
      <c r="CY223" s="47"/>
      <c r="CZ223" s="47"/>
      <c r="DA223" s="47"/>
      <c r="DB223" s="47"/>
      <c r="DC223" s="47"/>
      <c r="DD223" s="47"/>
      <c r="DE223" s="47"/>
      <c r="DF223" s="47"/>
      <c r="DG223" s="47"/>
      <c r="DH223" s="47"/>
      <c r="DI223" s="47"/>
      <c r="DJ223" s="47"/>
      <c r="DK223" s="47"/>
      <c r="DL223" s="47"/>
      <c r="DM223" s="47"/>
      <c r="DN223" s="47"/>
      <c r="DO223" s="47"/>
      <c r="DP223" s="47"/>
      <c r="DQ223" s="47"/>
      <c r="DR223" s="47"/>
      <c r="DS223" s="47"/>
      <c r="DT223" s="47"/>
      <c r="DU223" s="47"/>
      <c r="DV223" s="47"/>
      <c r="DW223" s="47"/>
      <c r="DX223" s="47"/>
      <c r="DY223" s="47"/>
      <c r="DZ223" s="219"/>
      <c r="EA223" s="231"/>
      <c r="EB223" s="231"/>
      <c r="EC223" s="231"/>
      <c r="ED223" s="231"/>
      <c r="EE223" s="231"/>
      <c r="EF223" s="231"/>
      <c r="EG223" s="231"/>
      <c r="EH223" s="231"/>
      <c r="EI223" s="231"/>
      <c r="EJ223" s="231"/>
      <c r="EK223" s="231"/>
      <c r="EL223" s="231"/>
      <c r="EM223" s="231"/>
      <c r="EN223" s="231"/>
      <c r="EO223" s="231"/>
      <c r="EP223" s="231"/>
      <c r="EQ223" s="231"/>
    </row>
    <row r="224" spans="1:147" ht="22.9" customHeight="1" outlineLevel="4" x14ac:dyDescent="0.2">
      <c r="A224" s="146" t="s">
        <v>740</v>
      </c>
      <c r="B224" s="53" t="s">
        <v>741</v>
      </c>
      <c r="C224" s="50" t="s">
        <v>100</v>
      </c>
      <c r="D224" s="165">
        <v>1</v>
      </c>
      <c r="E224" s="158">
        <v>1</v>
      </c>
      <c r="F224" s="52">
        <f>SUM(H224:DY224)*E224*Table1[[#This Row],[Cycles]]</f>
        <v>0</v>
      </c>
      <c r="G224" s="46">
        <f t="shared" si="65"/>
        <v>0</v>
      </c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  <c r="BD224" s="47"/>
      <c r="BE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  <c r="BS224" s="47"/>
      <c r="BT224" s="47"/>
      <c r="BU224" s="47"/>
      <c r="BV224" s="47"/>
      <c r="BW224" s="47"/>
      <c r="BX224" s="47"/>
      <c r="BY224" s="47"/>
      <c r="BZ224" s="47"/>
      <c r="CA224" s="47"/>
      <c r="CB224" s="47"/>
      <c r="CC224" s="47"/>
      <c r="CD224" s="47"/>
      <c r="CE224" s="47"/>
      <c r="CF224" s="47"/>
      <c r="CG224" s="47"/>
      <c r="CH224" s="47"/>
      <c r="CI224" s="47"/>
      <c r="CJ224" s="47"/>
      <c r="CK224" s="47"/>
      <c r="CL224" s="47"/>
      <c r="CM224" s="47"/>
      <c r="CN224" s="47"/>
      <c r="CO224" s="47"/>
      <c r="CP224" s="47"/>
      <c r="CQ224" s="47"/>
      <c r="CR224" s="47"/>
      <c r="CS224" s="47"/>
      <c r="CT224" s="47"/>
      <c r="CU224" s="47"/>
      <c r="CV224" s="47"/>
      <c r="CW224" s="47"/>
      <c r="CX224" s="47"/>
      <c r="CY224" s="47"/>
      <c r="CZ224" s="47"/>
      <c r="DA224" s="47"/>
      <c r="DB224" s="47"/>
      <c r="DC224" s="47"/>
      <c r="DD224" s="47"/>
      <c r="DE224" s="47"/>
      <c r="DF224" s="47"/>
      <c r="DG224" s="47"/>
      <c r="DH224" s="47"/>
      <c r="DI224" s="47"/>
      <c r="DJ224" s="47"/>
      <c r="DK224" s="47"/>
      <c r="DL224" s="47"/>
      <c r="DM224" s="47"/>
      <c r="DN224" s="47"/>
      <c r="DO224" s="47"/>
      <c r="DP224" s="47"/>
      <c r="DQ224" s="47"/>
      <c r="DR224" s="47"/>
      <c r="DS224" s="47"/>
      <c r="DT224" s="47"/>
      <c r="DU224" s="47"/>
      <c r="DV224" s="47"/>
      <c r="DW224" s="47"/>
      <c r="DX224" s="47"/>
      <c r="DY224" s="47"/>
      <c r="DZ224" s="219"/>
      <c r="EA224" s="231"/>
      <c r="EB224" s="231"/>
      <c r="EC224" s="231"/>
      <c r="ED224" s="231"/>
      <c r="EE224" s="231"/>
      <c r="EF224" s="231"/>
      <c r="EG224" s="231"/>
      <c r="EH224" s="231"/>
      <c r="EI224" s="231"/>
      <c r="EJ224" s="231"/>
      <c r="EK224" s="231"/>
      <c r="EL224" s="231"/>
      <c r="EM224" s="231"/>
      <c r="EN224" s="231"/>
      <c r="EO224" s="231"/>
      <c r="EP224" s="231"/>
      <c r="EQ224" s="231"/>
    </row>
    <row r="225" spans="1:147" ht="22.9" customHeight="1" outlineLevel="4" x14ac:dyDescent="0.2">
      <c r="A225" s="146" t="s">
        <v>742</v>
      </c>
      <c r="B225" s="53" t="s">
        <v>743</v>
      </c>
      <c r="C225" s="50" t="s">
        <v>100</v>
      </c>
      <c r="D225" s="165">
        <v>1</v>
      </c>
      <c r="E225" s="158">
        <v>1</v>
      </c>
      <c r="F225" s="52">
        <f>SUM(H225:DY225)*E225*Table1[[#This Row],[Cycles]]</f>
        <v>0</v>
      </c>
      <c r="G225" s="46">
        <f t="shared" si="65"/>
        <v>0</v>
      </c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  <c r="BD225" s="47"/>
      <c r="BE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  <c r="BS225" s="47"/>
      <c r="BT225" s="47"/>
      <c r="BU225" s="47"/>
      <c r="BV225" s="47"/>
      <c r="BW225" s="47"/>
      <c r="BX225" s="47"/>
      <c r="BY225" s="47"/>
      <c r="BZ225" s="47"/>
      <c r="CA225" s="47"/>
      <c r="CB225" s="47"/>
      <c r="CC225" s="47"/>
      <c r="CD225" s="47"/>
      <c r="CE225" s="47"/>
      <c r="CF225" s="47"/>
      <c r="CG225" s="47"/>
      <c r="CH225" s="47"/>
      <c r="CI225" s="47"/>
      <c r="CJ225" s="47"/>
      <c r="CK225" s="47"/>
      <c r="CL225" s="47"/>
      <c r="CM225" s="47"/>
      <c r="CN225" s="47"/>
      <c r="CO225" s="47"/>
      <c r="CP225" s="47"/>
      <c r="CQ225" s="47"/>
      <c r="CR225" s="47"/>
      <c r="CS225" s="47"/>
      <c r="CT225" s="47"/>
      <c r="CU225" s="47"/>
      <c r="CV225" s="47"/>
      <c r="CW225" s="47"/>
      <c r="CX225" s="47"/>
      <c r="CY225" s="47"/>
      <c r="CZ225" s="47"/>
      <c r="DA225" s="47"/>
      <c r="DB225" s="47"/>
      <c r="DC225" s="47"/>
      <c r="DD225" s="47"/>
      <c r="DE225" s="47"/>
      <c r="DF225" s="47"/>
      <c r="DG225" s="47"/>
      <c r="DH225" s="47"/>
      <c r="DI225" s="47"/>
      <c r="DJ225" s="47"/>
      <c r="DK225" s="47"/>
      <c r="DL225" s="47"/>
      <c r="DM225" s="47"/>
      <c r="DN225" s="47"/>
      <c r="DO225" s="47"/>
      <c r="DP225" s="47"/>
      <c r="DQ225" s="47"/>
      <c r="DR225" s="47"/>
      <c r="DS225" s="47"/>
      <c r="DT225" s="47"/>
      <c r="DU225" s="47"/>
      <c r="DV225" s="47"/>
      <c r="DW225" s="47"/>
      <c r="DX225" s="47"/>
      <c r="DY225" s="47"/>
      <c r="DZ225" s="219"/>
      <c r="EA225" s="231"/>
      <c r="EB225" s="231"/>
      <c r="EC225" s="231"/>
      <c r="ED225" s="231"/>
      <c r="EE225" s="231"/>
      <c r="EF225" s="231"/>
      <c r="EG225" s="231"/>
      <c r="EH225" s="231"/>
      <c r="EI225" s="231"/>
      <c r="EJ225" s="231"/>
      <c r="EK225" s="231"/>
      <c r="EL225" s="231"/>
      <c r="EM225" s="231"/>
      <c r="EN225" s="231"/>
      <c r="EO225" s="231"/>
      <c r="EP225" s="231"/>
      <c r="EQ225" s="231"/>
    </row>
    <row r="226" spans="1:147" ht="22.9" customHeight="1" outlineLevel="4" x14ac:dyDescent="0.2">
      <c r="A226" s="146" t="s">
        <v>744</v>
      </c>
      <c r="B226" s="53" t="s">
        <v>745</v>
      </c>
      <c r="C226" s="50" t="s">
        <v>100</v>
      </c>
      <c r="D226" s="165">
        <v>1</v>
      </c>
      <c r="E226" s="158">
        <v>1</v>
      </c>
      <c r="F226" s="52">
        <f>SUM(H226:DY226)*E226*Table1[[#This Row],[Cycles]]</f>
        <v>0</v>
      </c>
      <c r="G226" s="46">
        <f t="shared" si="65"/>
        <v>0</v>
      </c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  <c r="BD226" s="47"/>
      <c r="BE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  <c r="BS226" s="47"/>
      <c r="BT226" s="47"/>
      <c r="BU226" s="47"/>
      <c r="BV226" s="47"/>
      <c r="BW226" s="47"/>
      <c r="BX226" s="47"/>
      <c r="BY226" s="47"/>
      <c r="BZ226" s="47"/>
      <c r="CA226" s="47"/>
      <c r="CB226" s="47"/>
      <c r="CC226" s="47"/>
      <c r="CD226" s="47"/>
      <c r="CE226" s="47"/>
      <c r="CF226" s="47"/>
      <c r="CG226" s="47"/>
      <c r="CH226" s="47"/>
      <c r="CI226" s="47"/>
      <c r="CJ226" s="47"/>
      <c r="CK226" s="47"/>
      <c r="CL226" s="47"/>
      <c r="CM226" s="47"/>
      <c r="CN226" s="47"/>
      <c r="CO226" s="47"/>
      <c r="CP226" s="47"/>
      <c r="CQ226" s="47"/>
      <c r="CR226" s="47"/>
      <c r="CS226" s="47"/>
      <c r="CT226" s="47"/>
      <c r="CU226" s="47"/>
      <c r="CV226" s="47"/>
      <c r="CW226" s="47"/>
      <c r="CX226" s="47"/>
      <c r="CY226" s="47"/>
      <c r="CZ226" s="47"/>
      <c r="DA226" s="47"/>
      <c r="DB226" s="47"/>
      <c r="DC226" s="47"/>
      <c r="DD226" s="47"/>
      <c r="DE226" s="47"/>
      <c r="DF226" s="47"/>
      <c r="DG226" s="47"/>
      <c r="DH226" s="47"/>
      <c r="DI226" s="47"/>
      <c r="DJ226" s="47"/>
      <c r="DK226" s="47"/>
      <c r="DL226" s="47"/>
      <c r="DM226" s="47"/>
      <c r="DN226" s="47"/>
      <c r="DO226" s="47"/>
      <c r="DP226" s="47"/>
      <c r="DQ226" s="47"/>
      <c r="DR226" s="47"/>
      <c r="DS226" s="47"/>
      <c r="DT226" s="47"/>
      <c r="DU226" s="47"/>
      <c r="DV226" s="47"/>
      <c r="DW226" s="47"/>
      <c r="DX226" s="47"/>
      <c r="DY226" s="47"/>
      <c r="DZ226" s="219"/>
      <c r="EA226" s="231"/>
      <c r="EB226" s="231"/>
      <c r="EC226" s="231"/>
      <c r="ED226" s="231"/>
      <c r="EE226" s="231"/>
      <c r="EF226" s="231"/>
      <c r="EG226" s="231"/>
      <c r="EH226" s="231"/>
      <c r="EI226" s="231"/>
      <c r="EJ226" s="231"/>
      <c r="EK226" s="231"/>
      <c r="EL226" s="231"/>
      <c r="EM226" s="231"/>
      <c r="EN226" s="231"/>
      <c r="EO226" s="231"/>
      <c r="EP226" s="231"/>
      <c r="EQ226" s="231"/>
    </row>
    <row r="227" spans="1:147" ht="22.9" customHeight="1" outlineLevel="4" x14ac:dyDescent="0.2">
      <c r="A227" s="146" t="s">
        <v>746</v>
      </c>
      <c r="B227" s="53" t="s">
        <v>747</v>
      </c>
      <c r="C227" s="50" t="s">
        <v>100</v>
      </c>
      <c r="D227" s="165">
        <v>1</v>
      </c>
      <c r="E227" s="158">
        <v>1</v>
      </c>
      <c r="F227" s="52">
        <f>SUM(H227:DY227)*E227*Table1[[#This Row],[Cycles]]</f>
        <v>0</v>
      </c>
      <c r="G227" s="46">
        <f t="shared" si="65"/>
        <v>0</v>
      </c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  <c r="BD227" s="47"/>
      <c r="BE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  <c r="BS227" s="47"/>
      <c r="BT227" s="47"/>
      <c r="BU227" s="47"/>
      <c r="BV227" s="47"/>
      <c r="BW227" s="47"/>
      <c r="BX227" s="47"/>
      <c r="BY227" s="47"/>
      <c r="BZ227" s="47"/>
      <c r="CA227" s="47"/>
      <c r="CB227" s="47"/>
      <c r="CC227" s="47"/>
      <c r="CD227" s="47"/>
      <c r="CE227" s="47"/>
      <c r="CF227" s="47"/>
      <c r="CG227" s="47"/>
      <c r="CH227" s="47"/>
      <c r="CI227" s="47"/>
      <c r="CJ227" s="47"/>
      <c r="CK227" s="47"/>
      <c r="CL227" s="47"/>
      <c r="CM227" s="47"/>
      <c r="CN227" s="47"/>
      <c r="CO227" s="47"/>
      <c r="CP227" s="47"/>
      <c r="CQ227" s="47"/>
      <c r="CR227" s="47"/>
      <c r="CS227" s="47"/>
      <c r="CT227" s="47"/>
      <c r="CU227" s="47"/>
      <c r="CV227" s="47"/>
      <c r="CW227" s="47"/>
      <c r="CX227" s="47"/>
      <c r="CY227" s="47"/>
      <c r="CZ227" s="47"/>
      <c r="DA227" s="47"/>
      <c r="DB227" s="47"/>
      <c r="DC227" s="47"/>
      <c r="DD227" s="47"/>
      <c r="DE227" s="47"/>
      <c r="DF227" s="47"/>
      <c r="DG227" s="47"/>
      <c r="DH227" s="47"/>
      <c r="DI227" s="47"/>
      <c r="DJ227" s="47"/>
      <c r="DK227" s="47"/>
      <c r="DL227" s="47"/>
      <c r="DM227" s="47"/>
      <c r="DN227" s="47"/>
      <c r="DO227" s="47"/>
      <c r="DP227" s="47"/>
      <c r="DQ227" s="47"/>
      <c r="DR227" s="47"/>
      <c r="DS227" s="47"/>
      <c r="DT227" s="47"/>
      <c r="DU227" s="47"/>
      <c r="DV227" s="47"/>
      <c r="DW227" s="47"/>
      <c r="DX227" s="47"/>
      <c r="DY227" s="47"/>
      <c r="DZ227" s="219"/>
      <c r="EA227" s="231"/>
      <c r="EB227" s="231"/>
      <c r="EC227" s="231"/>
      <c r="ED227" s="231"/>
      <c r="EE227" s="231"/>
      <c r="EF227" s="231"/>
      <c r="EG227" s="231"/>
      <c r="EH227" s="231"/>
      <c r="EI227" s="231"/>
      <c r="EJ227" s="231"/>
      <c r="EK227" s="231"/>
      <c r="EL227" s="231"/>
      <c r="EM227" s="231"/>
      <c r="EN227" s="231"/>
      <c r="EO227" s="231"/>
      <c r="EP227" s="231"/>
      <c r="EQ227" s="231"/>
    </row>
    <row r="228" spans="1:147" ht="22.9" customHeight="1" outlineLevel="4" x14ac:dyDescent="0.2">
      <c r="A228" s="146" t="s">
        <v>748</v>
      </c>
      <c r="B228" s="53" t="s">
        <v>749</v>
      </c>
      <c r="C228" s="50" t="s">
        <v>100</v>
      </c>
      <c r="D228" s="165">
        <v>1</v>
      </c>
      <c r="E228" s="158">
        <v>1</v>
      </c>
      <c r="F228" s="52">
        <f>SUM(H228:DY228)*E228*Table1[[#This Row],[Cycles]]</f>
        <v>0</v>
      </c>
      <c r="G228" s="46">
        <f t="shared" si="65"/>
        <v>0</v>
      </c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219"/>
      <c r="EA228" s="231"/>
      <c r="EB228" s="231"/>
      <c r="EC228" s="231"/>
      <c r="ED228" s="231"/>
      <c r="EE228" s="231"/>
      <c r="EF228" s="231"/>
      <c r="EG228" s="231"/>
      <c r="EH228" s="231"/>
      <c r="EI228" s="231"/>
      <c r="EJ228" s="231"/>
      <c r="EK228" s="231"/>
      <c r="EL228" s="231"/>
      <c r="EM228" s="231"/>
      <c r="EN228" s="231"/>
      <c r="EO228" s="231"/>
      <c r="EP228" s="231"/>
      <c r="EQ228" s="231"/>
    </row>
    <row r="229" spans="1:147" ht="22.9" customHeight="1" outlineLevel="4" x14ac:dyDescent="0.2">
      <c r="A229" s="146" t="s">
        <v>750</v>
      </c>
      <c r="B229" s="53" t="s">
        <v>751</v>
      </c>
      <c r="C229" s="50" t="s">
        <v>100</v>
      </c>
      <c r="D229" s="165">
        <v>1</v>
      </c>
      <c r="E229" s="158">
        <v>1</v>
      </c>
      <c r="F229" s="52">
        <f>SUM(H229:DY229)*E229*Table1[[#This Row],[Cycles]]</f>
        <v>0</v>
      </c>
      <c r="G229" s="46">
        <f t="shared" si="65"/>
        <v>0</v>
      </c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  <c r="BD229" s="47"/>
      <c r="BE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  <c r="BS229" s="47"/>
      <c r="BT229" s="47"/>
      <c r="BU229" s="47"/>
      <c r="BV229" s="47"/>
      <c r="BW229" s="47"/>
      <c r="BX229" s="47"/>
      <c r="BY229" s="47"/>
      <c r="BZ229" s="47"/>
      <c r="CA229" s="47"/>
      <c r="CB229" s="47"/>
      <c r="CC229" s="47"/>
      <c r="CD229" s="47"/>
      <c r="CE229" s="47"/>
      <c r="CF229" s="47"/>
      <c r="CG229" s="47"/>
      <c r="CH229" s="47"/>
      <c r="CI229" s="47"/>
      <c r="CJ229" s="47"/>
      <c r="CK229" s="47"/>
      <c r="CL229" s="47"/>
      <c r="CM229" s="47"/>
      <c r="CN229" s="47"/>
      <c r="CO229" s="47"/>
      <c r="CP229" s="47"/>
      <c r="CQ229" s="47"/>
      <c r="CR229" s="47"/>
      <c r="CS229" s="47"/>
      <c r="CT229" s="47"/>
      <c r="CU229" s="47"/>
      <c r="CV229" s="47"/>
      <c r="CW229" s="47"/>
      <c r="CX229" s="47"/>
      <c r="CY229" s="47"/>
      <c r="CZ229" s="47"/>
      <c r="DA229" s="47"/>
      <c r="DB229" s="47"/>
      <c r="DC229" s="47"/>
      <c r="DD229" s="47"/>
      <c r="DE229" s="47"/>
      <c r="DF229" s="47"/>
      <c r="DG229" s="47"/>
      <c r="DH229" s="47"/>
      <c r="DI229" s="47"/>
      <c r="DJ229" s="47"/>
      <c r="DK229" s="47"/>
      <c r="DL229" s="47"/>
      <c r="DM229" s="47"/>
      <c r="DN229" s="47"/>
      <c r="DO229" s="47"/>
      <c r="DP229" s="47"/>
      <c r="DQ229" s="47"/>
      <c r="DR229" s="47"/>
      <c r="DS229" s="47"/>
      <c r="DT229" s="47"/>
      <c r="DU229" s="47"/>
      <c r="DV229" s="47"/>
      <c r="DW229" s="47"/>
      <c r="DX229" s="47"/>
      <c r="DY229" s="47"/>
      <c r="DZ229" s="219"/>
      <c r="EA229" s="231"/>
      <c r="EB229" s="231"/>
      <c r="EC229" s="231"/>
      <c r="ED229" s="231"/>
      <c r="EE229" s="231"/>
      <c r="EF229" s="231"/>
      <c r="EG229" s="231"/>
      <c r="EH229" s="231"/>
      <c r="EI229" s="231"/>
      <c r="EJ229" s="231"/>
      <c r="EK229" s="231"/>
      <c r="EL229" s="231"/>
      <c r="EM229" s="231"/>
      <c r="EN229" s="231"/>
      <c r="EO229" s="231"/>
      <c r="EP229" s="231"/>
      <c r="EQ229" s="231"/>
    </row>
    <row r="230" spans="1:147" ht="22.9" customHeight="1" outlineLevel="4" x14ac:dyDescent="0.2">
      <c r="A230" s="146" t="s">
        <v>795</v>
      </c>
      <c r="B230" s="53" t="s">
        <v>796</v>
      </c>
      <c r="C230" s="50" t="s">
        <v>100</v>
      </c>
      <c r="D230" s="165">
        <v>1</v>
      </c>
      <c r="E230" s="158">
        <v>1</v>
      </c>
      <c r="F230" s="52">
        <f>SUM(H230:DY230)*E230*Table1[[#This Row],[Cycles]]</f>
        <v>0</v>
      </c>
      <c r="G230" s="46">
        <f t="shared" si="65"/>
        <v>0</v>
      </c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  <c r="BD230" s="47"/>
      <c r="BE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  <c r="BS230" s="47"/>
      <c r="BT230" s="47"/>
      <c r="BU230" s="47"/>
      <c r="BV230" s="47"/>
      <c r="BW230" s="47"/>
      <c r="BX230" s="47"/>
      <c r="BY230" s="47"/>
      <c r="BZ230" s="47"/>
      <c r="CA230" s="47"/>
      <c r="CB230" s="47"/>
      <c r="CC230" s="47"/>
      <c r="CD230" s="47"/>
      <c r="CE230" s="47"/>
      <c r="CF230" s="47"/>
      <c r="CG230" s="47"/>
      <c r="CH230" s="47"/>
      <c r="CI230" s="47"/>
      <c r="CJ230" s="47"/>
      <c r="CK230" s="47"/>
      <c r="CL230" s="47"/>
      <c r="CM230" s="47"/>
      <c r="CN230" s="47"/>
      <c r="CO230" s="47"/>
      <c r="CP230" s="47"/>
      <c r="CQ230" s="47"/>
      <c r="CR230" s="47"/>
      <c r="CS230" s="47"/>
      <c r="CT230" s="47"/>
      <c r="CU230" s="47"/>
      <c r="CV230" s="47"/>
      <c r="CW230" s="47"/>
      <c r="CX230" s="47"/>
      <c r="CY230" s="47"/>
      <c r="CZ230" s="47"/>
      <c r="DA230" s="47"/>
      <c r="DB230" s="47"/>
      <c r="DC230" s="47"/>
      <c r="DD230" s="47"/>
      <c r="DE230" s="47"/>
      <c r="DF230" s="47"/>
      <c r="DG230" s="47"/>
      <c r="DH230" s="47"/>
      <c r="DI230" s="47"/>
      <c r="DJ230" s="47"/>
      <c r="DK230" s="47"/>
      <c r="DL230" s="47"/>
      <c r="DM230" s="47"/>
      <c r="DN230" s="47"/>
      <c r="DO230" s="47"/>
      <c r="DP230" s="47"/>
      <c r="DQ230" s="47"/>
      <c r="DR230" s="47"/>
      <c r="DS230" s="47"/>
      <c r="DT230" s="47"/>
      <c r="DU230" s="47"/>
      <c r="DV230" s="47"/>
      <c r="DW230" s="47"/>
      <c r="DX230" s="47"/>
      <c r="DY230" s="47"/>
      <c r="DZ230" s="219"/>
      <c r="EA230" s="231"/>
      <c r="EB230" s="231"/>
      <c r="EC230" s="231"/>
      <c r="ED230" s="231"/>
      <c r="EE230" s="231"/>
      <c r="EF230" s="231"/>
      <c r="EG230" s="231"/>
      <c r="EH230" s="231"/>
      <c r="EI230" s="231"/>
      <c r="EJ230" s="231"/>
      <c r="EK230" s="231"/>
      <c r="EL230" s="231"/>
      <c r="EM230" s="231"/>
      <c r="EN230" s="231"/>
      <c r="EO230" s="231"/>
      <c r="EP230" s="231"/>
      <c r="EQ230" s="231"/>
    </row>
    <row r="231" spans="1:147" ht="22.9" customHeight="1" outlineLevel="4" x14ac:dyDescent="0.2">
      <c r="A231" s="146" t="s">
        <v>797</v>
      </c>
      <c r="B231" s="53" t="s">
        <v>798</v>
      </c>
      <c r="C231" s="50" t="s">
        <v>100</v>
      </c>
      <c r="D231" s="165">
        <v>1</v>
      </c>
      <c r="E231" s="158">
        <v>1</v>
      </c>
      <c r="F231" s="52">
        <f>SUM(H231:EQ231)*E231*Table1[[#This Row],[Cycles]]</f>
        <v>0</v>
      </c>
      <c r="G231" s="46">
        <f>SUMPRODUCT($H$3:$EQ$3,$H231:$EQ231)*E231*D231</f>
        <v>0</v>
      </c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AR231" s="47"/>
      <c r="AS231" s="47"/>
      <c r="AT231" s="47"/>
      <c r="AU231" s="47"/>
      <c r="AV231" s="47"/>
      <c r="AW231" s="47"/>
      <c r="AX231" s="47"/>
      <c r="AY231" s="47"/>
      <c r="AZ231" s="47"/>
      <c r="BA231" s="47"/>
      <c r="BB231" s="47"/>
      <c r="BC231" s="47"/>
      <c r="BD231" s="47"/>
      <c r="BE231" s="47"/>
      <c r="BF231" s="47"/>
      <c r="BG231" s="47"/>
      <c r="BH231" s="47"/>
      <c r="BI231" s="47"/>
      <c r="BJ231" s="47"/>
      <c r="BK231" s="47"/>
      <c r="BL231" s="47"/>
      <c r="BM231" s="47"/>
      <c r="BN231" s="47"/>
      <c r="BO231" s="47"/>
      <c r="BP231" s="47"/>
      <c r="BQ231" s="47"/>
      <c r="BR231" s="47"/>
      <c r="BS231" s="47"/>
      <c r="BT231" s="47"/>
      <c r="BU231" s="47"/>
      <c r="BV231" s="47"/>
      <c r="BW231" s="47"/>
      <c r="BX231" s="47"/>
      <c r="BY231" s="47"/>
      <c r="BZ231" s="47"/>
      <c r="CA231" s="47"/>
      <c r="CB231" s="47"/>
      <c r="CC231" s="47"/>
      <c r="CD231" s="47"/>
      <c r="CE231" s="47"/>
      <c r="CF231" s="47"/>
      <c r="CG231" s="47"/>
      <c r="CH231" s="47"/>
      <c r="CI231" s="47"/>
      <c r="CJ231" s="47"/>
      <c r="CK231" s="47"/>
      <c r="CL231" s="47"/>
      <c r="CM231" s="47"/>
      <c r="CN231" s="47"/>
      <c r="CO231" s="47"/>
      <c r="CP231" s="47"/>
      <c r="CQ231" s="47"/>
      <c r="CR231" s="47"/>
      <c r="CS231" s="47"/>
      <c r="CT231" s="47"/>
      <c r="CU231" s="47"/>
      <c r="CV231" s="47"/>
      <c r="CW231" s="47"/>
      <c r="CX231" s="47"/>
      <c r="CY231" s="47"/>
      <c r="CZ231" s="47"/>
      <c r="DA231" s="47"/>
      <c r="DB231" s="47"/>
      <c r="DC231" s="47"/>
      <c r="DD231" s="47"/>
      <c r="DE231" s="47"/>
      <c r="DF231" s="47"/>
      <c r="DG231" s="47"/>
      <c r="DH231" s="47"/>
      <c r="DI231" s="47"/>
      <c r="DJ231" s="47"/>
      <c r="DK231" s="47"/>
      <c r="DL231" s="47"/>
      <c r="DM231" s="47"/>
      <c r="DN231" s="47"/>
      <c r="DO231" s="47"/>
      <c r="DP231" s="47"/>
      <c r="DQ231" s="47"/>
      <c r="DR231" s="47"/>
      <c r="DS231" s="47"/>
      <c r="DT231" s="47"/>
      <c r="DU231" s="47"/>
      <c r="DV231" s="47"/>
      <c r="DW231" s="47"/>
      <c r="DX231" s="47"/>
      <c r="DY231" s="47"/>
      <c r="DZ231" s="219"/>
      <c r="EA231" s="231"/>
      <c r="EB231" s="231"/>
      <c r="EC231" s="231"/>
      <c r="ED231" s="231"/>
      <c r="EE231" s="231"/>
      <c r="EF231" s="231"/>
      <c r="EG231" s="231"/>
      <c r="EH231" s="231"/>
      <c r="EI231" s="231"/>
      <c r="EJ231" s="231"/>
      <c r="EK231" s="231"/>
      <c r="EL231" s="231"/>
      <c r="EM231" s="231"/>
      <c r="EN231" s="231"/>
      <c r="EO231" s="231"/>
      <c r="EP231" s="231"/>
      <c r="EQ231" s="231"/>
    </row>
    <row r="232" spans="1:147" customFormat="1" ht="22.5" customHeight="1" outlineLevel="2" collapsed="1" x14ac:dyDescent="0.2">
      <c r="A232" s="169" t="s">
        <v>752</v>
      </c>
      <c r="B232" s="170" t="s">
        <v>753</v>
      </c>
      <c r="C232" s="171"/>
      <c r="D232" s="172"/>
      <c r="E232" s="173"/>
      <c r="F232" s="175">
        <f>SUM(F233:F244)</f>
        <v>0</v>
      </c>
      <c r="G232" s="213">
        <f>SUM(G233:G244)</f>
        <v>0</v>
      </c>
      <c r="H232" s="138">
        <f>SUM(H233:H244)</f>
        <v>0</v>
      </c>
      <c r="I232" s="138">
        <f>SUM(I233:I244)</f>
        <v>0</v>
      </c>
      <c r="J232" s="138">
        <f t="shared" ref="J232" si="66">SUM(J233:J244)</f>
        <v>0</v>
      </c>
      <c r="K232" s="138">
        <f t="shared" ref="K232" si="67">SUM(K233:K244)</f>
        <v>0</v>
      </c>
      <c r="L232" s="138">
        <f t="shared" ref="L232" si="68">SUM(L233:L244)</f>
        <v>0</v>
      </c>
      <c r="M232" s="138">
        <f t="shared" ref="M232" si="69">SUM(M233:M244)</f>
        <v>0</v>
      </c>
      <c r="N232" s="138">
        <f t="shared" ref="N232" si="70">SUM(N233:N244)</f>
        <v>0</v>
      </c>
      <c r="O232" s="138">
        <f t="shared" ref="O232" si="71">SUM(O233:O244)</f>
        <v>0</v>
      </c>
      <c r="P232" s="138">
        <f t="shared" ref="P232" si="72">SUM(P233:P244)</f>
        <v>0</v>
      </c>
      <c r="Q232" s="138">
        <f t="shared" ref="Q232" si="73">SUM(Q233:Q244)</f>
        <v>0</v>
      </c>
      <c r="R232" s="138">
        <f t="shared" ref="R232" si="74">SUM(R233:R244)</f>
        <v>0</v>
      </c>
      <c r="S232" s="138">
        <f t="shared" ref="S232" si="75">SUM(S233:S244)</f>
        <v>0</v>
      </c>
      <c r="T232" s="138">
        <f t="shared" ref="T232" si="76">SUM(T233:T244)</f>
        <v>0</v>
      </c>
      <c r="U232" s="138">
        <f t="shared" ref="U232" si="77">SUM(U233:U244)</f>
        <v>0</v>
      </c>
      <c r="V232" s="138">
        <f t="shared" ref="V232" si="78">SUM(V233:V244)</f>
        <v>0</v>
      </c>
      <c r="W232" s="138">
        <f t="shared" ref="W232" si="79">SUM(W233:W244)</f>
        <v>0</v>
      </c>
      <c r="X232" s="138">
        <f t="shared" ref="X232" si="80">SUM(X233:X244)</f>
        <v>0</v>
      </c>
      <c r="Y232" s="138">
        <f t="shared" ref="Y232" si="81">SUM(Y233:Y244)</f>
        <v>0</v>
      </c>
      <c r="Z232" s="138">
        <f t="shared" ref="Z232" si="82">SUM(Z233:Z244)</f>
        <v>0</v>
      </c>
      <c r="AA232" s="138">
        <f t="shared" ref="AA232" si="83">SUM(AA233:AA244)</f>
        <v>0</v>
      </c>
      <c r="AB232" s="138">
        <f t="shared" ref="AB232" si="84">SUM(AB233:AB244)</f>
        <v>0</v>
      </c>
      <c r="AC232" s="138">
        <f t="shared" ref="AC232" si="85">SUM(AC233:AC244)</f>
        <v>0</v>
      </c>
      <c r="AD232" s="138">
        <f t="shared" ref="AD232" si="86">SUM(AD233:AD244)</f>
        <v>0</v>
      </c>
      <c r="AE232" s="138">
        <f t="shared" ref="AE232" si="87">SUM(AE233:AE244)</f>
        <v>0</v>
      </c>
      <c r="AF232" s="138">
        <f t="shared" ref="AF232" si="88">SUM(AF233:AF244)</f>
        <v>0</v>
      </c>
      <c r="AG232" s="138">
        <f t="shared" ref="AG232" si="89">SUM(AG233:AG244)</f>
        <v>0</v>
      </c>
      <c r="AH232" s="138">
        <f t="shared" ref="AH232" si="90">SUM(AH233:AH244)</f>
        <v>0</v>
      </c>
      <c r="AI232" s="138">
        <f t="shared" ref="AI232" si="91">SUM(AI233:AI244)</f>
        <v>0</v>
      </c>
      <c r="AJ232" s="138">
        <f t="shared" ref="AJ232" si="92">SUM(AJ233:AJ244)</f>
        <v>0</v>
      </c>
      <c r="AK232" s="138">
        <f t="shared" ref="AK232" si="93">SUM(AK233:AK244)</f>
        <v>0</v>
      </c>
      <c r="AL232" s="138">
        <f t="shared" ref="AL232" si="94">SUM(AL233:AL244)</f>
        <v>0</v>
      </c>
      <c r="AM232" s="138">
        <f t="shared" ref="AM232" si="95">SUM(AM233:AM244)</f>
        <v>0</v>
      </c>
      <c r="AN232" s="138">
        <f t="shared" ref="AN232" si="96">SUM(AN233:AN244)</f>
        <v>0</v>
      </c>
      <c r="AO232" s="138">
        <f t="shared" ref="AO232" si="97">SUM(AO233:AO244)</f>
        <v>0</v>
      </c>
      <c r="AP232" s="138">
        <f t="shared" ref="AP232" si="98">SUM(AP233:AP244)</f>
        <v>0</v>
      </c>
      <c r="AQ232" s="138">
        <f t="shared" ref="AQ232" si="99">SUM(AQ233:AQ244)</f>
        <v>0</v>
      </c>
      <c r="AR232" s="138">
        <f t="shared" ref="AR232" si="100">SUM(AR233:AR244)</f>
        <v>0</v>
      </c>
      <c r="AS232" s="138">
        <f t="shared" ref="AS232" si="101">SUM(AS233:AS244)</f>
        <v>0</v>
      </c>
      <c r="AT232" s="138">
        <f t="shared" ref="AT232" si="102">SUM(AT233:AT244)</f>
        <v>0</v>
      </c>
      <c r="AU232" s="138">
        <f t="shared" ref="AU232" si="103">SUM(AU233:AU244)</f>
        <v>0</v>
      </c>
      <c r="AV232" s="138">
        <f t="shared" ref="AV232" si="104">SUM(AV233:AV244)</f>
        <v>0</v>
      </c>
      <c r="AW232" s="138">
        <f t="shared" ref="AW232" si="105">SUM(AW233:AW244)</f>
        <v>0</v>
      </c>
      <c r="AX232" s="138">
        <f t="shared" ref="AX232" si="106">SUM(AX233:AX244)</f>
        <v>0</v>
      </c>
      <c r="AY232" s="138">
        <f t="shared" ref="AY232" si="107">SUM(AY233:AY244)</f>
        <v>0</v>
      </c>
      <c r="AZ232" s="138">
        <f t="shared" ref="AZ232" si="108">SUM(AZ233:AZ244)</f>
        <v>0</v>
      </c>
      <c r="BA232" s="138">
        <f t="shared" ref="BA232" si="109">SUM(BA233:BA244)</f>
        <v>0</v>
      </c>
      <c r="BB232" s="138">
        <f t="shared" ref="BB232" si="110">SUM(BB233:BB244)</f>
        <v>0</v>
      </c>
      <c r="BC232" s="138">
        <f t="shared" ref="BC232" si="111">SUM(BC233:BC244)</f>
        <v>0</v>
      </c>
      <c r="BD232" s="138">
        <f t="shared" ref="BD232" si="112">SUM(BD233:BD244)</f>
        <v>0</v>
      </c>
      <c r="BE232" s="138">
        <f t="shared" ref="BE232" si="113">SUM(BE233:BE244)</f>
        <v>0</v>
      </c>
      <c r="BF232" s="138">
        <f t="shared" ref="BF232" si="114">SUM(BF233:BF244)</f>
        <v>0</v>
      </c>
      <c r="BG232" s="138">
        <f t="shared" ref="BG232" si="115">SUM(BG233:BG244)</f>
        <v>0</v>
      </c>
      <c r="BH232" s="138">
        <f t="shared" ref="BH232" si="116">SUM(BH233:BH244)</f>
        <v>0</v>
      </c>
      <c r="BI232" s="138">
        <f t="shared" ref="BI232" si="117">SUM(BI233:BI244)</f>
        <v>0</v>
      </c>
      <c r="BJ232" s="138">
        <f t="shared" ref="BJ232" si="118">SUM(BJ233:BJ244)</f>
        <v>0</v>
      </c>
      <c r="BK232" s="138">
        <f t="shared" ref="BK232" si="119">SUM(BK233:BK244)</f>
        <v>0</v>
      </c>
      <c r="BL232" s="138">
        <f t="shared" ref="BL232" si="120">SUM(BL233:BL244)</f>
        <v>0</v>
      </c>
      <c r="BM232" s="138">
        <f t="shared" ref="BM232" si="121">SUM(BM233:BM244)</f>
        <v>0</v>
      </c>
      <c r="BN232" s="138">
        <f t="shared" ref="BN232" si="122">SUM(BN233:BN244)</f>
        <v>0</v>
      </c>
      <c r="BO232" s="138">
        <f t="shared" ref="BO232" si="123">SUM(BO233:BO244)</f>
        <v>0</v>
      </c>
      <c r="BP232" s="138">
        <f t="shared" ref="BP232" si="124">SUM(BP233:BP244)</f>
        <v>0</v>
      </c>
      <c r="BQ232" s="138">
        <f t="shared" ref="BQ232" si="125">SUM(BQ233:BQ244)</f>
        <v>0</v>
      </c>
      <c r="BR232" s="138">
        <f t="shared" ref="BR232" si="126">SUM(BR233:BR244)</f>
        <v>0</v>
      </c>
      <c r="BS232" s="138">
        <f t="shared" ref="BS232" si="127">SUM(BS233:BS244)</f>
        <v>0</v>
      </c>
      <c r="BT232" s="138">
        <f t="shared" ref="BT232" si="128">SUM(BT233:BT244)</f>
        <v>0</v>
      </c>
      <c r="BU232" s="138">
        <f t="shared" ref="BU232" si="129">SUM(BU233:BU244)</f>
        <v>0</v>
      </c>
      <c r="BV232" s="138">
        <f t="shared" ref="BV232" si="130">SUM(BV233:BV244)</f>
        <v>0</v>
      </c>
      <c r="BW232" s="138">
        <f t="shared" ref="BW232" si="131">SUM(BW233:BW244)</f>
        <v>0</v>
      </c>
      <c r="BX232" s="138">
        <f t="shared" ref="BX232" si="132">SUM(BX233:BX244)</f>
        <v>0</v>
      </c>
      <c r="BY232" s="138">
        <f t="shared" ref="BY232" si="133">SUM(BY233:BY244)</f>
        <v>0</v>
      </c>
      <c r="BZ232" s="138">
        <f t="shared" ref="BZ232" si="134">SUM(BZ233:BZ244)</f>
        <v>0</v>
      </c>
      <c r="CA232" s="138">
        <f t="shared" ref="CA232" si="135">SUM(CA233:CA244)</f>
        <v>0</v>
      </c>
      <c r="CB232" s="138">
        <f t="shared" ref="CB232" si="136">SUM(CB233:CB244)</f>
        <v>0</v>
      </c>
      <c r="CC232" s="138">
        <f t="shared" ref="CC232" si="137">SUM(CC233:CC244)</f>
        <v>0</v>
      </c>
      <c r="CD232" s="138">
        <f t="shared" ref="CD232" si="138">SUM(CD233:CD244)</f>
        <v>0</v>
      </c>
      <c r="CE232" s="138">
        <f t="shared" ref="CE232" si="139">SUM(CE233:CE244)</f>
        <v>0</v>
      </c>
      <c r="CF232" s="138">
        <f t="shared" ref="CF232" si="140">SUM(CF233:CF244)</f>
        <v>0</v>
      </c>
      <c r="CG232" s="138">
        <f t="shared" ref="CG232" si="141">SUM(CG233:CG244)</f>
        <v>0</v>
      </c>
      <c r="CH232" s="138">
        <f t="shared" ref="CH232" si="142">SUM(CH233:CH244)</f>
        <v>0</v>
      </c>
      <c r="CI232" s="138">
        <f t="shared" ref="CI232" si="143">SUM(CI233:CI244)</f>
        <v>0</v>
      </c>
      <c r="CJ232" s="138">
        <f t="shared" ref="CJ232" si="144">SUM(CJ233:CJ244)</f>
        <v>0</v>
      </c>
      <c r="CK232" s="138">
        <f t="shared" ref="CK232" si="145">SUM(CK233:CK244)</f>
        <v>0</v>
      </c>
      <c r="CL232" s="138">
        <f t="shared" ref="CL232" si="146">SUM(CL233:CL244)</f>
        <v>0</v>
      </c>
      <c r="CM232" s="138">
        <f t="shared" ref="CM232" si="147">SUM(CM233:CM244)</f>
        <v>0</v>
      </c>
      <c r="CN232" s="138">
        <f t="shared" ref="CN232" si="148">SUM(CN233:CN244)</f>
        <v>0</v>
      </c>
      <c r="CO232" s="138">
        <f t="shared" ref="CO232" si="149">SUM(CO233:CO244)</f>
        <v>0</v>
      </c>
      <c r="CP232" s="138">
        <f t="shared" ref="CP232" si="150">SUM(CP233:CP244)</f>
        <v>0</v>
      </c>
      <c r="CQ232" s="138">
        <f t="shared" ref="CQ232" si="151">SUM(CQ233:CQ244)</f>
        <v>0</v>
      </c>
      <c r="CR232" s="138">
        <f t="shared" ref="CR232" si="152">SUM(CR233:CR244)</f>
        <v>0</v>
      </c>
      <c r="CS232" s="138">
        <f t="shared" ref="CS232" si="153">SUM(CS233:CS244)</f>
        <v>0</v>
      </c>
      <c r="CT232" s="138">
        <f t="shared" ref="CT232" si="154">SUM(CT233:CT244)</f>
        <v>0</v>
      </c>
      <c r="CU232" s="138">
        <f t="shared" ref="CU232" si="155">SUM(CU233:CU244)</f>
        <v>0</v>
      </c>
      <c r="CV232" s="138">
        <f t="shared" ref="CV232" si="156">SUM(CV233:CV244)</f>
        <v>0</v>
      </c>
      <c r="CW232" s="138">
        <f t="shared" ref="CW232" si="157">SUM(CW233:CW244)</f>
        <v>0</v>
      </c>
      <c r="CX232" s="138">
        <f t="shared" ref="CX232" si="158">SUM(CX233:CX244)</f>
        <v>0</v>
      </c>
      <c r="CY232" s="138">
        <f t="shared" ref="CY232" si="159">SUM(CY233:CY244)</f>
        <v>0</v>
      </c>
      <c r="CZ232" s="138">
        <f t="shared" ref="CZ232" si="160">SUM(CZ233:CZ244)</f>
        <v>0</v>
      </c>
      <c r="DA232" s="138">
        <f t="shared" ref="DA232" si="161">SUM(DA233:DA244)</f>
        <v>0</v>
      </c>
      <c r="DB232" s="138">
        <f t="shared" ref="DB232" si="162">SUM(DB233:DB244)</f>
        <v>0</v>
      </c>
      <c r="DC232" s="138">
        <f t="shared" ref="DC232" si="163">SUM(DC233:DC244)</f>
        <v>0</v>
      </c>
      <c r="DD232" s="138">
        <f t="shared" ref="DD232" si="164">SUM(DD233:DD244)</f>
        <v>0</v>
      </c>
      <c r="DE232" s="138">
        <f t="shared" ref="DE232" si="165">SUM(DE233:DE244)</f>
        <v>0</v>
      </c>
      <c r="DF232" s="138">
        <f t="shared" ref="DF232" si="166">SUM(DF233:DF244)</f>
        <v>0</v>
      </c>
      <c r="DG232" s="138">
        <f t="shared" ref="DG232" si="167">SUM(DG233:DG244)</f>
        <v>0</v>
      </c>
      <c r="DH232" s="138">
        <f t="shared" ref="DH232" si="168">SUM(DH233:DH244)</f>
        <v>0</v>
      </c>
      <c r="DI232" s="138">
        <f t="shared" ref="DI232" si="169">SUM(DI233:DI244)</f>
        <v>0</v>
      </c>
      <c r="DJ232" s="138">
        <f t="shared" ref="DJ232" si="170">SUM(DJ233:DJ244)</f>
        <v>0</v>
      </c>
      <c r="DK232" s="138">
        <f t="shared" ref="DK232" si="171">SUM(DK233:DK244)</f>
        <v>0</v>
      </c>
      <c r="DL232" s="138">
        <f t="shared" ref="DL232" si="172">SUM(DL233:DL244)</f>
        <v>0</v>
      </c>
      <c r="DM232" s="138">
        <f t="shared" ref="DM232" si="173">SUM(DM233:DM244)</f>
        <v>0</v>
      </c>
      <c r="DN232" s="138">
        <f t="shared" ref="DN232" si="174">SUM(DN233:DN244)</f>
        <v>0</v>
      </c>
      <c r="DO232" s="138">
        <f t="shared" ref="DO232" si="175">SUM(DO233:DO244)</f>
        <v>0</v>
      </c>
      <c r="DP232" s="138">
        <f t="shared" ref="DP232" si="176">SUM(DP233:DP244)</f>
        <v>0</v>
      </c>
      <c r="DQ232" s="138">
        <f t="shared" ref="DQ232" si="177">SUM(DQ233:DQ244)</f>
        <v>0</v>
      </c>
      <c r="DR232" s="138">
        <f t="shared" ref="DR232" si="178">SUM(DR233:DR244)</f>
        <v>0</v>
      </c>
      <c r="DS232" s="138">
        <f t="shared" ref="DS232" si="179">SUM(DS233:DS244)</f>
        <v>0</v>
      </c>
      <c r="DT232" s="138">
        <f t="shared" ref="DT232" si="180">SUM(DT233:DT244)</f>
        <v>0</v>
      </c>
      <c r="DU232" s="138">
        <f t="shared" ref="DU232" si="181">SUM(DU233:DU244)</f>
        <v>0</v>
      </c>
      <c r="DV232" s="138">
        <f t="shared" ref="DV232" si="182">SUM(DV233:DV244)</f>
        <v>0</v>
      </c>
      <c r="DW232" s="138">
        <f t="shared" ref="DW232" si="183">SUM(DW233:DW244)</f>
        <v>0</v>
      </c>
      <c r="DX232" s="138">
        <f t="shared" ref="DX232" si="184">SUM(DX233:DX244)</f>
        <v>0</v>
      </c>
      <c r="DY232" s="138">
        <f t="shared" ref="DY232" si="185">SUM(DY233:DY244)</f>
        <v>0</v>
      </c>
      <c r="DZ232" s="218"/>
      <c r="EA232" s="231"/>
      <c r="EB232" s="231"/>
      <c r="EC232" s="231"/>
      <c r="ED232" s="231"/>
      <c r="EE232" s="231"/>
      <c r="EF232" s="231"/>
      <c r="EG232" s="231"/>
      <c r="EH232" s="231"/>
      <c r="EI232" s="231"/>
      <c r="EJ232" s="231"/>
      <c r="EK232" s="231"/>
      <c r="EL232" s="231"/>
      <c r="EM232" s="231"/>
      <c r="EN232" s="231"/>
      <c r="EO232" s="231"/>
      <c r="EP232" s="231"/>
      <c r="EQ232" s="231"/>
    </row>
    <row r="233" spans="1:147" ht="22.9" hidden="1" customHeight="1" outlineLevel="4" x14ac:dyDescent="0.2">
      <c r="A233" s="146" t="s">
        <v>754</v>
      </c>
      <c r="B233" s="53" t="s">
        <v>755</v>
      </c>
      <c r="C233" s="50" t="s">
        <v>100</v>
      </c>
      <c r="D233" s="165" t="s">
        <v>454</v>
      </c>
      <c r="E233" s="158">
        <v>1</v>
      </c>
      <c r="F233" s="52">
        <f>SUM(H233:DY233)*E233*Table1[[#This Row],[Cycles]]</f>
        <v>0</v>
      </c>
      <c r="G233" s="46">
        <f>SUMPRODUCT($H$3:$DY$3,$H233:$DY233)*E233*D233</f>
        <v>0</v>
      </c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4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221"/>
      <c r="EA233" s="231"/>
      <c r="EB233" s="231"/>
      <c r="EC233" s="231"/>
      <c r="ED233" s="231"/>
      <c r="EE233" s="231"/>
      <c r="EF233" s="231"/>
      <c r="EG233" s="231"/>
      <c r="EH233" s="231"/>
      <c r="EI233" s="231"/>
      <c r="EJ233" s="231"/>
      <c r="EK233" s="231"/>
      <c r="EL233" s="231"/>
      <c r="EM233" s="231"/>
      <c r="EN233" s="231"/>
      <c r="EO233" s="231"/>
      <c r="EP233" s="231"/>
      <c r="EQ233" s="231"/>
    </row>
    <row r="234" spans="1:147" ht="22.9" hidden="1" customHeight="1" outlineLevel="4" x14ac:dyDescent="0.2">
      <c r="A234" s="146" t="s">
        <v>756</v>
      </c>
      <c r="B234" s="53" t="s">
        <v>757</v>
      </c>
      <c r="C234" s="50" t="s">
        <v>100</v>
      </c>
      <c r="D234" s="165" t="s">
        <v>454</v>
      </c>
      <c r="E234" s="158">
        <v>1</v>
      </c>
      <c r="F234" s="52">
        <f>SUM(H234:DY234)*E234*Table1[[#This Row],[Cycles]]</f>
        <v>0</v>
      </c>
      <c r="G234" s="46">
        <f>SUMPRODUCT($H$3:$DY$3,$H234:$DY234)*E234*D234</f>
        <v>0</v>
      </c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BL234" s="94"/>
      <c r="BM234" s="94"/>
      <c r="BN234" s="94"/>
      <c r="BO234" s="94"/>
      <c r="BP234" s="115"/>
      <c r="BQ234" s="115"/>
      <c r="BR234" s="115"/>
      <c r="BS234" s="115"/>
      <c r="BT234" s="115"/>
      <c r="BU234" s="115"/>
      <c r="BV234" s="94"/>
      <c r="BW234" s="94"/>
      <c r="BX234" s="94"/>
      <c r="BY234" s="94"/>
      <c r="BZ234" s="94"/>
      <c r="CA234" s="94"/>
      <c r="CB234" s="94"/>
      <c r="CC234" s="94"/>
      <c r="CD234" s="94"/>
      <c r="CE234" s="94"/>
      <c r="CF234" s="94"/>
      <c r="CG234" s="94"/>
      <c r="CH234" s="94"/>
      <c r="CI234" s="94"/>
      <c r="CJ234" s="94"/>
      <c r="CK234" s="94"/>
      <c r="CL234" s="94"/>
      <c r="CM234" s="94"/>
      <c r="CN234" s="94"/>
      <c r="CO234" s="94"/>
      <c r="CP234" s="94"/>
      <c r="CQ234" s="94"/>
      <c r="CR234" s="94"/>
      <c r="CS234" s="94"/>
      <c r="CT234" s="94"/>
      <c r="CU234" s="94"/>
      <c r="CV234" s="94"/>
      <c r="CW234" s="94"/>
      <c r="CX234" s="94"/>
      <c r="CY234" s="94"/>
      <c r="CZ234" s="94"/>
      <c r="DA234" s="94"/>
      <c r="DB234" s="94"/>
      <c r="DC234" s="94"/>
      <c r="DD234" s="94"/>
      <c r="DE234" s="94"/>
      <c r="DF234" s="94"/>
      <c r="DG234" s="94"/>
      <c r="DH234" s="94"/>
      <c r="DI234" s="94"/>
      <c r="DJ234" s="94"/>
      <c r="DK234" s="94"/>
      <c r="DL234" s="94"/>
      <c r="DM234" s="94"/>
      <c r="DN234" s="94"/>
      <c r="DO234" s="94"/>
      <c r="DP234" s="94"/>
      <c r="DQ234" s="94"/>
      <c r="DR234" s="94"/>
      <c r="DS234" s="94"/>
      <c r="DT234" s="94"/>
      <c r="DU234" s="94"/>
      <c r="DV234" s="94"/>
      <c r="DW234" s="94"/>
      <c r="DX234" s="94"/>
      <c r="DY234" s="94"/>
      <c r="DZ234" s="218"/>
      <c r="EA234" s="231"/>
      <c r="EB234" s="231"/>
      <c r="EC234" s="231"/>
      <c r="ED234" s="231"/>
      <c r="EE234" s="231"/>
      <c r="EF234" s="231"/>
      <c r="EG234" s="231"/>
      <c r="EH234" s="231"/>
      <c r="EI234" s="231"/>
      <c r="EJ234" s="231"/>
      <c r="EK234" s="231"/>
      <c r="EL234" s="231"/>
      <c r="EM234" s="231"/>
      <c r="EN234" s="231"/>
      <c r="EO234" s="231"/>
      <c r="EP234" s="231"/>
      <c r="EQ234" s="231"/>
    </row>
    <row r="235" spans="1:147" ht="22.9" hidden="1" customHeight="1" outlineLevel="4" x14ac:dyDescent="0.2">
      <c r="A235" s="146" t="s">
        <v>758</v>
      </c>
      <c r="B235" s="53" t="s">
        <v>759</v>
      </c>
      <c r="C235" s="50" t="s">
        <v>100</v>
      </c>
      <c r="D235" s="165" t="s">
        <v>454</v>
      </c>
      <c r="E235" s="158">
        <v>1</v>
      </c>
      <c r="F235" s="52">
        <f>SUM(H235:DY235)*E235*Table1[[#This Row],[Cycles]]</f>
        <v>0</v>
      </c>
      <c r="G235" s="46">
        <f t="shared" ref="G235:G244" si="186">SUMPRODUCT($H$3:$DY$3,$H235:$DY235)*E235*D235</f>
        <v>0</v>
      </c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BL235" s="94"/>
      <c r="BM235" s="94"/>
      <c r="BN235" s="94"/>
      <c r="BO235" s="94"/>
      <c r="BP235" s="115"/>
      <c r="BQ235" s="115"/>
      <c r="BR235" s="115"/>
      <c r="BS235" s="115"/>
      <c r="BT235" s="115"/>
      <c r="BU235" s="115"/>
      <c r="BV235" s="94"/>
      <c r="BW235" s="94"/>
      <c r="BX235" s="94"/>
      <c r="BY235" s="94"/>
      <c r="BZ235" s="94"/>
      <c r="CA235" s="94"/>
      <c r="CB235" s="94"/>
      <c r="CC235" s="94"/>
      <c r="CD235" s="94"/>
      <c r="CE235" s="94"/>
      <c r="CF235" s="94"/>
      <c r="CG235" s="94"/>
      <c r="CH235" s="94"/>
      <c r="CI235" s="94"/>
      <c r="CJ235" s="94"/>
      <c r="CK235" s="94"/>
      <c r="CL235" s="94"/>
      <c r="CM235" s="94"/>
      <c r="CN235" s="94"/>
      <c r="CO235" s="94"/>
      <c r="CP235" s="94"/>
      <c r="CQ235" s="94"/>
      <c r="CR235" s="94"/>
      <c r="CS235" s="94"/>
      <c r="CT235" s="94"/>
      <c r="CU235" s="94"/>
      <c r="CV235" s="94"/>
      <c r="CW235" s="94"/>
      <c r="CX235" s="94"/>
      <c r="CY235" s="94"/>
      <c r="CZ235" s="94"/>
      <c r="DA235" s="94"/>
      <c r="DB235" s="94"/>
      <c r="DC235" s="94"/>
      <c r="DD235" s="94"/>
      <c r="DE235" s="94"/>
      <c r="DF235" s="94"/>
      <c r="DG235" s="94"/>
      <c r="DH235" s="94"/>
      <c r="DI235" s="94"/>
      <c r="DJ235" s="94"/>
      <c r="DK235" s="94"/>
      <c r="DL235" s="94"/>
      <c r="DM235" s="94"/>
      <c r="DN235" s="94"/>
      <c r="DO235" s="94"/>
      <c r="DP235" s="94"/>
      <c r="DQ235" s="94"/>
      <c r="DR235" s="94"/>
      <c r="DS235" s="94"/>
      <c r="DT235" s="94"/>
      <c r="DU235" s="94"/>
      <c r="DV235" s="94"/>
      <c r="DW235" s="94"/>
      <c r="DX235" s="94"/>
      <c r="DY235" s="94"/>
      <c r="DZ235" s="218"/>
      <c r="EA235" s="231"/>
      <c r="EB235" s="231"/>
      <c r="EC235" s="231"/>
      <c r="ED235" s="231"/>
      <c r="EE235" s="231"/>
      <c r="EF235" s="231"/>
      <c r="EG235" s="231"/>
      <c r="EH235" s="231"/>
      <c r="EI235" s="231"/>
      <c r="EJ235" s="231"/>
      <c r="EK235" s="231"/>
      <c r="EL235" s="231"/>
      <c r="EM235" s="231"/>
      <c r="EN235" s="231"/>
      <c r="EO235" s="231"/>
      <c r="EP235" s="231"/>
      <c r="EQ235" s="231"/>
    </row>
    <row r="236" spans="1:147" ht="22.9" hidden="1" customHeight="1" outlineLevel="4" x14ac:dyDescent="0.2">
      <c r="A236" s="146" t="s">
        <v>760</v>
      </c>
      <c r="B236" s="53" t="s">
        <v>761</v>
      </c>
      <c r="C236" s="50" t="s">
        <v>100</v>
      </c>
      <c r="D236" s="165" t="s">
        <v>454</v>
      </c>
      <c r="E236" s="158">
        <v>1</v>
      </c>
      <c r="F236" s="52">
        <f>SUM(H236:DY236)*E236*Table1[[#This Row],[Cycles]]</f>
        <v>0</v>
      </c>
      <c r="G236" s="46">
        <f t="shared" si="186"/>
        <v>0</v>
      </c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BL236" s="94"/>
      <c r="BM236" s="94"/>
      <c r="BN236" s="94"/>
      <c r="BO236" s="94"/>
      <c r="BP236" s="115"/>
      <c r="BQ236" s="115"/>
      <c r="BR236" s="115"/>
      <c r="BS236" s="115"/>
      <c r="BT236" s="115"/>
      <c r="BU236" s="115"/>
      <c r="BV236" s="94"/>
      <c r="BW236" s="94"/>
      <c r="BX236" s="94"/>
      <c r="BY236" s="94"/>
      <c r="BZ236" s="94"/>
      <c r="CA236" s="94"/>
      <c r="CB236" s="94"/>
      <c r="CC236" s="94"/>
      <c r="CD236" s="94"/>
      <c r="CE236" s="94"/>
      <c r="CF236" s="94"/>
      <c r="CG236" s="94"/>
      <c r="CH236" s="94"/>
      <c r="CI236" s="94"/>
      <c r="CJ236" s="94"/>
      <c r="CK236" s="94"/>
      <c r="CL236" s="94"/>
      <c r="CM236" s="94"/>
      <c r="CN236" s="94"/>
      <c r="CO236" s="94"/>
      <c r="CP236" s="94"/>
      <c r="CQ236" s="94"/>
      <c r="CR236" s="94"/>
      <c r="CS236" s="94"/>
      <c r="CT236" s="94"/>
      <c r="CU236" s="94"/>
      <c r="CV236" s="94"/>
      <c r="CW236" s="94"/>
      <c r="CX236" s="94"/>
      <c r="CY236" s="94"/>
      <c r="CZ236" s="94"/>
      <c r="DA236" s="94"/>
      <c r="DB236" s="94"/>
      <c r="DC236" s="94"/>
      <c r="DD236" s="94"/>
      <c r="DE236" s="94"/>
      <c r="DF236" s="94"/>
      <c r="DG236" s="94"/>
      <c r="DH236" s="94"/>
      <c r="DI236" s="94"/>
      <c r="DJ236" s="94"/>
      <c r="DK236" s="94"/>
      <c r="DL236" s="94"/>
      <c r="DM236" s="94"/>
      <c r="DN236" s="94"/>
      <c r="DO236" s="94"/>
      <c r="DP236" s="94"/>
      <c r="DQ236" s="94"/>
      <c r="DR236" s="94"/>
      <c r="DS236" s="94"/>
      <c r="DT236" s="94"/>
      <c r="DU236" s="94"/>
      <c r="DV236" s="94"/>
      <c r="DW236" s="94"/>
      <c r="DX236" s="94"/>
      <c r="DY236" s="94"/>
      <c r="DZ236" s="218"/>
      <c r="EA236" s="231"/>
      <c r="EB236" s="231"/>
      <c r="EC236" s="231"/>
      <c r="ED236" s="231"/>
      <c r="EE236" s="231"/>
      <c r="EF236" s="231"/>
      <c r="EG236" s="231"/>
      <c r="EH236" s="231"/>
      <c r="EI236" s="231"/>
      <c r="EJ236" s="231"/>
      <c r="EK236" s="231"/>
      <c r="EL236" s="231"/>
      <c r="EM236" s="231"/>
      <c r="EN236" s="231"/>
      <c r="EO236" s="231"/>
      <c r="EP236" s="231"/>
      <c r="EQ236" s="231"/>
    </row>
    <row r="237" spans="1:147" ht="22.9" hidden="1" customHeight="1" outlineLevel="4" x14ac:dyDescent="0.2">
      <c r="A237" s="146" t="s">
        <v>762</v>
      </c>
      <c r="B237" s="53" t="s">
        <v>763</v>
      </c>
      <c r="C237" s="50" t="s">
        <v>100</v>
      </c>
      <c r="D237" s="165" t="s">
        <v>454</v>
      </c>
      <c r="E237" s="158">
        <v>1</v>
      </c>
      <c r="F237" s="52">
        <f>SUM(H237:DY237)*E237*Table1[[#This Row],[Cycles]]</f>
        <v>0</v>
      </c>
      <c r="G237" s="46">
        <f t="shared" si="186"/>
        <v>0</v>
      </c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BL237" s="94"/>
      <c r="BM237" s="94"/>
      <c r="BN237" s="94"/>
      <c r="BO237" s="94"/>
      <c r="BP237" s="115"/>
      <c r="BQ237" s="115"/>
      <c r="BR237" s="115"/>
      <c r="BS237" s="115"/>
      <c r="BT237" s="115"/>
      <c r="BU237" s="115"/>
      <c r="BV237" s="94"/>
      <c r="BW237" s="94"/>
      <c r="BX237" s="94"/>
      <c r="BY237" s="94"/>
      <c r="BZ237" s="94"/>
      <c r="CA237" s="94"/>
      <c r="CB237" s="94"/>
      <c r="CC237" s="94"/>
      <c r="CD237" s="94"/>
      <c r="CE237" s="94"/>
      <c r="CF237" s="94"/>
      <c r="CG237" s="94"/>
      <c r="CH237" s="94"/>
      <c r="CI237" s="94"/>
      <c r="CJ237" s="94"/>
      <c r="CK237" s="94"/>
      <c r="CL237" s="94"/>
      <c r="CM237" s="94"/>
      <c r="CN237" s="94"/>
      <c r="CO237" s="94"/>
      <c r="CP237" s="94"/>
      <c r="CQ237" s="94"/>
      <c r="CR237" s="94"/>
      <c r="CS237" s="94"/>
      <c r="CT237" s="94"/>
      <c r="CU237" s="94"/>
      <c r="CV237" s="94"/>
      <c r="CW237" s="94"/>
      <c r="CX237" s="94"/>
      <c r="CY237" s="94"/>
      <c r="CZ237" s="94"/>
      <c r="DA237" s="94"/>
      <c r="DB237" s="94"/>
      <c r="DC237" s="94"/>
      <c r="DD237" s="94"/>
      <c r="DE237" s="94"/>
      <c r="DF237" s="94"/>
      <c r="DG237" s="94"/>
      <c r="DH237" s="94"/>
      <c r="DI237" s="94"/>
      <c r="DJ237" s="94"/>
      <c r="DK237" s="94"/>
      <c r="DL237" s="94"/>
      <c r="DM237" s="94"/>
      <c r="DN237" s="94"/>
      <c r="DO237" s="94"/>
      <c r="DP237" s="94"/>
      <c r="DQ237" s="94"/>
      <c r="DR237" s="94"/>
      <c r="DS237" s="94"/>
      <c r="DT237" s="94"/>
      <c r="DU237" s="94"/>
      <c r="DV237" s="94"/>
      <c r="DW237" s="94"/>
      <c r="DX237" s="94"/>
      <c r="DY237" s="94"/>
      <c r="DZ237" s="218"/>
      <c r="EA237" s="231"/>
      <c r="EB237" s="231"/>
      <c r="EC237" s="231"/>
      <c r="ED237" s="231"/>
      <c r="EE237" s="231"/>
      <c r="EF237" s="231"/>
      <c r="EG237" s="231"/>
      <c r="EH237" s="231"/>
      <c r="EI237" s="231"/>
      <c r="EJ237" s="231"/>
      <c r="EK237" s="231"/>
      <c r="EL237" s="231"/>
      <c r="EM237" s="231"/>
      <c r="EN237" s="231"/>
      <c r="EO237" s="231"/>
      <c r="EP237" s="231"/>
      <c r="EQ237" s="231"/>
    </row>
    <row r="238" spans="1:147" ht="22.9" hidden="1" customHeight="1" outlineLevel="4" x14ac:dyDescent="0.2">
      <c r="A238" s="146" t="s">
        <v>764</v>
      </c>
      <c r="B238" s="53" t="s">
        <v>765</v>
      </c>
      <c r="C238" s="50" t="s">
        <v>100</v>
      </c>
      <c r="D238" s="165" t="s">
        <v>454</v>
      </c>
      <c r="E238" s="158">
        <v>1</v>
      </c>
      <c r="F238" s="52">
        <f>SUM(H238:DY238)*E238*Table1[[#This Row],[Cycles]]</f>
        <v>0</v>
      </c>
      <c r="G238" s="46">
        <f t="shared" si="186"/>
        <v>0</v>
      </c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BL238" s="94"/>
      <c r="BM238" s="94"/>
      <c r="BN238" s="94"/>
      <c r="BO238" s="94"/>
      <c r="BP238" s="115"/>
      <c r="BQ238" s="115"/>
      <c r="BR238" s="115"/>
      <c r="BS238" s="115"/>
      <c r="BT238" s="115"/>
      <c r="BU238" s="115"/>
      <c r="BV238" s="94"/>
      <c r="BW238" s="94"/>
      <c r="BX238" s="94"/>
      <c r="BY238" s="94"/>
      <c r="BZ238" s="94"/>
      <c r="CA238" s="94"/>
      <c r="CB238" s="94"/>
      <c r="CC238" s="94"/>
      <c r="CD238" s="94"/>
      <c r="CE238" s="94"/>
      <c r="CF238" s="94"/>
      <c r="CG238" s="94"/>
      <c r="CH238" s="94"/>
      <c r="CI238" s="94"/>
      <c r="CJ238" s="94"/>
      <c r="CK238" s="94"/>
      <c r="CL238" s="94"/>
      <c r="CM238" s="94"/>
      <c r="CN238" s="94"/>
      <c r="CO238" s="94"/>
      <c r="CP238" s="94"/>
      <c r="CQ238" s="94"/>
      <c r="CR238" s="94"/>
      <c r="CS238" s="94"/>
      <c r="CT238" s="94"/>
      <c r="CU238" s="94"/>
      <c r="CV238" s="94"/>
      <c r="CW238" s="94"/>
      <c r="CX238" s="94"/>
      <c r="CY238" s="94"/>
      <c r="CZ238" s="94"/>
      <c r="DA238" s="94"/>
      <c r="DB238" s="94"/>
      <c r="DC238" s="94"/>
      <c r="DD238" s="94"/>
      <c r="DE238" s="94"/>
      <c r="DF238" s="94"/>
      <c r="DG238" s="94"/>
      <c r="DH238" s="94"/>
      <c r="DI238" s="94"/>
      <c r="DJ238" s="94"/>
      <c r="DK238" s="94"/>
      <c r="DL238" s="94"/>
      <c r="DM238" s="94"/>
      <c r="DN238" s="94"/>
      <c r="DO238" s="94"/>
      <c r="DP238" s="94"/>
      <c r="DQ238" s="94"/>
      <c r="DR238" s="94"/>
      <c r="DS238" s="94"/>
      <c r="DT238" s="94"/>
      <c r="DU238" s="94"/>
      <c r="DV238" s="94"/>
      <c r="DW238" s="94"/>
      <c r="DX238" s="94"/>
      <c r="DY238" s="94"/>
      <c r="DZ238" s="218"/>
      <c r="EA238" s="231"/>
      <c r="EB238" s="231"/>
      <c r="EC238" s="231"/>
      <c r="ED238" s="231"/>
      <c r="EE238" s="231"/>
      <c r="EF238" s="231"/>
      <c r="EG238" s="231"/>
      <c r="EH238" s="231"/>
      <c r="EI238" s="231"/>
      <c r="EJ238" s="231"/>
      <c r="EK238" s="231"/>
      <c r="EL238" s="231"/>
      <c r="EM238" s="231"/>
      <c r="EN238" s="231"/>
      <c r="EO238" s="231"/>
      <c r="EP238" s="231"/>
      <c r="EQ238" s="231"/>
    </row>
    <row r="239" spans="1:147" ht="22.9" hidden="1" customHeight="1" outlineLevel="4" x14ac:dyDescent="0.2">
      <c r="A239" s="146" t="s">
        <v>766</v>
      </c>
      <c r="B239" s="53" t="s">
        <v>767</v>
      </c>
      <c r="C239" s="50" t="s">
        <v>100</v>
      </c>
      <c r="D239" s="165" t="s">
        <v>454</v>
      </c>
      <c r="E239" s="158">
        <v>1</v>
      </c>
      <c r="F239" s="52">
        <f>SUM(H239:DY239)*E239*Table1[[#This Row],[Cycles]]</f>
        <v>0</v>
      </c>
      <c r="G239" s="46">
        <f t="shared" si="186"/>
        <v>0</v>
      </c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4"/>
      <c r="BL239" s="94"/>
      <c r="BM239" s="94"/>
      <c r="BN239" s="94"/>
      <c r="BO239" s="94"/>
      <c r="BP239" s="115"/>
      <c r="BQ239" s="115"/>
      <c r="BR239" s="115"/>
      <c r="BS239" s="115"/>
      <c r="BT239" s="115"/>
      <c r="BU239" s="115"/>
      <c r="BV239" s="94"/>
      <c r="BW239" s="94"/>
      <c r="BX239" s="94"/>
      <c r="BY239" s="94"/>
      <c r="BZ239" s="94"/>
      <c r="CA239" s="94"/>
      <c r="CB239" s="94"/>
      <c r="CC239" s="94"/>
      <c r="CD239" s="94"/>
      <c r="CE239" s="94"/>
      <c r="CF239" s="94"/>
      <c r="CG239" s="94"/>
      <c r="CH239" s="94"/>
      <c r="CI239" s="94"/>
      <c r="CJ239" s="94"/>
      <c r="CK239" s="94"/>
      <c r="CL239" s="94"/>
      <c r="CM239" s="94"/>
      <c r="CN239" s="94"/>
      <c r="CO239" s="94"/>
      <c r="CP239" s="94"/>
      <c r="CQ239" s="94"/>
      <c r="CR239" s="94"/>
      <c r="CS239" s="94"/>
      <c r="CT239" s="94"/>
      <c r="CU239" s="94"/>
      <c r="CV239" s="94"/>
      <c r="CW239" s="94"/>
      <c r="CX239" s="94"/>
      <c r="CY239" s="94"/>
      <c r="CZ239" s="94"/>
      <c r="DA239" s="94"/>
      <c r="DB239" s="94"/>
      <c r="DC239" s="94"/>
      <c r="DD239" s="94"/>
      <c r="DE239" s="94"/>
      <c r="DF239" s="94"/>
      <c r="DG239" s="94"/>
      <c r="DH239" s="94"/>
      <c r="DI239" s="94"/>
      <c r="DJ239" s="94"/>
      <c r="DK239" s="94"/>
      <c r="DL239" s="94"/>
      <c r="DM239" s="94"/>
      <c r="DN239" s="94"/>
      <c r="DO239" s="94"/>
      <c r="DP239" s="94"/>
      <c r="DQ239" s="94"/>
      <c r="DR239" s="94"/>
      <c r="DS239" s="94"/>
      <c r="DT239" s="94"/>
      <c r="DU239" s="94"/>
      <c r="DV239" s="94"/>
      <c r="DW239" s="94"/>
      <c r="DX239" s="94"/>
      <c r="DY239" s="94"/>
      <c r="DZ239" s="218"/>
      <c r="EA239" s="231"/>
      <c r="EB239" s="231"/>
      <c r="EC239" s="231"/>
      <c r="ED239" s="231"/>
      <c r="EE239" s="231"/>
      <c r="EF239" s="231"/>
      <c r="EG239" s="231"/>
      <c r="EH239" s="231"/>
      <c r="EI239" s="231"/>
      <c r="EJ239" s="231"/>
      <c r="EK239" s="231"/>
      <c r="EL239" s="231"/>
      <c r="EM239" s="231"/>
      <c r="EN239" s="231"/>
      <c r="EO239" s="231"/>
      <c r="EP239" s="231"/>
      <c r="EQ239" s="231"/>
    </row>
    <row r="240" spans="1:147" ht="22.9" hidden="1" customHeight="1" outlineLevel="4" x14ac:dyDescent="0.2">
      <c r="A240" s="146" t="s">
        <v>768</v>
      </c>
      <c r="B240" s="53" t="s">
        <v>769</v>
      </c>
      <c r="C240" s="50" t="s">
        <v>100</v>
      </c>
      <c r="D240" s="165" t="s">
        <v>454</v>
      </c>
      <c r="E240" s="158">
        <v>1</v>
      </c>
      <c r="F240" s="52">
        <f>SUM(H240:DY240)*E240*Table1[[#This Row],[Cycles]]</f>
        <v>0</v>
      </c>
      <c r="G240" s="46">
        <f t="shared" si="186"/>
        <v>0</v>
      </c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4"/>
      <c r="BL240" s="94"/>
      <c r="BM240" s="94"/>
      <c r="BN240" s="94"/>
      <c r="BO240" s="94"/>
      <c r="BP240" s="115"/>
      <c r="BQ240" s="115"/>
      <c r="BR240" s="115"/>
      <c r="BS240" s="115"/>
      <c r="BT240" s="115"/>
      <c r="BU240" s="115"/>
      <c r="BV240" s="94"/>
      <c r="BW240" s="94"/>
      <c r="BX240" s="94"/>
      <c r="BY240" s="94"/>
      <c r="BZ240" s="94"/>
      <c r="CA240" s="94"/>
      <c r="CB240" s="94"/>
      <c r="CC240" s="94"/>
      <c r="CD240" s="94"/>
      <c r="CE240" s="94"/>
      <c r="CF240" s="94"/>
      <c r="CG240" s="94"/>
      <c r="CH240" s="94"/>
      <c r="CI240" s="94"/>
      <c r="CJ240" s="94"/>
      <c r="CK240" s="94"/>
      <c r="CL240" s="94"/>
      <c r="CM240" s="94"/>
      <c r="CN240" s="94"/>
      <c r="CO240" s="94"/>
      <c r="CP240" s="94"/>
      <c r="CQ240" s="94"/>
      <c r="CR240" s="94"/>
      <c r="CS240" s="94"/>
      <c r="CT240" s="94"/>
      <c r="CU240" s="94"/>
      <c r="CV240" s="94"/>
      <c r="CW240" s="94"/>
      <c r="CX240" s="94"/>
      <c r="CY240" s="94"/>
      <c r="CZ240" s="94"/>
      <c r="DA240" s="94"/>
      <c r="DB240" s="94"/>
      <c r="DC240" s="94"/>
      <c r="DD240" s="94"/>
      <c r="DE240" s="94"/>
      <c r="DF240" s="94"/>
      <c r="DG240" s="94"/>
      <c r="DH240" s="94"/>
      <c r="DI240" s="94"/>
      <c r="DJ240" s="94"/>
      <c r="DK240" s="94"/>
      <c r="DL240" s="94"/>
      <c r="DM240" s="94"/>
      <c r="DN240" s="94"/>
      <c r="DO240" s="94"/>
      <c r="DP240" s="94"/>
      <c r="DQ240" s="94"/>
      <c r="DR240" s="94"/>
      <c r="DS240" s="94"/>
      <c r="DT240" s="94"/>
      <c r="DU240" s="94"/>
      <c r="DV240" s="94"/>
      <c r="DW240" s="94"/>
      <c r="DX240" s="94"/>
      <c r="DY240" s="94"/>
      <c r="DZ240" s="218"/>
      <c r="EA240" s="231"/>
      <c r="EB240" s="231"/>
      <c r="EC240" s="231"/>
      <c r="ED240" s="231"/>
      <c r="EE240" s="231"/>
      <c r="EF240" s="231"/>
      <c r="EG240" s="231"/>
      <c r="EH240" s="231"/>
      <c r="EI240" s="231"/>
      <c r="EJ240" s="231"/>
      <c r="EK240" s="231"/>
      <c r="EL240" s="231"/>
      <c r="EM240" s="231"/>
      <c r="EN240" s="231"/>
      <c r="EO240" s="231"/>
      <c r="EP240" s="231"/>
      <c r="EQ240" s="231"/>
    </row>
    <row r="241" spans="1:147" ht="22.9" hidden="1" customHeight="1" outlineLevel="4" x14ac:dyDescent="0.2">
      <c r="A241" s="146" t="s">
        <v>770</v>
      </c>
      <c r="B241" s="53" t="s">
        <v>771</v>
      </c>
      <c r="C241" s="50" t="s">
        <v>100</v>
      </c>
      <c r="D241" s="165" t="s">
        <v>454</v>
      </c>
      <c r="E241" s="158">
        <v>1</v>
      </c>
      <c r="F241" s="52">
        <f>SUM(H241:DY241)*E241*Table1[[#This Row],[Cycles]]</f>
        <v>0</v>
      </c>
      <c r="G241" s="46">
        <f t="shared" si="186"/>
        <v>0</v>
      </c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4"/>
      <c r="BL241" s="94"/>
      <c r="BM241" s="94"/>
      <c r="BN241" s="94"/>
      <c r="BO241" s="94"/>
      <c r="BP241" s="115"/>
      <c r="BQ241" s="115"/>
      <c r="BR241" s="115"/>
      <c r="BS241" s="115"/>
      <c r="BT241" s="115"/>
      <c r="BU241" s="115"/>
      <c r="BV241" s="94"/>
      <c r="BW241" s="94"/>
      <c r="BX241" s="94"/>
      <c r="BY241" s="94"/>
      <c r="BZ241" s="94"/>
      <c r="CA241" s="94"/>
      <c r="CB241" s="94"/>
      <c r="CC241" s="94"/>
      <c r="CD241" s="94"/>
      <c r="CE241" s="94"/>
      <c r="CF241" s="94"/>
      <c r="CG241" s="94"/>
      <c r="CH241" s="94"/>
      <c r="CI241" s="94"/>
      <c r="CJ241" s="94"/>
      <c r="CK241" s="94"/>
      <c r="CL241" s="94"/>
      <c r="CM241" s="94"/>
      <c r="CN241" s="94"/>
      <c r="CO241" s="94"/>
      <c r="CP241" s="94"/>
      <c r="CQ241" s="94"/>
      <c r="CR241" s="94"/>
      <c r="CS241" s="94"/>
      <c r="CT241" s="94"/>
      <c r="CU241" s="94"/>
      <c r="CV241" s="94"/>
      <c r="CW241" s="94"/>
      <c r="CX241" s="94"/>
      <c r="CY241" s="94"/>
      <c r="CZ241" s="94"/>
      <c r="DA241" s="94"/>
      <c r="DB241" s="94"/>
      <c r="DC241" s="94"/>
      <c r="DD241" s="94"/>
      <c r="DE241" s="94"/>
      <c r="DF241" s="94"/>
      <c r="DG241" s="94"/>
      <c r="DH241" s="94"/>
      <c r="DI241" s="94"/>
      <c r="DJ241" s="94"/>
      <c r="DK241" s="94"/>
      <c r="DL241" s="94"/>
      <c r="DM241" s="94"/>
      <c r="DN241" s="94"/>
      <c r="DO241" s="94"/>
      <c r="DP241" s="94"/>
      <c r="DQ241" s="94"/>
      <c r="DR241" s="94"/>
      <c r="DS241" s="94"/>
      <c r="DT241" s="94"/>
      <c r="DU241" s="94"/>
      <c r="DV241" s="94"/>
      <c r="DW241" s="94"/>
      <c r="DX241" s="94"/>
      <c r="DY241" s="94"/>
      <c r="DZ241" s="218"/>
      <c r="EA241" s="231"/>
      <c r="EB241" s="231"/>
      <c r="EC241" s="231"/>
      <c r="ED241" s="231"/>
      <c r="EE241" s="231"/>
      <c r="EF241" s="231"/>
      <c r="EG241" s="231"/>
      <c r="EH241" s="231"/>
      <c r="EI241" s="231"/>
      <c r="EJ241" s="231"/>
      <c r="EK241" s="231"/>
      <c r="EL241" s="231"/>
      <c r="EM241" s="231"/>
      <c r="EN241" s="231"/>
      <c r="EO241" s="231"/>
      <c r="EP241" s="231"/>
      <c r="EQ241" s="231"/>
    </row>
    <row r="242" spans="1:147" ht="22.9" hidden="1" customHeight="1" outlineLevel="4" x14ac:dyDescent="0.2">
      <c r="A242" s="146" t="s">
        <v>772</v>
      </c>
      <c r="B242" s="53" t="s">
        <v>773</v>
      </c>
      <c r="C242" s="50" t="s">
        <v>100</v>
      </c>
      <c r="D242" s="165" t="s">
        <v>454</v>
      </c>
      <c r="E242" s="158">
        <v>1</v>
      </c>
      <c r="F242" s="52">
        <f>SUM(H242:DY242)*E242*Table1[[#This Row],[Cycles]]</f>
        <v>0</v>
      </c>
      <c r="G242" s="46">
        <f t="shared" si="186"/>
        <v>0</v>
      </c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4"/>
      <c r="BL242" s="94"/>
      <c r="BM242" s="94"/>
      <c r="BN242" s="94"/>
      <c r="BO242" s="94"/>
      <c r="BP242" s="115"/>
      <c r="BQ242" s="115"/>
      <c r="BR242" s="115"/>
      <c r="BS242" s="115"/>
      <c r="BT242" s="115"/>
      <c r="BU242" s="115"/>
      <c r="BV242" s="94"/>
      <c r="BW242" s="94"/>
      <c r="BX242" s="94"/>
      <c r="BY242" s="94"/>
      <c r="BZ242" s="94"/>
      <c r="CA242" s="94"/>
      <c r="CB242" s="94"/>
      <c r="CC242" s="94"/>
      <c r="CD242" s="94"/>
      <c r="CE242" s="94"/>
      <c r="CF242" s="94"/>
      <c r="CG242" s="94"/>
      <c r="CH242" s="94"/>
      <c r="CI242" s="94"/>
      <c r="CJ242" s="94"/>
      <c r="CK242" s="94"/>
      <c r="CL242" s="94"/>
      <c r="CM242" s="94"/>
      <c r="CN242" s="94"/>
      <c r="CO242" s="94"/>
      <c r="CP242" s="94"/>
      <c r="CQ242" s="94"/>
      <c r="CR242" s="94"/>
      <c r="CS242" s="94"/>
      <c r="CT242" s="94"/>
      <c r="CU242" s="94"/>
      <c r="CV242" s="94"/>
      <c r="CW242" s="94"/>
      <c r="CX242" s="94"/>
      <c r="CY242" s="94"/>
      <c r="CZ242" s="94"/>
      <c r="DA242" s="94"/>
      <c r="DB242" s="94"/>
      <c r="DC242" s="94"/>
      <c r="DD242" s="94"/>
      <c r="DE242" s="94"/>
      <c r="DF242" s="94"/>
      <c r="DG242" s="94"/>
      <c r="DH242" s="94"/>
      <c r="DI242" s="94"/>
      <c r="DJ242" s="94"/>
      <c r="DK242" s="94"/>
      <c r="DL242" s="94"/>
      <c r="DM242" s="94"/>
      <c r="DN242" s="94"/>
      <c r="DO242" s="94"/>
      <c r="DP242" s="94"/>
      <c r="DQ242" s="94"/>
      <c r="DR242" s="94"/>
      <c r="DS242" s="94"/>
      <c r="DT242" s="94"/>
      <c r="DU242" s="94"/>
      <c r="DV242" s="94"/>
      <c r="DW242" s="94"/>
      <c r="DX242" s="94"/>
      <c r="DY242" s="94"/>
      <c r="DZ242" s="218"/>
      <c r="EA242" s="231"/>
      <c r="EB242" s="231"/>
      <c r="EC242" s="231"/>
      <c r="ED242" s="231"/>
      <c r="EE242" s="231"/>
      <c r="EF242" s="231"/>
      <c r="EG242" s="231"/>
      <c r="EH242" s="231"/>
      <c r="EI242" s="231"/>
      <c r="EJ242" s="231"/>
      <c r="EK242" s="231"/>
      <c r="EL242" s="231"/>
      <c r="EM242" s="231"/>
      <c r="EN242" s="231"/>
      <c r="EO242" s="231"/>
      <c r="EP242" s="231"/>
      <c r="EQ242" s="231"/>
    </row>
    <row r="243" spans="1:147" ht="22.9" hidden="1" customHeight="1" outlineLevel="4" x14ac:dyDescent="0.2">
      <c r="A243" s="146" t="s">
        <v>774</v>
      </c>
      <c r="B243" s="53" t="s">
        <v>775</v>
      </c>
      <c r="C243" s="50" t="s">
        <v>100</v>
      </c>
      <c r="D243" s="165" t="s">
        <v>454</v>
      </c>
      <c r="E243" s="158">
        <v>1</v>
      </c>
      <c r="F243" s="52">
        <f>SUM(H243:DY243)*E243*Table1[[#This Row],[Cycles]]</f>
        <v>0</v>
      </c>
      <c r="G243" s="46">
        <f t="shared" si="186"/>
        <v>0</v>
      </c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4"/>
      <c r="BL243" s="94"/>
      <c r="BM243" s="94"/>
      <c r="BN243" s="94"/>
      <c r="BO243" s="94"/>
      <c r="BP243" s="115"/>
      <c r="BQ243" s="115"/>
      <c r="BR243" s="115"/>
      <c r="BS243" s="115"/>
      <c r="BT243" s="115"/>
      <c r="BU243" s="115"/>
      <c r="BV243" s="94"/>
      <c r="BW243" s="94"/>
      <c r="BX243" s="94"/>
      <c r="BY243" s="94"/>
      <c r="BZ243" s="94"/>
      <c r="CA243" s="94"/>
      <c r="CB243" s="94"/>
      <c r="CC243" s="94"/>
      <c r="CD243" s="94"/>
      <c r="CE243" s="94"/>
      <c r="CF243" s="94"/>
      <c r="CG243" s="94"/>
      <c r="CH243" s="94"/>
      <c r="CI243" s="94"/>
      <c r="CJ243" s="94"/>
      <c r="CK243" s="94"/>
      <c r="CL243" s="94"/>
      <c r="CM243" s="94"/>
      <c r="CN243" s="94"/>
      <c r="CO243" s="94"/>
      <c r="CP243" s="94"/>
      <c r="CQ243" s="94"/>
      <c r="CR243" s="94"/>
      <c r="CS243" s="94"/>
      <c r="CT243" s="94"/>
      <c r="CU243" s="94"/>
      <c r="CV243" s="94"/>
      <c r="CW243" s="94"/>
      <c r="CX243" s="94"/>
      <c r="CY243" s="94"/>
      <c r="CZ243" s="94"/>
      <c r="DA243" s="94"/>
      <c r="DB243" s="94"/>
      <c r="DC243" s="94"/>
      <c r="DD243" s="94"/>
      <c r="DE243" s="94"/>
      <c r="DF243" s="94"/>
      <c r="DG243" s="94"/>
      <c r="DH243" s="94"/>
      <c r="DI243" s="94"/>
      <c r="DJ243" s="94"/>
      <c r="DK243" s="94"/>
      <c r="DL243" s="94"/>
      <c r="DM243" s="94"/>
      <c r="DN243" s="94"/>
      <c r="DO243" s="94"/>
      <c r="DP243" s="94"/>
      <c r="DQ243" s="94"/>
      <c r="DR243" s="94"/>
      <c r="DS243" s="94"/>
      <c r="DT243" s="94"/>
      <c r="DU243" s="94"/>
      <c r="DV243" s="94"/>
      <c r="DW243" s="94"/>
      <c r="DX243" s="94"/>
      <c r="DY243" s="94"/>
      <c r="DZ243" s="218"/>
      <c r="EA243" s="231"/>
      <c r="EB243" s="231"/>
      <c r="EC243" s="231"/>
      <c r="ED243" s="231"/>
      <c r="EE243" s="231"/>
      <c r="EF243" s="231"/>
      <c r="EG243" s="231"/>
      <c r="EH243" s="231"/>
      <c r="EI243" s="231"/>
      <c r="EJ243" s="231"/>
      <c r="EK243" s="231"/>
      <c r="EL243" s="231"/>
      <c r="EM243" s="231"/>
      <c r="EN243" s="231"/>
      <c r="EO243" s="231"/>
      <c r="EP243" s="231"/>
      <c r="EQ243" s="231"/>
    </row>
    <row r="244" spans="1:147" ht="22.9" hidden="1" customHeight="1" outlineLevel="4" x14ac:dyDescent="0.2">
      <c r="A244" s="146" t="s">
        <v>776</v>
      </c>
      <c r="B244" s="53" t="s">
        <v>777</v>
      </c>
      <c r="C244" s="50" t="s">
        <v>100</v>
      </c>
      <c r="D244" s="165" t="s">
        <v>454</v>
      </c>
      <c r="E244" s="158">
        <v>1</v>
      </c>
      <c r="F244" s="52">
        <f>SUM(H244:DY244)*E244*Table1[[#This Row],[Cycles]]</f>
        <v>0</v>
      </c>
      <c r="G244" s="46">
        <f t="shared" si="186"/>
        <v>0</v>
      </c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  <c r="BA244" s="94"/>
      <c r="BB244" s="94"/>
      <c r="BC244" s="94"/>
      <c r="BD244" s="94"/>
      <c r="BE244" s="94"/>
      <c r="BF244" s="94"/>
      <c r="BG244" s="94"/>
      <c r="BH244" s="94"/>
      <c r="BI244" s="94"/>
      <c r="BJ244" s="94"/>
      <c r="BK244" s="94"/>
      <c r="BL244" s="94"/>
      <c r="BM244" s="94"/>
      <c r="BN244" s="94"/>
      <c r="BO244" s="94"/>
      <c r="BP244" s="115"/>
      <c r="BQ244" s="115"/>
      <c r="BR244" s="115"/>
      <c r="BS244" s="115"/>
      <c r="BT244" s="115"/>
      <c r="BU244" s="115"/>
      <c r="BV244" s="94"/>
      <c r="BW244" s="94"/>
      <c r="BX244" s="94"/>
      <c r="BY244" s="94"/>
      <c r="BZ244" s="94"/>
      <c r="CA244" s="94"/>
      <c r="CB244" s="94"/>
      <c r="CC244" s="94"/>
      <c r="CD244" s="94"/>
      <c r="CE244" s="94"/>
      <c r="CF244" s="94"/>
      <c r="CG244" s="94"/>
      <c r="CH244" s="94"/>
      <c r="CI244" s="94"/>
      <c r="CJ244" s="94"/>
      <c r="CK244" s="94"/>
      <c r="CL244" s="94"/>
      <c r="CM244" s="94"/>
      <c r="CN244" s="94"/>
      <c r="CO244" s="94"/>
      <c r="CP244" s="94"/>
      <c r="CQ244" s="94"/>
      <c r="CR244" s="94"/>
      <c r="CS244" s="94"/>
      <c r="CT244" s="94"/>
      <c r="CU244" s="94"/>
      <c r="CV244" s="94"/>
      <c r="CW244" s="94"/>
      <c r="CX244" s="94"/>
      <c r="CY244" s="94"/>
      <c r="CZ244" s="94"/>
      <c r="DA244" s="94"/>
      <c r="DB244" s="94"/>
      <c r="DC244" s="94"/>
      <c r="DD244" s="94"/>
      <c r="DE244" s="94"/>
      <c r="DF244" s="94"/>
      <c r="DG244" s="94"/>
      <c r="DH244" s="94"/>
      <c r="DI244" s="94"/>
      <c r="DJ244" s="94"/>
      <c r="DK244" s="94"/>
      <c r="DL244" s="94"/>
      <c r="DM244" s="94"/>
      <c r="DN244" s="94"/>
      <c r="DO244" s="94"/>
      <c r="DP244" s="94"/>
      <c r="DQ244" s="94"/>
      <c r="DR244" s="94"/>
      <c r="DS244" s="94"/>
      <c r="DT244" s="94"/>
      <c r="DU244" s="94"/>
      <c r="DV244" s="94"/>
      <c r="DW244" s="94"/>
      <c r="DX244" s="94"/>
      <c r="DY244" s="94"/>
      <c r="DZ244" s="218"/>
      <c r="EA244" s="231"/>
      <c r="EB244" s="231"/>
      <c r="EC244" s="231"/>
      <c r="ED244" s="231"/>
      <c r="EE244" s="231"/>
      <c r="EF244" s="231"/>
      <c r="EG244" s="231"/>
      <c r="EH244" s="231"/>
      <c r="EI244" s="231"/>
      <c r="EJ244" s="231"/>
      <c r="EK244" s="231"/>
      <c r="EL244" s="231"/>
      <c r="EM244" s="231"/>
      <c r="EN244" s="231"/>
      <c r="EO244" s="231"/>
      <c r="EP244" s="231"/>
      <c r="EQ244" s="231"/>
    </row>
    <row r="245" spans="1:147" customFormat="1" ht="22.5" customHeight="1" outlineLevel="2" collapsed="1" x14ac:dyDescent="0.2">
      <c r="A245" s="169" t="s">
        <v>778</v>
      </c>
      <c r="B245" s="170" t="s">
        <v>801</v>
      </c>
      <c r="C245" s="171"/>
      <c r="D245" s="172"/>
      <c r="E245" s="173"/>
      <c r="F245" s="175">
        <f>SUM(F246:F250)</f>
        <v>0</v>
      </c>
      <c r="G245" s="174">
        <f t="shared" ref="G245:BR245" si="187">SUM(G246:G250)</f>
        <v>0</v>
      </c>
      <c r="H245" s="175">
        <f t="shared" si="187"/>
        <v>0</v>
      </c>
      <c r="I245" s="175">
        <f t="shared" si="187"/>
        <v>0</v>
      </c>
      <c r="J245" s="175">
        <f t="shared" si="187"/>
        <v>0</v>
      </c>
      <c r="K245" s="175">
        <f t="shared" si="187"/>
        <v>0</v>
      </c>
      <c r="L245" s="175">
        <f t="shared" si="187"/>
        <v>0</v>
      </c>
      <c r="M245" s="175">
        <f t="shared" si="187"/>
        <v>0</v>
      </c>
      <c r="N245" s="175">
        <f t="shared" si="187"/>
        <v>0</v>
      </c>
      <c r="O245" s="175">
        <f t="shared" si="187"/>
        <v>0</v>
      </c>
      <c r="P245" s="175">
        <f t="shared" si="187"/>
        <v>0</v>
      </c>
      <c r="Q245" s="175">
        <f t="shared" si="187"/>
        <v>0</v>
      </c>
      <c r="R245" s="175">
        <f t="shared" si="187"/>
        <v>0</v>
      </c>
      <c r="S245" s="175">
        <f t="shared" si="187"/>
        <v>0</v>
      </c>
      <c r="T245" s="175">
        <f t="shared" si="187"/>
        <v>0</v>
      </c>
      <c r="U245" s="175">
        <f t="shared" si="187"/>
        <v>0</v>
      </c>
      <c r="V245" s="175">
        <f t="shared" si="187"/>
        <v>0</v>
      </c>
      <c r="W245" s="175">
        <f t="shared" si="187"/>
        <v>0</v>
      </c>
      <c r="X245" s="175">
        <f t="shared" si="187"/>
        <v>0</v>
      </c>
      <c r="Y245" s="175">
        <f t="shared" si="187"/>
        <v>0</v>
      </c>
      <c r="Z245" s="175">
        <f t="shared" si="187"/>
        <v>0</v>
      </c>
      <c r="AA245" s="175">
        <f t="shared" si="187"/>
        <v>0</v>
      </c>
      <c r="AB245" s="175">
        <f t="shared" si="187"/>
        <v>0</v>
      </c>
      <c r="AC245" s="175">
        <f t="shared" si="187"/>
        <v>0</v>
      </c>
      <c r="AD245" s="175">
        <f t="shared" si="187"/>
        <v>0</v>
      </c>
      <c r="AE245" s="175">
        <f t="shared" si="187"/>
        <v>0</v>
      </c>
      <c r="AF245" s="175">
        <f t="shared" si="187"/>
        <v>0</v>
      </c>
      <c r="AG245" s="175">
        <f t="shared" si="187"/>
        <v>0</v>
      </c>
      <c r="AH245" s="175">
        <f t="shared" si="187"/>
        <v>0</v>
      </c>
      <c r="AI245" s="175">
        <f t="shared" si="187"/>
        <v>0</v>
      </c>
      <c r="AJ245" s="175">
        <f t="shared" si="187"/>
        <v>0</v>
      </c>
      <c r="AK245" s="175">
        <f t="shared" si="187"/>
        <v>0</v>
      </c>
      <c r="AL245" s="175">
        <f t="shared" si="187"/>
        <v>0</v>
      </c>
      <c r="AM245" s="175">
        <f t="shared" si="187"/>
        <v>0</v>
      </c>
      <c r="AN245" s="175">
        <f t="shared" si="187"/>
        <v>0</v>
      </c>
      <c r="AO245" s="175">
        <f t="shared" si="187"/>
        <v>0</v>
      </c>
      <c r="AP245" s="175">
        <f t="shared" si="187"/>
        <v>0</v>
      </c>
      <c r="AQ245" s="175">
        <f t="shared" si="187"/>
        <v>0</v>
      </c>
      <c r="AR245" s="175">
        <f t="shared" si="187"/>
        <v>0</v>
      </c>
      <c r="AS245" s="175">
        <f t="shared" si="187"/>
        <v>0</v>
      </c>
      <c r="AT245" s="175">
        <f t="shared" si="187"/>
        <v>0</v>
      </c>
      <c r="AU245" s="175">
        <f t="shared" si="187"/>
        <v>0</v>
      </c>
      <c r="AV245" s="175">
        <f t="shared" si="187"/>
        <v>0</v>
      </c>
      <c r="AW245" s="175">
        <f t="shared" si="187"/>
        <v>0</v>
      </c>
      <c r="AX245" s="175">
        <f t="shared" si="187"/>
        <v>0</v>
      </c>
      <c r="AY245" s="175">
        <f t="shared" si="187"/>
        <v>0</v>
      </c>
      <c r="AZ245" s="175">
        <f t="shared" si="187"/>
        <v>0</v>
      </c>
      <c r="BA245" s="175">
        <f t="shared" si="187"/>
        <v>0</v>
      </c>
      <c r="BB245" s="175">
        <f t="shared" si="187"/>
        <v>0</v>
      </c>
      <c r="BC245" s="175">
        <f t="shared" si="187"/>
        <v>0</v>
      </c>
      <c r="BD245" s="175">
        <f t="shared" si="187"/>
        <v>0</v>
      </c>
      <c r="BE245" s="175">
        <f t="shared" si="187"/>
        <v>0</v>
      </c>
      <c r="BF245" s="175">
        <f t="shared" si="187"/>
        <v>0</v>
      </c>
      <c r="BG245" s="175">
        <f t="shared" si="187"/>
        <v>0</v>
      </c>
      <c r="BH245" s="175">
        <f t="shared" si="187"/>
        <v>0</v>
      </c>
      <c r="BI245" s="175">
        <f t="shared" si="187"/>
        <v>0</v>
      </c>
      <c r="BJ245" s="175">
        <f t="shared" si="187"/>
        <v>0</v>
      </c>
      <c r="BK245" s="175">
        <f t="shared" si="187"/>
        <v>0</v>
      </c>
      <c r="BL245" s="175">
        <f t="shared" si="187"/>
        <v>0</v>
      </c>
      <c r="BM245" s="175">
        <f t="shared" si="187"/>
        <v>0</v>
      </c>
      <c r="BN245" s="175">
        <f t="shared" si="187"/>
        <v>0</v>
      </c>
      <c r="BO245" s="175">
        <f t="shared" si="187"/>
        <v>0</v>
      </c>
      <c r="BP245" s="175">
        <f t="shared" si="187"/>
        <v>0</v>
      </c>
      <c r="BQ245" s="175">
        <f t="shared" si="187"/>
        <v>0</v>
      </c>
      <c r="BR245" s="175">
        <f t="shared" si="187"/>
        <v>0</v>
      </c>
      <c r="BS245" s="175">
        <f t="shared" ref="BS245:DW245" si="188">SUM(BS246:BS250)</f>
        <v>0</v>
      </c>
      <c r="BT245" s="175">
        <f t="shared" si="188"/>
        <v>0</v>
      </c>
      <c r="BU245" s="175">
        <f t="shared" si="188"/>
        <v>0</v>
      </c>
      <c r="BV245" s="175">
        <f t="shared" si="188"/>
        <v>0</v>
      </c>
      <c r="BW245" s="175">
        <f t="shared" si="188"/>
        <v>0</v>
      </c>
      <c r="BX245" s="175">
        <f t="shared" si="188"/>
        <v>0</v>
      </c>
      <c r="BY245" s="175">
        <f t="shared" si="188"/>
        <v>0</v>
      </c>
      <c r="BZ245" s="175">
        <f t="shared" si="188"/>
        <v>0</v>
      </c>
      <c r="CA245" s="175">
        <f t="shared" si="188"/>
        <v>0</v>
      </c>
      <c r="CB245" s="175">
        <f t="shared" si="188"/>
        <v>0</v>
      </c>
      <c r="CC245" s="175">
        <f t="shared" si="188"/>
        <v>0</v>
      </c>
      <c r="CD245" s="175">
        <f t="shared" si="188"/>
        <v>0</v>
      </c>
      <c r="CE245" s="175">
        <f t="shared" si="188"/>
        <v>0</v>
      </c>
      <c r="CF245" s="175">
        <f t="shared" si="188"/>
        <v>0</v>
      </c>
      <c r="CG245" s="175">
        <f t="shared" si="188"/>
        <v>0</v>
      </c>
      <c r="CH245" s="175">
        <f t="shared" si="188"/>
        <v>0</v>
      </c>
      <c r="CI245" s="175">
        <f t="shared" si="188"/>
        <v>0</v>
      </c>
      <c r="CJ245" s="175">
        <f t="shared" si="188"/>
        <v>0</v>
      </c>
      <c r="CK245" s="175">
        <f t="shared" si="188"/>
        <v>0</v>
      </c>
      <c r="CL245" s="175">
        <f t="shared" si="188"/>
        <v>0</v>
      </c>
      <c r="CM245" s="175">
        <f t="shared" si="188"/>
        <v>0</v>
      </c>
      <c r="CN245" s="175">
        <f t="shared" si="188"/>
        <v>0</v>
      </c>
      <c r="CO245" s="175">
        <f t="shared" si="188"/>
        <v>0</v>
      </c>
      <c r="CP245" s="175">
        <f t="shared" si="188"/>
        <v>0</v>
      </c>
      <c r="CQ245" s="175">
        <f t="shared" si="188"/>
        <v>0</v>
      </c>
      <c r="CR245" s="175">
        <f t="shared" si="188"/>
        <v>0</v>
      </c>
      <c r="CS245" s="175">
        <f t="shared" si="188"/>
        <v>0</v>
      </c>
      <c r="CT245" s="175">
        <f t="shared" si="188"/>
        <v>0</v>
      </c>
      <c r="CU245" s="175">
        <f t="shared" si="188"/>
        <v>0</v>
      </c>
      <c r="CV245" s="175">
        <f t="shared" si="188"/>
        <v>0</v>
      </c>
      <c r="CW245" s="175">
        <f t="shared" si="188"/>
        <v>0</v>
      </c>
      <c r="CX245" s="175">
        <f t="shared" si="188"/>
        <v>0</v>
      </c>
      <c r="CY245" s="175">
        <f t="shared" si="188"/>
        <v>0</v>
      </c>
      <c r="CZ245" s="175">
        <f t="shared" si="188"/>
        <v>0</v>
      </c>
      <c r="DA245" s="175">
        <f t="shared" si="188"/>
        <v>0</v>
      </c>
      <c r="DB245" s="175">
        <f t="shared" si="188"/>
        <v>0</v>
      </c>
      <c r="DC245" s="175">
        <f t="shared" si="188"/>
        <v>0</v>
      </c>
      <c r="DD245" s="175">
        <f t="shared" si="188"/>
        <v>0</v>
      </c>
      <c r="DE245" s="175">
        <f t="shared" si="188"/>
        <v>0</v>
      </c>
      <c r="DF245" s="175">
        <f t="shared" si="188"/>
        <v>0</v>
      </c>
      <c r="DG245" s="175">
        <f t="shared" si="188"/>
        <v>0</v>
      </c>
      <c r="DH245" s="175">
        <f t="shared" si="188"/>
        <v>0</v>
      </c>
      <c r="DI245" s="175">
        <f t="shared" si="188"/>
        <v>0</v>
      </c>
      <c r="DJ245" s="175">
        <f t="shared" si="188"/>
        <v>0</v>
      </c>
      <c r="DK245" s="175">
        <f t="shared" si="188"/>
        <v>0</v>
      </c>
      <c r="DL245" s="175">
        <f t="shared" si="188"/>
        <v>0</v>
      </c>
      <c r="DM245" s="175">
        <f t="shared" si="188"/>
        <v>0</v>
      </c>
      <c r="DN245" s="175">
        <f t="shared" si="188"/>
        <v>0</v>
      </c>
      <c r="DO245" s="175">
        <f t="shared" si="188"/>
        <v>0</v>
      </c>
      <c r="DP245" s="175">
        <f t="shared" si="188"/>
        <v>0</v>
      </c>
      <c r="DQ245" s="175">
        <f t="shared" si="188"/>
        <v>0</v>
      </c>
      <c r="DR245" s="175">
        <f t="shared" si="188"/>
        <v>0</v>
      </c>
      <c r="DS245" s="175">
        <f t="shared" si="188"/>
        <v>0</v>
      </c>
      <c r="DT245" s="175">
        <f t="shared" si="188"/>
        <v>0</v>
      </c>
      <c r="DU245" s="175">
        <f>SUM(DU246:DU250)</f>
        <v>0</v>
      </c>
      <c r="DV245" s="175">
        <f t="shared" si="188"/>
        <v>0</v>
      </c>
      <c r="DW245" s="175">
        <f t="shared" si="188"/>
        <v>0</v>
      </c>
      <c r="DX245" s="175">
        <f>SUMPRODUCT($D$246:$D$255,$E$246:$E$255,DX246:DX255)</f>
        <v>0</v>
      </c>
      <c r="DY245" s="175">
        <f>SUMPRODUCT($D$246:$D$255,$E$246:$E$255,DY246:DY255)</f>
        <v>0</v>
      </c>
      <c r="DZ245" s="221"/>
      <c r="EA245" s="235"/>
      <c r="EB245" s="235"/>
      <c r="EC245" s="235"/>
      <c r="ED245" s="235"/>
      <c r="EE245" s="235"/>
      <c r="EF245" s="235"/>
      <c r="EG245" s="235"/>
      <c r="EH245" s="235"/>
      <c r="EI245" s="235"/>
      <c r="EJ245" s="235"/>
      <c r="EK245" s="235"/>
      <c r="EL245" s="235"/>
      <c r="EM245" s="235"/>
      <c r="EN245" s="235"/>
      <c r="EO245" s="235"/>
      <c r="EP245" s="235"/>
      <c r="EQ245" s="235"/>
    </row>
    <row r="246" spans="1:147" ht="22.9" hidden="1" customHeight="1" outlineLevel="3" x14ac:dyDescent="0.2">
      <c r="A246" s="150" t="s">
        <v>779</v>
      </c>
      <c r="B246" s="53" t="s">
        <v>780</v>
      </c>
      <c r="C246" s="50" t="s">
        <v>100</v>
      </c>
      <c r="D246" s="165">
        <v>1</v>
      </c>
      <c r="E246" s="158">
        <v>1</v>
      </c>
      <c r="F246" s="52">
        <f>SUM(H246:DY246)*E246*Table1[[#This Row],[Cycles]]</f>
        <v>0</v>
      </c>
      <c r="G246" s="46">
        <f>SUMPRODUCT($H$3:$DY$3,$H246:$DY246)*E246*D246</f>
        <v>0</v>
      </c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4"/>
      <c r="BL246" s="94"/>
      <c r="BM246" s="94"/>
      <c r="BN246" s="94"/>
      <c r="BO246" s="94"/>
      <c r="BP246" s="115"/>
      <c r="BQ246" s="115"/>
      <c r="BR246" s="115"/>
      <c r="BS246" s="115"/>
      <c r="BT246" s="115"/>
      <c r="BU246" s="115"/>
      <c r="BV246" s="94"/>
      <c r="BW246" s="94"/>
      <c r="BX246" s="94"/>
      <c r="BY246" s="94"/>
      <c r="BZ246" s="94"/>
      <c r="CA246" s="94"/>
      <c r="CB246" s="94"/>
      <c r="CC246" s="94"/>
      <c r="CD246" s="94"/>
      <c r="CE246" s="94"/>
      <c r="CF246" s="94"/>
      <c r="CG246" s="94"/>
      <c r="CH246" s="94"/>
      <c r="CI246" s="94"/>
      <c r="CJ246" s="94"/>
      <c r="CK246" s="94"/>
      <c r="CL246" s="94"/>
      <c r="CM246" s="94"/>
      <c r="CN246" s="94"/>
      <c r="CO246" s="94"/>
      <c r="CP246" s="94"/>
      <c r="CQ246" s="94"/>
      <c r="CR246" s="94"/>
      <c r="CS246" s="94"/>
      <c r="CT246" s="94"/>
      <c r="CU246" s="94"/>
      <c r="CV246" s="94"/>
      <c r="CW246" s="94"/>
      <c r="CX246" s="94"/>
      <c r="CY246" s="94"/>
      <c r="CZ246" s="94"/>
      <c r="DA246" s="94"/>
      <c r="DB246" s="94"/>
      <c r="DC246" s="94"/>
      <c r="DD246" s="94"/>
      <c r="DE246" s="94"/>
      <c r="DF246" s="94"/>
      <c r="DG246" s="94"/>
      <c r="DH246" s="94"/>
      <c r="DI246" s="94"/>
      <c r="DJ246" s="94"/>
      <c r="DK246" s="94"/>
      <c r="DL246" s="94"/>
      <c r="DM246" s="94"/>
      <c r="DN246" s="94"/>
      <c r="DO246" s="94"/>
      <c r="DP246" s="94"/>
      <c r="DQ246" s="94"/>
      <c r="DR246" s="94"/>
      <c r="DS246" s="94"/>
      <c r="DT246" s="94"/>
      <c r="DU246" s="94"/>
      <c r="DV246" s="94"/>
      <c r="DW246" s="94"/>
      <c r="DX246" s="94"/>
      <c r="DY246" s="94"/>
      <c r="DZ246" s="218"/>
      <c r="EA246" s="231"/>
      <c r="EB246" s="231"/>
      <c r="EC246" s="231"/>
      <c r="ED246" s="231"/>
      <c r="EE246" s="231"/>
      <c r="EF246" s="231"/>
      <c r="EG246" s="231"/>
      <c r="EH246" s="231"/>
      <c r="EI246" s="231"/>
      <c r="EJ246" s="231"/>
      <c r="EK246" s="231"/>
      <c r="EL246" s="231"/>
      <c r="EM246" s="231"/>
      <c r="EN246" s="231"/>
      <c r="EO246" s="231"/>
      <c r="EP246" s="231"/>
      <c r="EQ246" s="231"/>
    </row>
    <row r="247" spans="1:147" ht="22.9" hidden="1" customHeight="1" outlineLevel="3" x14ac:dyDescent="0.2">
      <c r="A247" s="150" t="s">
        <v>781</v>
      </c>
      <c r="B247" s="53" t="s">
        <v>782</v>
      </c>
      <c r="C247" s="50" t="s">
        <v>100</v>
      </c>
      <c r="D247" s="165">
        <v>1</v>
      </c>
      <c r="E247" s="158">
        <v>1</v>
      </c>
      <c r="F247" s="52">
        <f>SUM(H247:DY247)*E247*Table1[[#This Row],[Cycles]]</f>
        <v>0</v>
      </c>
      <c r="G247" s="46">
        <f>SUMPRODUCT($H$3:$DY$3,$H247:$DY247)*E247*D247</f>
        <v>0</v>
      </c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4"/>
      <c r="BL247" s="94"/>
      <c r="BM247" s="94"/>
      <c r="BN247" s="94"/>
      <c r="BO247" s="94"/>
      <c r="BP247" s="115"/>
      <c r="BQ247" s="115"/>
      <c r="BR247" s="115"/>
      <c r="BS247" s="115"/>
      <c r="BT247" s="115"/>
      <c r="BU247" s="115"/>
      <c r="BV247" s="94"/>
      <c r="BW247" s="94"/>
      <c r="BX247" s="94"/>
      <c r="BY247" s="94"/>
      <c r="BZ247" s="94"/>
      <c r="CA247" s="94"/>
      <c r="CB247" s="94"/>
      <c r="CC247" s="94"/>
      <c r="CD247" s="94"/>
      <c r="CE247" s="94"/>
      <c r="CF247" s="94"/>
      <c r="CG247" s="94"/>
      <c r="CH247" s="94"/>
      <c r="CI247" s="94"/>
      <c r="CJ247" s="94"/>
      <c r="CK247" s="94"/>
      <c r="CL247" s="94"/>
      <c r="CM247" s="94"/>
      <c r="CN247" s="94"/>
      <c r="CO247" s="94"/>
      <c r="CP247" s="94"/>
      <c r="CQ247" s="94"/>
      <c r="CR247" s="94"/>
      <c r="CS247" s="94"/>
      <c r="CT247" s="94"/>
      <c r="CU247" s="94"/>
      <c r="CV247" s="94"/>
      <c r="CW247" s="94"/>
      <c r="CX247" s="94"/>
      <c r="CY247" s="94"/>
      <c r="CZ247" s="94"/>
      <c r="DA247" s="94"/>
      <c r="DB247" s="94"/>
      <c r="DC247" s="94"/>
      <c r="DD247" s="94"/>
      <c r="DE247" s="94"/>
      <c r="DF247" s="94"/>
      <c r="DG247" s="94"/>
      <c r="DH247" s="94"/>
      <c r="DI247" s="94"/>
      <c r="DJ247" s="94"/>
      <c r="DK247" s="94"/>
      <c r="DL247" s="94"/>
      <c r="DM247" s="94"/>
      <c r="DN247" s="94"/>
      <c r="DO247" s="94"/>
      <c r="DP247" s="94"/>
      <c r="DQ247" s="94"/>
      <c r="DR247" s="94"/>
      <c r="DS247" s="94"/>
      <c r="DT247" s="94"/>
      <c r="DU247" s="94"/>
      <c r="DV247" s="94"/>
      <c r="DW247" s="94"/>
      <c r="DX247" s="94"/>
      <c r="DY247" s="94"/>
      <c r="DZ247" s="218"/>
      <c r="EA247" s="231"/>
      <c r="EB247" s="231"/>
      <c r="EC247" s="231"/>
      <c r="ED247" s="231"/>
      <c r="EE247" s="231"/>
      <c r="EF247" s="231"/>
      <c r="EG247" s="231"/>
      <c r="EH247" s="231"/>
      <c r="EI247" s="231"/>
      <c r="EJ247" s="231"/>
      <c r="EK247" s="231"/>
      <c r="EL247" s="231"/>
      <c r="EM247" s="231"/>
      <c r="EN247" s="231"/>
      <c r="EO247" s="231"/>
      <c r="EP247" s="231"/>
      <c r="EQ247" s="231"/>
    </row>
    <row r="248" spans="1:147" ht="22.9" hidden="1" customHeight="1" outlineLevel="3" x14ac:dyDescent="0.2">
      <c r="A248" s="150" t="s">
        <v>783</v>
      </c>
      <c r="B248" s="53" t="s">
        <v>784</v>
      </c>
      <c r="C248" s="50" t="s">
        <v>100</v>
      </c>
      <c r="D248" s="165">
        <v>1</v>
      </c>
      <c r="E248" s="158">
        <v>1</v>
      </c>
      <c r="F248" s="52">
        <f>SUM(H248:DY248)*E248*Table1[[#This Row],[Cycles]]</f>
        <v>0</v>
      </c>
      <c r="G248" s="46">
        <f>SUMPRODUCT($H$3:$DY$3,$H248:$DY248)*E248*D248</f>
        <v>0</v>
      </c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4"/>
      <c r="BL248" s="94"/>
      <c r="BM248" s="94"/>
      <c r="BN248" s="94"/>
      <c r="BO248" s="94"/>
      <c r="BP248" s="115"/>
      <c r="BQ248" s="115"/>
      <c r="BR248" s="115"/>
      <c r="BS248" s="115"/>
      <c r="BT248" s="115"/>
      <c r="BU248" s="115"/>
      <c r="BV248" s="94"/>
      <c r="BW248" s="94"/>
      <c r="BX248" s="94"/>
      <c r="BY248" s="94"/>
      <c r="BZ248" s="94"/>
      <c r="CA248" s="94"/>
      <c r="CB248" s="94"/>
      <c r="CC248" s="94"/>
      <c r="CD248" s="94"/>
      <c r="CE248" s="94"/>
      <c r="CF248" s="94"/>
      <c r="CG248" s="94"/>
      <c r="CH248" s="94"/>
      <c r="CI248" s="94"/>
      <c r="CJ248" s="94"/>
      <c r="CK248" s="94"/>
      <c r="CL248" s="94"/>
      <c r="CM248" s="94"/>
      <c r="CN248" s="94"/>
      <c r="CO248" s="94"/>
      <c r="CP248" s="94"/>
      <c r="CQ248" s="94"/>
      <c r="CR248" s="94"/>
      <c r="CS248" s="94"/>
      <c r="CT248" s="94"/>
      <c r="CU248" s="94"/>
      <c r="CV248" s="94"/>
      <c r="CW248" s="94"/>
      <c r="CX248" s="94"/>
      <c r="CY248" s="94"/>
      <c r="CZ248" s="94"/>
      <c r="DA248" s="94"/>
      <c r="DB248" s="94"/>
      <c r="DC248" s="94"/>
      <c r="DD248" s="94"/>
      <c r="DE248" s="94"/>
      <c r="DF248" s="94"/>
      <c r="DG248" s="94"/>
      <c r="DH248" s="94"/>
      <c r="DI248" s="94"/>
      <c r="DJ248" s="94"/>
      <c r="DK248" s="94"/>
      <c r="DL248" s="94"/>
      <c r="DM248" s="94"/>
      <c r="DN248" s="94"/>
      <c r="DO248" s="94"/>
      <c r="DP248" s="94"/>
      <c r="DQ248" s="94"/>
      <c r="DR248" s="94"/>
      <c r="DS248" s="94"/>
      <c r="DT248" s="94"/>
      <c r="DU248" s="94"/>
      <c r="DV248" s="94"/>
      <c r="DW248" s="94"/>
      <c r="DX248" s="94"/>
      <c r="DY248" s="94"/>
      <c r="DZ248" s="218"/>
      <c r="EA248" s="231"/>
      <c r="EB248" s="231"/>
      <c r="EC248" s="231"/>
      <c r="ED248" s="231"/>
      <c r="EE248" s="231"/>
      <c r="EF248" s="231"/>
      <c r="EG248" s="231"/>
      <c r="EH248" s="231"/>
      <c r="EI248" s="231"/>
      <c r="EJ248" s="231"/>
      <c r="EK248" s="231"/>
      <c r="EL248" s="231"/>
      <c r="EM248" s="231"/>
      <c r="EN248" s="231"/>
      <c r="EO248" s="231"/>
      <c r="EP248" s="231"/>
      <c r="EQ248" s="231"/>
    </row>
    <row r="249" spans="1:147" ht="22.9" hidden="1" customHeight="1" outlineLevel="4" x14ac:dyDescent="0.2">
      <c r="A249" s="150" t="s">
        <v>802</v>
      </c>
      <c r="B249" s="53" t="s">
        <v>785</v>
      </c>
      <c r="C249" s="50" t="s">
        <v>100</v>
      </c>
      <c r="D249" s="165">
        <v>1</v>
      </c>
      <c r="E249" s="158">
        <v>1</v>
      </c>
      <c r="F249" s="52">
        <f>SUM(H249:DY249)*E249*Table1[[#This Row],[Cycles]]</f>
        <v>0</v>
      </c>
      <c r="G249" s="46">
        <f>SUMPRODUCT($H$3:$DY$3,$H249:$DY249)*E249*D249</f>
        <v>0</v>
      </c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4"/>
      <c r="BL249" s="94"/>
      <c r="BM249" s="94"/>
      <c r="BN249" s="94"/>
      <c r="BO249" s="94"/>
      <c r="BP249" s="94"/>
      <c r="BQ249" s="94"/>
      <c r="BR249" s="94"/>
      <c r="BS249" s="94"/>
      <c r="BT249" s="94"/>
      <c r="BU249" s="94"/>
      <c r="BV249" s="94"/>
      <c r="BW249" s="94"/>
      <c r="BX249" s="94"/>
      <c r="BY249" s="94"/>
      <c r="BZ249" s="94"/>
      <c r="CA249" s="94"/>
      <c r="CB249" s="94"/>
      <c r="CC249" s="94"/>
      <c r="CD249" s="94"/>
      <c r="CE249" s="94"/>
      <c r="CF249" s="94"/>
      <c r="CG249" s="94"/>
      <c r="CH249" s="94"/>
      <c r="CI249" s="94"/>
      <c r="CJ249" s="94"/>
      <c r="CK249" s="94"/>
      <c r="CL249" s="94"/>
      <c r="CM249" s="94"/>
      <c r="CN249" s="94"/>
      <c r="CO249" s="94"/>
      <c r="CP249" s="94"/>
      <c r="CQ249" s="94"/>
      <c r="CR249" s="94"/>
      <c r="CS249" s="94"/>
      <c r="CT249" s="94"/>
      <c r="CU249" s="94"/>
      <c r="CV249" s="94"/>
      <c r="CW249" s="94"/>
      <c r="CX249" s="94"/>
      <c r="CY249" s="94"/>
      <c r="CZ249" s="94"/>
      <c r="DA249" s="94"/>
      <c r="DB249" s="94"/>
      <c r="DC249" s="94"/>
      <c r="DD249" s="94"/>
      <c r="DE249" s="94"/>
      <c r="DF249" s="94"/>
      <c r="DG249" s="94"/>
      <c r="DH249" s="94"/>
      <c r="DI249" s="94"/>
      <c r="DJ249" s="94"/>
      <c r="DK249" s="94"/>
      <c r="DL249" s="94"/>
      <c r="DM249" s="94"/>
      <c r="DN249" s="94"/>
      <c r="DO249" s="94"/>
      <c r="DP249" s="94"/>
      <c r="DQ249" s="94"/>
      <c r="DR249" s="94"/>
      <c r="DS249" s="94"/>
      <c r="DT249" s="94"/>
      <c r="DU249" s="94"/>
      <c r="DV249" s="94"/>
      <c r="DW249" s="94"/>
      <c r="DX249" s="94"/>
      <c r="DY249" s="94"/>
      <c r="DZ249" s="218"/>
      <c r="EA249" s="231"/>
      <c r="EB249" s="231"/>
      <c r="EC249" s="231"/>
      <c r="ED249" s="231"/>
      <c r="EE249" s="231"/>
      <c r="EF249" s="231"/>
      <c r="EG249" s="231"/>
      <c r="EH249" s="231"/>
      <c r="EI249" s="231"/>
      <c r="EJ249" s="231"/>
      <c r="EK249" s="231"/>
      <c r="EL249" s="231"/>
      <c r="EM249" s="231"/>
      <c r="EN249" s="231"/>
      <c r="EO249" s="231"/>
      <c r="EP249" s="231"/>
      <c r="EQ249" s="231"/>
    </row>
    <row r="250" spans="1:147" ht="22.9" hidden="1" customHeight="1" outlineLevel="4" x14ac:dyDescent="0.2">
      <c r="A250" s="150" t="s">
        <v>803</v>
      </c>
      <c r="B250" s="53" t="s">
        <v>786</v>
      </c>
      <c r="C250" s="50" t="s">
        <v>100</v>
      </c>
      <c r="D250" s="165">
        <v>1</v>
      </c>
      <c r="E250" s="158">
        <v>1</v>
      </c>
      <c r="F250" s="52">
        <f>SUM(H250:DY250)*E250*Table1[[#This Row],[Cycles]]</f>
        <v>0</v>
      </c>
      <c r="G250" s="46">
        <f>SUMPRODUCT($H$3:$DY$3,$H250:$DY250)*E250*D250</f>
        <v>0</v>
      </c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4"/>
      <c r="BL250" s="94"/>
      <c r="BM250" s="94"/>
      <c r="BN250" s="94"/>
      <c r="BO250" s="94"/>
      <c r="BP250" s="115"/>
      <c r="BQ250" s="115"/>
      <c r="BR250" s="115"/>
      <c r="BS250" s="115"/>
      <c r="BT250" s="115"/>
      <c r="BU250" s="115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94"/>
      <c r="CI250" s="94"/>
      <c r="CJ250" s="94"/>
      <c r="CK250" s="94"/>
      <c r="CL250" s="94"/>
      <c r="CM250" s="94"/>
      <c r="CN250" s="94"/>
      <c r="CO250" s="94"/>
      <c r="CP250" s="94"/>
      <c r="CQ250" s="94"/>
      <c r="CR250" s="94"/>
      <c r="CS250" s="94"/>
      <c r="CT250" s="94"/>
      <c r="CU250" s="94"/>
      <c r="CV250" s="94"/>
      <c r="CW250" s="94"/>
      <c r="CX250" s="94"/>
      <c r="CY250" s="94"/>
      <c r="CZ250" s="94"/>
      <c r="DA250" s="94"/>
      <c r="DB250" s="94"/>
      <c r="DC250" s="94"/>
      <c r="DD250" s="94"/>
      <c r="DE250" s="94"/>
      <c r="DF250" s="94"/>
      <c r="DG250" s="94"/>
      <c r="DH250" s="94"/>
      <c r="DI250" s="94"/>
      <c r="DJ250" s="94"/>
      <c r="DK250" s="94"/>
      <c r="DL250" s="94"/>
      <c r="DM250" s="94"/>
      <c r="DN250" s="94"/>
      <c r="DO250" s="94"/>
      <c r="DP250" s="94"/>
      <c r="DQ250" s="94"/>
      <c r="DR250" s="94"/>
      <c r="DS250" s="94"/>
      <c r="DT250" s="94"/>
      <c r="DU250" s="94"/>
      <c r="DV250" s="94"/>
      <c r="DW250" s="94"/>
      <c r="DX250" s="94"/>
      <c r="DY250" s="94"/>
      <c r="DZ250" s="218"/>
      <c r="EA250" s="231"/>
      <c r="EB250" s="231"/>
      <c r="EC250" s="231"/>
      <c r="ED250" s="231"/>
      <c r="EE250" s="231"/>
      <c r="EF250" s="231"/>
      <c r="EG250" s="231"/>
      <c r="EH250" s="231"/>
      <c r="EI250" s="231"/>
      <c r="EJ250" s="231"/>
      <c r="EK250" s="231"/>
      <c r="EL250" s="231"/>
      <c r="EM250" s="231"/>
      <c r="EN250" s="231"/>
      <c r="EO250" s="231"/>
      <c r="EP250" s="231"/>
      <c r="EQ250" s="231"/>
    </row>
    <row r="251" spans="1:147" ht="22.9" hidden="1" customHeight="1" outlineLevel="4" x14ac:dyDescent="0.2">
      <c r="A251" s="150" t="s">
        <v>804</v>
      </c>
      <c r="B251" s="53" t="s">
        <v>787</v>
      </c>
      <c r="C251" s="50" t="s">
        <v>100</v>
      </c>
      <c r="D251" s="165">
        <v>1</v>
      </c>
      <c r="E251" s="158">
        <v>1</v>
      </c>
      <c r="F251" s="52">
        <f>SUM(H251:EQ251)*E251*Table1[[#This Row],[Cycles]]</f>
        <v>0</v>
      </c>
      <c r="G251" s="46">
        <f>SUMPRODUCT($H$3:$EQ$3,$H251:$EQ251)*E251*D251</f>
        <v>0</v>
      </c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4"/>
      <c r="BL251" s="94"/>
      <c r="BM251" s="94"/>
      <c r="BN251" s="94"/>
      <c r="BO251" s="94"/>
      <c r="BP251" s="115"/>
      <c r="BQ251" s="115"/>
      <c r="BR251" s="115"/>
      <c r="BS251" s="115"/>
      <c r="BT251" s="115"/>
      <c r="BU251" s="115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94"/>
      <c r="CI251" s="94"/>
      <c r="CJ251" s="94"/>
      <c r="CK251" s="94"/>
      <c r="CL251" s="94"/>
      <c r="CM251" s="94"/>
      <c r="CN251" s="94"/>
      <c r="CO251" s="94"/>
      <c r="CP251" s="94"/>
      <c r="CQ251" s="94"/>
      <c r="CR251" s="94"/>
      <c r="CS251" s="94"/>
      <c r="CT251" s="94"/>
      <c r="CU251" s="94"/>
      <c r="CV251" s="94"/>
      <c r="CW251" s="94"/>
      <c r="CX251" s="94"/>
      <c r="CY251" s="94"/>
      <c r="CZ251" s="94"/>
      <c r="DA251" s="94"/>
      <c r="DB251" s="94"/>
      <c r="DC251" s="94"/>
      <c r="DD251" s="94"/>
      <c r="DE251" s="94"/>
      <c r="DF251" s="94"/>
      <c r="DG251" s="94"/>
      <c r="DH251" s="94"/>
      <c r="DI251" s="94"/>
      <c r="DJ251" s="94"/>
      <c r="DK251" s="94"/>
      <c r="DL251" s="94"/>
      <c r="DM251" s="94"/>
      <c r="DN251" s="94"/>
      <c r="DO251" s="94"/>
      <c r="DP251" s="94"/>
      <c r="DQ251" s="94"/>
      <c r="DR251" s="94"/>
      <c r="DS251" s="94"/>
      <c r="DT251" s="94"/>
      <c r="DU251" s="94"/>
      <c r="DV251" s="94"/>
      <c r="DW251" s="94"/>
      <c r="DX251" s="94"/>
      <c r="DY251" s="94"/>
      <c r="DZ251" s="218"/>
      <c r="EA251" s="231"/>
      <c r="EB251" s="231"/>
      <c r="EC251" s="231"/>
      <c r="ED251" s="231"/>
      <c r="EE251" s="231"/>
      <c r="EF251" s="231"/>
      <c r="EG251" s="231"/>
      <c r="EH251" s="231"/>
      <c r="EI251" s="231"/>
      <c r="EJ251" s="231"/>
      <c r="EK251" s="231"/>
      <c r="EL251" s="231"/>
      <c r="EM251" s="231"/>
      <c r="EN251" s="231"/>
      <c r="EO251" s="231"/>
      <c r="EP251" s="231"/>
      <c r="EQ251" s="231"/>
    </row>
    <row r="252" spans="1:147" ht="22.9" hidden="1" customHeight="1" outlineLevel="4" x14ac:dyDescent="0.2">
      <c r="A252" s="150" t="s">
        <v>805</v>
      </c>
      <c r="B252" s="53" t="s">
        <v>788</v>
      </c>
      <c r="C252" s="50" t="s">
        <v>100</v>
      </c>
      <c r="D252" s="165">
        <v>1</v>
      </c>
      <c r="E252" s="158">
        <v>1</v>
      </c>
      <c r="F252" s="52">
        <f>SUM(H252:EQ252)*E252*Table1[[#This Row],[Cycles]]</f>
        <v>0</v>
      </c>
      <c r="G252" s="46">
        <f>SUMPRODUCT($H$3:$EQ$3,$H252:$EQ252)*E252*D252</f>
        <v>0</v>
      </c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4"/>
      <c r="BL252" s="94"/>
      <c r="BM252" s="94"/>
      <c r="BN252" s="94"/>
      <c r="BO252" s="94"/>
      <c r="BP252" s="94"/>
      <c r="BQ252" s="94"/>
      <c r="BR252" s="94"/>
      <c r="BS252" s="94"/>
      <c r="BT252" s="94"/>
      <c r="BU252" s="94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/>
      <c r="CF252" s="94"/>
      <c r="CG252" s="94"/>
      <c r="CH252" s="94"/>
      <c r="CI252" s="94"/>
      <c r="CJ252" s="94"/>
      <c r="CK252" s="94"/>
      <c r="CL252" s="94"/>
      <c r="CM252" s="94"/>
      <c r="CN252" s="94"/>
      <c r="CO252" s="94"/>
      <c r="CP252" s="94"/>
      <c r="CQ252" s="94"/>
      <c r="CR252" s="94"/>
      <c r="CS252" s="94"/>
      <c r="CT252" s="94"/>
      <c r="CU252" s="94"/>
      <c r="CV252" s="94"/>
      <c r="CW252" s="94"/>
      <c r="CX252" s="94"/>
      <c r="CY252" s="94"/>
      <c r="CZ252" s="94"/>
      <c r="DA252" s="94"/>
      <c r="DB252" s="94"/>
      <c r="DC252" s="94"/>
      <c r="DD252" s="94"/>
      <c r="DE252" s="94"/>
      <c r="DF252" s="94"/>
      <c r="DG252" s="94"/>
      <c r="DH252" s="94"/>
      <c r="DI252" s="94"/>
      <c r="DJ252" s="94"/>
      <c r="DK252" s="94"/>
      <c r="DL252" s="94"/>
      <c r="DM252" s="94"/>
      <c r="DN252" s="94"/>
      <c r="DO252" s="94"/>
      <c r="DP252" s="94"/>
      <c r="DQ252" s="94"/>
      <c r="DR252" s="94"/>
      <c r="DS252" s="94"/>
      <c r="DT252" s="94"/>
      <c r="DU252" s="94"/>
      <c r="DV252" s="94"/>
      <c r="DW252" s="94"/>
      <c r="DX252" s="94"/>
      <c r="DY252" s="94"/>
      <c r="DZ252" s="218"/>
      <c r="EA252" s="231"/>
      <c r="EB252" s="231"/>
      <c r="EC252" s="231"/>
      <c r="ED252" s="231"/>
      <c r="EE252" s="231"/>
      <c r="EF252" s="231"/>
      <c r="EG252" s="231"/>
      <c r="EH252" s="231"/>
      <c r="EI252" s="231"/>
      <c r="EJ252" s="231"/>
      <c r="EK252" s="231"/>
      <c r="EL252" s="231"/>
      <c r="EM252" s="231"/>
      <c r="EN252" s="231"/>
      <c r="EO252" s="231"/>
      <c r="EP252" s="231"/>
      <c r="EQ252" s="231"/>
    </row>
    <row r="253" spans="1:147" ht="22.9" hidden="1" customHeight="1" outlineLevel="4" x14ac:dyDescent="0.2">
      <c r="A253" s="150" t="s">
        <v>806</v>
      </c>
      <c r="B253" s="53" t="s">
        <v>789</v>
      </c>
      <c r="C253" s="50" t="s">
        <v>100</v>
      </c>
      <c r="D253" s="165">
        <v>1</v>
      </c>
      <c r="E253" s="158">
        <v>1</v>
      </c>
      <c r="F253" s="52">
        <f>SUM(H253:EQ253)*E253*Table1[[#This Row],[Cycles]]</f>
        <v>0</v>
      </c>
      <c r="G253" s="46">
        <f>SUMPRODUCT($H$3:$EQ$3,$H253:$EQ253)*E253*D253</f>
        <v>0</v>
      </c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4"/>
      <c r="BL253" s="94"/>
      <c r="BM253" s="94"/>
      <c r="BN253" s="94"/>
      <c r="BO253" s="94"/>
      <c r="BP253" s="115"/>
      <c r="BQ253" s="115"/>
      <c r="BR253" s="115"/>
      <c r="BS253" s="115"/>
      <c r="BT253" s="115"/>
      <c r="BU253" s="115"/>
      <c r="BV253" s="94"/>
      <c r="BW253" s="94"/>
      <c r="BX253" s="94"/>
      <c r="BY253" s="94"/>
      <c r="BZ253" s="94"/>
      <c r="CA253" s="94"/>
      <c r="CB253" s="94"/>
      <c r="CC253" s="94"/>
      <c r="CD253" s="94"/>
      <c r="CE253" s="94"/>
      <c r="CF253" s="94"/>
      <c r="CG253" s="94"/>
      <c r="CH253" s="94"/>
      <c r="CI253" s="94"/>
      <c r="CJ253" s="94"/>
      <c r="CK253" s="94"/>
      <c r="CL253" s="94"/>
      <c r="CM253" s="94"/>
      <c r="CN253" s="94"/>
      <c r="CO253" s="94"/>
      <c r="CP253" s="94"/>
      <c r="CQ253" s="94"/>
      <c r="CR253" s="94"/>
      <c r="CS253" s="94"/>
      <c r="CT253" s="94"/>
      <c r="CU253" s="94"/>
      <c r="CV253" s="94"/>
      <c r="CW253" s="94"/>
      <c r="CX253" s="94"/>
      <c r="CY253" s="94"/>
      <c r="CZ253" s="94"/>
      <c r="DA253" s="94"/>
      <c r="DB253" s="94"/>
      <c r="DC253" s="94"/>
      <c r="DD253" s="94"/>
      <c r="DE253" s="94"/>
      <c r="DF253" s="94"/>
      <c r="DG253" s="94"/>
      <c r="DH253" s="94"/>
      <c r="DI253" s="94"/>
      <c r="DJ253" s="94"/>
      <c r="DK253" s="94"/>
      <c r="DL253" s="94"/>
      <c r="DM253" s="94"/>
      <c r="DN253" s="94"/>
      <c r="DO253" s="94"/>
      <c r="DP253" s="94"/>
      <c r="DQ253" s="94"/>
      <c r="DR253" s="94"/>
      <c r="DS253" s="94"/>
      <c r="DT253" s="94"/>
      <c r="DU253" s="94"/>
      <c r="DV253" s="94"/>
      <c r="DW253" s="94"/>
      <c r="DX253" s="94"/>
      <c r="DY253" s="94"/>
      <c r="DZ253" s="218"/>
      <c r="EA253" s="231"/>
      <c r="EB253" s="231"/>
      <c r="EC253" s="231"/>
      <c r="ED253" s="231"/>
      <c r="EE253" s="231"/>
      <c r="EF253" s="231"/>
      <c r="EG253" s="231"/>
      <c r="EH253" s="231"/>
      <c r="EI253" s="231"/>
      <c r="EJ253" s="231"/>
      <c r="EK253" s="231"/>
      <c r="EL253" s="231"/>
      <c r="EM253" s="231"/>
      <c r="EN253" s="231"/>
      <c r="EO253" s="231"/>
      <c r="EP253" s="231"/>
      <c r="EQ253" s="231"/>
    </row>
    <row r="254" spans="1:147" ht="22.9" hidden="1" customHeight="1" outlineLevel="4" x14ac:dyDescent="0.2">
      <c r="A254" s="150" t="s">
        <v>807</v>
      </c>
      <c r="B254" s="53" t="s">
        <v>790</v>
      </c>
      <c r="C254" s="50" t="s">
        <v>100</v>
      </c>
      <c r="D254" s="165">
        <v>1</v>
      </c>
      <c r="E254" s="158">
        <v>1</v>
      </c>
      <c r="F254" s="52">
        <f>SUM(H254:EQ254)*E254*Table1[[#This Row],[Cycles]]</f>
        <v>0</v>
      </c>
      <c r="G254" s="46">
        <f>SUMPRODUCT($H$3:$EQ$3,$H254:$EQ254)*E254*D254</f>
        <v>0</v>
      </c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4"/>
      <c r="BL254" s="94"/>
      <c r="BM254" s="94"/>
      <c r="BN254" s="94"/>
      <c r="BO254" s="94"/>
      <c r="BP254" s="115"/>
      <c r="BQ254" s="115"/>
      <c r="BR254" s="115"/>
      <c r="BS254" s="115"/>
      <c r="BT254" s="115"/>
      <c r="BU254" s="115"/>
      <c r="BV254" s="94"/>
      <c r="BW254" s="94"/>
      <c r="BX254" s="94"/>
      <c r="BY254" s="94"/>
      <c r="BZ254" s="94"/>
      <c r="CA254" s="94"/>
      <c r="CB254" s="94"/>
      <c r="CC254" s="94"/>
      <c r="CD254" s="94"/>
      <c r="CE254" s="94"/>
      <c r="CF254" s="94"/>
      <c r="CG254" s="94"/>
      <c r="CH254" s="94"/>
      <c r="CI254" s="94"/>
      <c r="CJ254" s="94"/>
      <c r="CK254" s="94"/>
      <c r="CL254" s="94"/>
      <c r="CM254" s="94"/>
      <c r="CN254" s="94"/>
      <c r="CO254" s="94"/>
      <c r="CP254" s="94"/>
      <c r="CQ254" s="94"/>
      <c r="CR254" s="94"/>
      <c r="CS254" s="94"/>
      <c r="CT254" s="94"/>
      <c r="CU254" s="94"/>
      <c r="CV254" s="94"/>
      <c r="CW254" s="94"/>
      <c r="CX254" s="94"/>
      <c r="CY254" s="94"/>
      <c r="CZ254" s="94"/>
      <c r="DA254" s="94"/>
      <c r="DB254" s="94"/>
      <c r="DC254" s="94"/>
      <c r="DD254" s="94"/>
      <c r="DE254" s="94"/>
      <c r="DF254" s="94"/>
      <c r="DG254" s="94"/>
      <c r="DH254" s="94"/>
      <c r="DI254" s="94"/>
      <c r="DJ254" s="94"/>
      <c r="DK254" s="94"/>
      <c r="DL254" s="94"/>
      <c r="DM254" s="94"/>
      <c r="DN254" s="94"/>
      <c r="DO254" s="94"/>
      <c r="DP254" s="94"/>
      <c r="DQ254" s="94"/>
      <c r="DR254" s="94"/>
      <c r="DS254" s="94"/>
      <c r="DT254" s="94"/>
      <c r="DU254" s="94"/>
      <c r="DV254" s="94"/>
      <c r="DW254" s="94"/>
      <c r="DX254" s="94"/>
      <c r="DY254" s="94"/>
      <c r="DZ254" s="218"/>
      <c r="EA254" s="231"/>
      <c r="EB254" s="231"/>
      <c r="EC254" s="231"/>
      <c r="ED254" s="231"/>
      <c r="EE254" s="231"/>
      <c r="EF254" s="231"/>
      <c r="EG254" s="231"/>
      <c r="EH254" s="231"/>
      <c r="EI254" s="231"/>
      <c r="EJ254" s="231"/>
      <c r="EK254" s="231"/>
      <c r="EL254" s="231"/>
      <c r="EM254" s="231"/>
      <c r="EN254" s="231"/>
      <c r="EO254" s="231"/>
      <c r="EP254" s="231"/>
      <c r="EQ254" s="231"/>
    </row>
    <row r="255" spans="1:147" ht="22.9" hidden="1" customHeight="1" outlineLevel="4" x14ac:dyDescent="0.2">
      <c r="A255" s="150" t="s">
        <v>808</v>
      </c>
      <c r="B255" s="53" t="s">
        <v>791</v>
      </c>
      <c r="C255" s="50" t="s">
        <v>100</v>
      </c>
      <c r="D255" s="165">
        <v>1</v>
      </c>
      <c r="E255" s="158">
        <v>1</v>
      </c>
      <c r="F255" s="52">
        <f>SUM(H255:EQ255)*E255*Table1[[#This Row],[Cycles]]</f>
        <v>0</v>
      </c>
      <c r="G255" s="46">
        <f>SUMPRODUCT($H$3:$EQ$3,$H255:$EQ255)*E255*D255</f>
        <v>0</v>
      </c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  <c r="AX255" s="94"/>
      <c r="AY255" s="94"/>
      <c r="AZ255" s="94"/>
      <c r="BA255" s="94"/>
      <c r="BB255" s="94"/>
      <c r="BC255" s="94"/>
      <c r="BD255" s="94"/>
      <c r="BE255" s="94"/>
      <c r="BF255" s="94"/>
      <c r="BG255" s="94"/>
      <c r="BH255" s="94"/>
      <c r="BI255" s="94"/>
      <c r="BJ255" s="94"/>
      <c r="BK255" s="94"/>
      <c r="BL255" s="94"/>
      <c r="BM255" s="94"/>
      <c r="BN255" s="94"/>
      <c r="BO255" s="94"/>
      <c r="BP255" s="115"/>
      <c r="BQ255" s="115"/>
      <c r="BR255" s="115"/>
      <c r="BS255" s="115"/>
      <c r="BT255" s="115"/>
      <c r="BU255" s="115"/>
      <c r="BV255" s="94"/>
      <c r="BW255" s="94"/>
      <c r="BX255" s="94"/>
      <c r="BY255" s="94"/>
      <c r="BZ255" s="94"/>
      <c r="CA255" s="94"/>
      <c r="CB255" s="94"/>
      <c r="CC255" s="94"/>
      <c r="CD255" s="94"/>
      <c r="CE255" s="94"/>
      <c r="CF255" s="94"/>
      <c r="CG255" s="94"/>
      <c r="CH255" s="94"/>
      <c r="CI255" s="94"/>
      <c r="CJ255" s="94"/>
      <c r="CK255" s="94"/>
      <c r="CL255" s="94"/>
      <c r="CM255" s="94"/>
      <c r="CN255" s="94"/>
      <c r="CO255" s="94"/>
      <c r="CP255" s="94"/>
      <c r="CQ255" s="94"/>
      <c r="CR255" s="94"/>
      <c r="CS255" s="94"/>
      <c r="CT255" s="94"/>
      <c r="CU255" s="94"/>
      <c r="CV255" s="94"/>
      <c r="CW255" s="94"/>
      <c r="CX255" s="94"/>
      <c r="CY255" s="94"/>
      <c r="CZ255" s="94"/>
      <c r="DA255" s="94"/>
      <c r="DB255" s="94"/>
      <c r="DC255" s="94"/>
      <c r="DD255" s="94"/>
      <c r="DE255" s="94"/>
      <c r="DF255" s="94"/>
      <c r="DG255" s="94"/>
      <c r="DH255" s="94"/>
      <c r="DI255" s="94"/>
      <c r="DJ255" s="94"/>
      <c r="DK255" s="94"/>
      <c r="DL255" s="94"/>
      <c r="DM255" s="94"/>
      <c r="DN255" s="94"/>
      <c r="DO255" s="94"/>
      <c r="DP255" s="94"/>
      <c r="DQ255" s="94"/>
      <c r="DR255" s="94"/>
      <c r="DS255" s="94"/>
      <c r="DT255" s="94"/>
      <c r="DU255" s="94"/>
      <c r="DV255" s="94"/>
      <c r="DW255" s="94"/>
      <c r="DX255" s="94"/>
      <c r="DY255" s="94"/>
      <c r="DZ255" s="218"/>
      <c r="EA255" s="231"/>
      <c r="EB255" s="231"/>
      <c r="EC255" s="231"/>
      <c r="ED255" s="231"/>
      <c r="EE255" s="231"/>
      <c r="EF255" s="231"/>
      <c r="EG255" s="231"/>
      <c r="EH255" s="231"/>
      <c r="EI255" s="231"/>
      <c r="EJ255" s="231"/>
      <c r="EK255" s="231"/>
      <c r="EL255" s="231"/>
      <c r="EM255" s="231"/>
      <c r="EN255" s="231"/>
      <c r="EO255" s="231"/>
      <c r="EP255" s="231"/>
      <c r="EQ255" s="231"/>
    </row>
    <row r="256" spans="1:147" s="40" customFormat="1" ht="22.9" customHeight="1" outlineLevel="1" collapsed="1" x14ac:dyDescent="0.2">
      <c r="A256" s="149" t="s">
        <v>688</v>
      </c>
      <c r="B256" s="34" t="s">
        <v>713</v>
      </c>
      <c r="C256" s="30" t="s">
        <v>100</v>
      </c>
      <c r="D256" s="164"/>
      <c r="E256" s="164"/>
      <c r="F256" s="45">
        <f>SUM(F257:F263)</f>
        <v>0</v>
      </c>
      <c r="G256" s="44">
        <f>SUM(G257:G263)</f>
        <v>0</v>
      </c>
      <c r="H256" s="45">
        <f>SUMPRODUCT($D$257:$D$263,$E$257:$E$263,H257:H263)</f>
        <v>0</v>
      </c>
      <c r="I256" s="45">
        <f>SUMPRODUCT($D$257:$D$263,$E$257:$E$263,I257:I263)</f>
        <v>0</v>
      </c>
      <c r="J256" s="45">
        <f t="shared" ref="J256:BT256" si="189">SUMPRODUCT($D$257:$D$263,$E$257:$E$263,J257:J263)</f>
        <v>0</v>
      </c>
      <c r="K256" s="45">
        <f t="shared" si="189"/>
        <v>0</v>
      </c>
      <c r="L256" s="45">
        <f>SUMPRODUCT($D$257:$D$263,$E$257:$E$263,L257:L263)</f>
        <v>0</v>
      </c>
      <c r="M256" s="45">
        <f t="shared" si="189"/>
        <v>0</v>
      </c>
      <c r="N256" s="45">
        <f t="shared" si="189"/>
        <v>0</v>
      </c>
      <c r="O256" s="45">
        <f t="shared" si="189"/>
        <v>0</v>
      </c>
      <c r="P256" s="45">
        <f t="shared" si="189"/>
        <v>0</v>
      </c>
      <c r="Q256" s="45">
        <f t="shared" si="189"/>
        <v>0</v>
      </c>
      <c r="R256" s="45">
        <f t="shared" si="189"/>
        <v>0</v>
      </c>
      <c r="S256" s="45">
        <f t="shared" si="189"/>
        <v>0</v>
      </c>
      <c r="T256" s="45">
        <f t="shared" si="189"/>
        <v>0</v>
      </c>
      <c r="U256" s="45">
        <f t="shared" si="189"/>
        <v>0</v>
      </c>
      <c r="V256" s="45">
        <f t="shared" si="189"/>
        <v>0</v>
      </c>
      <c r="W256" s="45">
        <f t="shared" si="189"/>
        <v>0</v>
      </c>
      <c r="X256" s="45">
        <f t="shared" si="189"/>
        <v>0</v>
      </c>
      <c r="Y256" s="45">
        <f t="shared" si="189"/>
        <v>0</v>
      </c>
      <c r="Z256" s="45">
        <f t="shared" si="189"/>
        <v>0</v>
      </c>
      <c r="AA256" s="45">
        <f t="shared" si="189"/>
        <v>0</v>
      </c>
      <c r="AB256" s="45">
        <f t="shared" si="189"/>
        <v>0</v>
      </c>
      <c r="AC256" s="45">
        <f t="shared" si="189"/>
        <v>0</v>
      </c>
      <c r="AD256" s="45">
        <f t="shared" si="189"/>
        <v>0</v>
      </c>
      <c r="AE256" s="45">
        <f t="shared" si="189"/>
        <v>0</v>
      </c>
      <c r="AF256" s="45">
        <f t="shared" si="189"/>
        <v>0</v>
      </c>
      <c r="AG256" s="45">
        <f t="shared" si="189"/>
        <v>0</v>
      </c>
      <c r="AH256" s="45">
        <f t="shared" si="189"/>
        <v>0</v>
      </c>
      <c r="AI256" s="45">
        <f t="shared" si="189"/>
        <v>0</v>
      </c>
      <c r="AJ256" s="45">
        <f t="shared" si="189"/>
        <v>0</v>
      </c>
      <c r="AK256" s="45">
        <f t="shared" si="189"/>
        <v>0</v>
      </c>
      <c r="AL256" s="45">
        <f t="shared" si="189"/>
        <v>0</v>
      </c>
      <c r="AM256" s="45">
        <f t="shared" si="189"/>
        <v>0</v>
      </c>
      <c r="AN256" s="45">
        <f t="shared" si="189"/>
        <v>0</v>
      </c>
      <c r="AO256" s="45">
        <f t="shared" si="189"/>
        <v>0</v>
      </c>
      <c r="AP256" s="45">
        <f t="shared" si="189"/>
        <v>0</v>
      </c>
      <c r="AQ256" s="45">
        <f t="shared" si="189"/>
        <v>0</v>
      </c>
      <c r="AR256" s="45">
        <f t="shared" si="189"/>
        <v>0</v>
      </c>
      <c r="AS256" s="45">
        <f t="shared" si="189"/>
        <v>0</v>
      </c>
      <c r="AT256" s="45">
        <f t="shared" si="189"/>
        <v>0</v>
      </c>
      <c r="AU256" s="45">
        <f t="shared" si="189"/>
        <v>0</v>
      </c>
      <c r="AV256" s="45">
        <f t="shared" si="189"/>
        <v>0</v>
      </c>
      <c r="AW256" s="45">
        <f t="shared" si="189"/>
        <v>0</v>
      </c>
      <c r="AX256" s="45">
        <f t="shared" si="189"/>
        <v>0</v>
      </c>
      <c r="AY256" s="45">
        <f t="shared" si="189"/>
        <v>0</v>
      </c>
      <c r="AZ256" s="45">
        <f t="shared" si="189"/>
        <v>0</v>
      </c>
      <c r="BA256" s="45">
        <f t="shared" si="189"/>
        <v>0</v>
      </c>
      <c r="BB256" s="45">
        <f t="shared" si="189"/>
        <v>0</v>
      </c>
      <c r="BC256" s="45">
        <f t="shared" si="189"/>
        <v>0</v>
      </c>
      <c r="BD256" s="45">
        <f t="shared" si="189"/>
        <v>0</v>
      </c>
      <c r="BE256" s="45">
        <f t="shared" si="189"/>
        <v>0</v>
      </c>
      <c r="BF256" s="45">
        <f t="shared" si="189"/>
        <v>0</v>
      </c>
      <c r="BG256" s="45">
        <f t="shared" si="189"/>
        <v>0</v>
      </c>
      <c r="BH256" s="45">
        <f t="shared" si="189"/>
        <v>0</v>
      </c>
      <c r="BI256" s="45">
        <f t="shared" si="189"/>
        <v>0</v>
      </c>
      <c r="BJ256" s="45">
        <f t="shared" si="189"/>
        <v>0</v>
      </c>
      <c r="BK256" s="45">
        <f t="shared" si="189"/>
        <v>0</v>
      </c>
      <c r="BL256" s="45">
        <f t="shared" si="189"/>
        <v>0</v>
      </c>
      <c r="BM256" s="45">
        <f t="shared" si="189"/>
        <v>0</v>
      </c>
      <c r="BN256" s="45">
        <f t="shared" si="189"/>
        <v>0</v>
      </c>
      <c r="BO256" s="45">
        <f t="shared" si="189"/>
        <v>0</v>
      </c>
      <c r="BP256" s="45">
        <f t="shared" si="189"/>
        <v>0</v>
      </c>
      <c r="BQ256" s="45">
        <f t="shared" si="189"/>
        <v>0</v>
      </c>
      <c r="BR256" s="45">
        <f t="shared" si="189"/>
        <v>0</v>
      </c>
      <c r="BS256" s="45">
        <f>SUMPRODUCT($D$257:$D$263,$E$257:$E$263,BS257:BS263)</f>
        <v>0</v>
      </c>
      <c r="BT256" s="45">
        <f t="shared" si="189"/>
        <v>0</v>
      </c>
      <c r="BU256" s="45">
        <f t="shared" ref="BU256:DY256" si="190">SUMPRODUCT($D$257:$D$263,$E$257:$E$263,BU257:BU263)</f>
        <v>0</v>
      </c>
      <c r="BV256" s="45">
        <f t="shared" si="190"/>
        <v>0</v>
      </c>
      <c r="BW256" s="45">
        <f t="shared" si="190"/>
        <v>0</v>
      </c>
      <c r="BX256" s="45">
        <f t="shared" si="190"/>
        <v>0</v>
      </c>
      <c r="BY256" s="45">
        <f t="shared" si="190"/>
        <v>0</v>
      </c>
      <c r="BZ256" s="45">
        <f t="shared" si="190"/>
        <v>0</v>
      </c>
      <c r="CA256" s="45">
        <f t="shared" si="190"/>
        <v>0</v>
      </c>
      <c r="CB256" s="45">
        <f t="shared" si="190"/>
        <v>0</v>
      </c>
      <c r="CC256" s="45">
        <f t="shared" si="190"/>
        <v>0</v>
      </c>
      <c r="CD256" s="45">
        <f t="shared" si="190"/>
        <v>0</v>
      </c>
      <c r="CE256" s="45">
        <f t="shared" si="190"/>
        <v>0</v>
      </c>
      <c r="CF256" s="45">
        <f t="shared" si="190"/>
        <v>0</v>
      </c>
      <c r="CG256" s="45">
        <f t="shared" si="190"/>
        <v>0</v>
      </c>
      <c r="CH256" s="45">
        <f t="shared" si="190"/>
        <v>0</v>
      </c>
      <c r="CI256" s="45">
        <f t="shared" si="190"/>
        <v>0</v>
      </c>
      <c r="CJ256" s="45">
        <f t="shared" si="190"/>
        <v>0</v>
      </c>
      <c r="CK256" s="45">
        <f t="shared" si="190"/>
        <v>0</v>
      </c>
      <c r="CL256" s="45">
        <f t="shared" si="190"/>
        <v>0</v>
      </c>
      <c r="CM256" s="45">
        <f t="shared" si="190"/>
        <v>0</v>
      </c>
      <c r="CN256" s="45">
        <f t="shared" si="190"/>
        <v>0</v>
      </c>
      <c r="CO256" s="45">
        <f t="shared" si="190"/>
        <v>0</v>
      </c>
      <c r="CP256" s="45">
        <f t="shared" si="190"/>
        <v>0</v>
      </c>
      <c r="CQ256" s="45">
        <f t="shared" si="190"/>
        <v>0</v>
      </c>
      <c r="CR256" s="45">
        <f t="shared" si="190"/>
        <v>0</v>
      </c>
      <c r="CS256" s="45">
        <f t="shared" si="190"/>
        <v>0</v>
      </c>
      <c r="CT256" s="45">
        <f t="shared" si="190"/>
        <v>0</v>
      </c>
      <c r="CU256" s="45">
        <f t="shared" si="190"/>
        <v>0</v>
      </c>
      <c r="CV256" s="45">
        <f t="shared" si="190"/>
        <v>0</v>
      </c>
      <c r="CW256" s="45">
        <f t="shared" si="190"/>
        <v>0</v>
      </c>
      <c r="CX256" s="45">
        <f t="shared" si="190"/>
        <v>0</v>
      </c>
      <c r="CY256" s="45">
        <f t="shared" si="190"/>
        <v>0</v>
      </c>
      <c r="CZ256" s="45">
        <f t="shared" si="190"/>
        <v>0</v>
      </c>
      <c r="DA256" s="45">
        <f t="shared" si="190"/>
        <v>0</v>
      </c>
      <c r="DB256" s="45">
        <f t="shared" si="190"/>
        <v>0</v>
      </c>
      <c r="DC256" s="45">
        <f t="shared" si="190"/>
        <v>0</v>
      </c>
      <c r="DD256" s="45">
        <f t="shared" si="190"/>
        <v>0</v>
      </c>
      <c r="DE256" s="45">
        <f t="shared" si="190"/>
        <v>0</v>
      </c>
      <c r="DF256" s="45">
        <f t="shared" si="190"/>
        <v>0</v>
      </c>
      <c r="DG256" s="45">
        <f t="shared" si="190"/>
        <v>0</v>
      </c>
      <c r="DH256" s="45">
        <f t="shared" si="190"/>
        <v>0</v>
      </c>
      <c r="DI256" s="45">
        <f t="shared" si="190"/>
        <v>0</v>
      </c>
      <c r="DJ256" s="45">
        <f t="shared" si="190"/>
        <v>0</v>
      </c>
      <c r="DK256" s="45">
        <f t="shared" si="190"/>
        <v>0</v>
      </c>
      <c r="DL256" s="45">
        <f t="shared" si="190"/>
        <v>0</v>
      </c>
      <c r="DM256" s="45">
        <f t="shared" si="190"/>
        <v>0</v>
      </c>
      <c r="DN256" s="45">
        <f t="shared" si="190"/>
        <v>0</v>
      </c>
      <c r="DO256" s="45">
        <f t="shared" si="190"/>
        <v>0</v>
      </c>
      <c r="DP256" s="45">
        <f t="shared" si="190"/>
        <v>0</v>
      </c>
      <c r="DQ256" s="45">
        <f t="shared" si="190"/>
        <v>0</v>
      </c>
      <c r="DR256" s="45">
        <f t="shared" si="190"/>
        <v>0</v>
      </c>
      <c r="DS256" s="45">
        <f t="shared" si="190"/>
        <v>0</v>
      </c>
      <c r="DT256" s="45">
        <f t="shared" si="190"/>
        <v>0</v>
      </c>
      <c r="DU256" s="45">
        <f t="shared" si="190"/>
        <v>0</v>
      </c>
      <c r="DV256" s="45">
        <f t="shared" si="190"/>
        <v>0</v>
      </c>
      <c r="DW256" s="45">
        <f t="shared" si="190"/>
        <v>0</v>
      </c>
      <c r="DX256" s="45">
        <f>SUMPRODUCT($D$257:$D$263,$E$257:$E$263,DX257:DX263)</f>
        <v>0</v>
      </c>
      <c r="DY256" s="45">
        <f t="shared" si="190"/>
        <v>0</v>
      </c>
      <c r="DZ256" s="218"/>
      <c r="EA256" s="231"/>
      <c r="EB256" s="231"/>
      <c r="EC256" s="231"/>
      <c r="ED256" s="231"/>
      <c r="EE256" s="231"/>
      <c r="EF256" s="231"/>
      <c r="EG256" s="231"/>
      <c r="EH256" s="231"/>
      <c r="EI256" s="231"/>
      <c r="EJ256" s="231"/>
      <c r="EK256" s="231"/>
      <c r="EL256" s="231"/>
      <c r="EM256" s="231"/>
      <c r="EN256" s="231"/>
      <c r="EO256" s="231"/>
      <c r="EP256" s="231"/>
      <c r="EQ256" s="231"/>
    </row>
    <row r="257" spans="1:147" ht="22.9" hidden="1" customHeight="1" outlineLevel="2" x14ac:dyDescent="0.2">
      <c r="A257" s="146" t="s">
        <v>954</v>
      </c>
      <c r="B257" s="53" t="s">
        <v>716</v>
      </c>
      <c r="C257" s="50" t="s">
        <v>133</v>
      </c>
      <c r="D257" s="165">
        <v>1</v>
      </c>
      <c r="E257" s="158">
        <v>1</v>
      </c>
      <c r="F257" s="52">
        <f>SUM(H257:DY257)*E257*Table1[[#This Row],[Cycles]]</f>
        <v>0</v>
      </c>
      <c r="G257" s="46">
        <f>SUMPRODUCT($H$3:$DY$3,$H257:$DY257)*E257*D257</f>
        <v>0</v>
      </c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AR257" s="47"/>
      <c r="AS257" s="47"/>
      <c r="AT257" s="47"/>
      <c r="AU257" s="47"/>
      <c r="AV257" s="47"/>
      <c r="AW257" s="47"/>
      <c r="AX257" s="47"/>
      <c r="AY257" s="47"/>
      <c r="AZ257" s="47"/>
      <c r="BA257" s="47"/>
      <c r="BB257" s="47"/>
      <c r="BC257" s="47"/>
      <c r="BD257" s="47"/>
      <c r="BE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  <c r="BS257" s="47"/>
      <c r="BT257" s="47"/>
      <c r="BU257" s="47"/>
      <c r="BV257" s="47"/>
      <c r="BW257" s="47"/>
      <c r="BX257" s="47"/>
      <c r="BY257" s="47"/>
      <c r="BZ257" s="47"/>
      <c r="CA257" s="47"/>
      <c r="CB257" s="47"/>
      <c r="CC257" s="47"/>
      <c r="CD257" s="47"/>
      <c r="CE257" s="47"/>
      <c r="CF257" s="47"/>
      <c r="CG257" s="47"/>
      <c r="CH257" s="47"/>
      <c r="CI257" s="47"/>
      <c r="CJ257" s="47"/>
      <c r="CK257" s="47"/>
      <c r="CL257" s="47"/>
      <c r="CM257" s="47"/>
      <c r="CN257" s="47"/>
      <c r="CO257" s="47"/>
      <c r="CP257" s="47"/>
      <c r="CQ257" s="47"/>
      <c r="CR257" s="47"/>
      <c r="CS257" s="47"/>
      <c r="CT257" s="47"/>
      <c r="CU257" s="47"/>
      <c r="CV257" s="47"/>
      <c r="CW257" s="47"/>
      <c r="CX257" s="47"/>
      <c r="CY257" s="47"/>
      <c r="CZ257" s="47"/>
      <c r="DA257" s="47"/>
      <c r="DB257" s="47"/>
      <c r="DC257" s="47"/>
      <c r="DD257" s="47"/>
      <c r="DE257" s="47"/>
      <c r="DF257" s="47"/>
      <c r="DG257" s="47"/>
      <c r="DH257" s="47"/>
      <c r="DI257" s="47"/>
      <c r="DJ257" s="47"/>
      <c r="DK257" s="47"/>
      <c r="DL257" s="47"/>
      <c r="DM257" s="47"/>
      <c r="DN257" s="47"/>
      <c r="DO257" s="47"/>
      <c r="DP257" s="47"/>
      <c r="DQ257" s="47"/>
      <c r="DR257" s="47"/>
      <c r="DS257" s="47"/>
      <c r="DT257" s="47"/>
      <c r="DU257" s="47"/>
      <c r="DV257" s="47"/>
      <c r="DW257" s="47"/>
      <c r="DX257" s="47"/>
      <c r="DY257" s="47"/>
      <c r="DZ257" s="219"/>
      <c r="EA257" s="231"/>
      <c r="EB257" s="231"/>
      <c r="EC257" s="231"/>
      <c r="ED257" s="231"/>
      <c r="EE257" s="231"/>
      <c r="EF257" s="231"/>
      <c r="EG257" s="231"/>
      <c r="EH257" s="231"/>
      <c r="EI257" s="231"/>
      <c r="EJ257" s="231"/>
      <c r="EK257" s="231"/>
      <c r="EL257" s="231"/>
      <c r="EM257" s="231"/>
      <c r="EN257" s="231"/>
      <c r="EO257" s="231"/>
      <c r="EP257" s="231"/>
      <c r="EQ257" s="231"/>
    </row>
    <row r="258" spans="1:147" ht="22.9" hidden="1" customHeight="1" outlineLevel="2" x14ac:dyDescent="0.2">
      <c r="A258" s="146" t="s">
        <v>955</v>
      </c>
      <c r="B258" s="53" t="s">
        <v>717</v>
      </c>
      <c r="C258" s="50" t="s">
        <v>133</v>
      </c>
      <c r="D258" s="165">
        <v>1</v>
      </c>
      <c r="E258" s="158">
        <v>1</v>
      </c>
      <c r="F258" s="52">
        <f>SUM(H258:DY258)*E258*Table1[[#This Row],[Cycles]]</f>
        <v>0</v>
      </c>
      <c r="G258" s="46">
        <f t="shared" ref="G258:G263" si="191">SUMPRODUCT($H$3:$DY$3,$H258:$DY258)*E258*D258</f>
        <v>0</v>
      </c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AR258" s="47"/>
      <c r="AS258" s="47"/>
      <c r="AT258" s="47"/>
      <c r="AU258" s="47"/>
      <c r="AV258" s="47"/>
      <c r="AW258" s="47"/>
      <c r="AX258" s="47"/>
      <c r="AY258" s="47"/>
      <c r="AZ258" s="47"/>
      <c r="BA258" s="47"/>
      <c r="BB258" s="47"/>
      <c r="BC258" s="47"/>
      <c r="BD258" s="47"/>
      <c r="BE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  <c r="BS258" s="47"/>
      <c r="BT258" s="47"/>
      <c r="BU258" s="47"/>
      <c r="BV258" s="47"/>
      <c r="BW258" s="47"/>
      <c r="BX258" s="47"/>
      <c r="BY258" s="47"/>
      <c r="BZ258" s="47"/>
      <c r="CA258" s="47"/>
      <c r="CB258" s="47"/>
      <c r="CC258" s="47"/>
      <c r="CD258" s="47"/>
      <c r="CE258" s="47"/>
      <c r="CF258" s="47"/>
      <c r="CG258" s="47"/>
      <c r="CH258" s="47"/>
      <c r="CI258" s="47"/>
      <c r="CJ258" s="47"/>
      <c r="CK258" s="47"/>
      <c r="CL258" s="47"/>
      <c r="CM258" s="47"/>
      <c r="CN258" s="47"/>
      <c r="CO258" s="47"/>
      <c r="CP258" s="47"/>
      <c r="CQ258" s="47"/>
      <c r="CR258" s="47"/>
      <c r="CS258" s="47"/>
      <c r="CT258" s="47"/>
      <c r="CU258" s="47"/>
      <c r="CV258" s="47"/>
      <c r="CW258" s="47"/>
      <c r="CX258" s="47"/>
      <c r="CY258" s="47"/>
      <c r="CZ258" s="47"/>
      <c r="DA258" s="47"/>
      <c r="DB258" s="47"/>
      <c r="DC258" s="47"/>
      <c r="DD258" s="47"/>
      <c r="DE258" s="47"/>
      <c r="DF258" s="47"/>
      <c r="DG258" s="47"/>
      <c r="DH258" s="47"/>
      <c r="DI258" s="47"/>
      <c r="DJ258" s="47"/>
      <c r="DK258" s="47"/>
      <c r="DL258" s="47"/>
      <c r="DM258" s="47"/>
      <c r="DN258" s="47"/>
      <c r="DO258" s="47"/>
      <c r="DP258" s="47"/>
      <c r="DQ258" s="47"/>
      <c r="DR258" s="47"/>
      <c r="DS258" s="47"/>
      <c r="DT258" s="47"/>
      <c r="DU258" s="47"/>
      <c r="DV258" s="47"/>
      <c r="DW258" s="47"/>
      <c r="DX258" s="47"/>
      <c r="DY258" s="47"/>
      <c r="DZ258" s="219"/>
      <c r="EA258" s="231"/>
      <c r="EB258" s="231"/>
      <c r="EC258" s="231"/>
      <c r="ED258" s="231"/>
      <c r="EE258" s="231"/>
      <c r="EF258" s="231"/>
      <c r="EG258" s="231"/>
      <c r="EH258" s="231"/>
      <c r="EI258" s="231"/>
      <c r="EJ258" s="231"/>
      <c r="EK258" s="231"/>
      <c r="EL258" s="231"/>
      <c r="EM258" s="231"/>
      <c r="EN258" s="231"/>
      <c r="EO258" s="231"/>
      <c r="EP258" s="231"/>
      <c r="EQ258" s="231"/>
    </row>
    <row r="259" spans="1:147" ht="22.9" hidden="1" customHeight="1" outlineLevel="2" x14ac:dyDescent="0.2">
      <c r="A259" s="146" t="s">
        <v>956</v>
      </c>
      <c r="B259" s="53" t="s">
        <v>718</v>
      </c>
      <c r="C259" s="50" t="s">
        <v>133</v>
      </c>
      <c r="D259" s="165">
        <v>1</v>
      </c>
      <c r="E259" s="158">
        <v>1</v>
      </c>
      <c r="F259" s="52">
        <f>SUM(H259:DY259)*E259*Table1[[#This Row],[Cycles]]</f>
        <v>0</v>
      </c>
      <c r="G259" s="46">
        <f t="shared" si="191"/>
        <v>0</v>
      </c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  <c r="BD259" s="47"/>
      <c r="BE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  <c r="BS259" s="47"/>
      <c r="BT259" s="47"/>
      <c r="BU259" s="47"/>
      <c r="BV259" s="47"/>
      <c r="BW259" s="47"/>
      <c r="BX259" s="47"/>
      <c r="BY259" s="47"/>
      <c r="BZ259" s="47"/>
      <c r="CA259" s="47"/>
      <c r="CB259" s="47"/>
      <c r="CC259" s="47"/>
      <c r="CD259" s="47"/>
      <c r="CE259" s="47"/>
      <c r="CF259" s="47"/>
      <c r="CG259" s="47"/>
      <c r="CH259" s="47"/>
      <c r="CI259" s="47"/>
      <c r="CJ259" s="47"/>
      <c r="CK259" s="47"/>
      <c r="CL259" s="47"/>
      <c r="CM259" s="47"/>
      <c r="CN259" s="47"/>
      <c r="CO259" s="47"/>
      <c r="CP259" s="47"/>
      <c r="CQ259" s="47"/>
      <c r="CR259" s="47"/>
      <c r="CS259" s="47"/>
      <c r="CT259" s="47"/>
      <c r="CU259" s="47"/>
      <c r="CV259" s="47"/>
      <c r="CW259" s="47"/>
      <c r="CX259" s="47"/>
      <c r="CY259" s="47"/>
      <c r="CZ259" s="47"/>
      <c r="DA259" s="47"/>
      <c r="DB259" s="47"/>
      <c r="DC259" s="47"/>
      <c r="DD259" s="47"/>
      <c r="DE259" s="47"/>
      <c r="DF259" s="47"/>
      <c r="DG259" s="47"/>
      <c r="DH259" s="47"/>
      <c r="DI259" s="47"/>
      <c r="DJ259" s="47"/>
      <c r="DK259" s="47"/>
      <c r="DL259" s="47"/>
      <c r="DM259" s="47"/>
      <c r="DN259" s="47"/>
      <c r="DO259" s="47"/>
      <c r="DP259" s="47"/>
      <c r="DQ259" s="47"/>
      <c r="DR259" s="47"/>
      <c r="DS259" s="47"/>
      <c r="DT259" s="47"/>
      <c r="DU259" s="47"/>
      <c r="DV259" s="47"/>
      <c r="DW259" s="47"/>
      <c r="DX259" s="47"/>
      <c r="DY259" s="47"/>
      <c r="DZ259" s="219"/>
      <c r="EA259" s="231"/>
      <c r="EB259" s="231"/>
      <c r="EC259" s="231"/>
      <c r="ED259" s="231"/>
      <c r="EE259" s="231"/>
      <c r="EF259" s="231"/>
      <c r="EG259" s="231"/>
      <c r="EH259" s="231"/>
      <c r="EI259" s="231"/>
      <c r="EJ259" s="231"/>
      <c r="EK259" s="231"/>
      <c r="EL259" s="231"/>
      <c r="EM259" s="231"/>
      <c r="EN259" s="231"/>
      <c r="EO259" s="231"/>
      <c r="EP259" s="231"/>
      <c r="EQ259" s="231"/>
    </row>
    <row r="260" spans="1:147" ht="22.9" hidden="1" customHeight="1" outlineLevel="2" x14ac:dyDescent="0.2">
      <c r="A260" s="146" t="s">
        <v>957</v>
      </c>
      <c r="B260" s="53" t="s">
        <v>719</v>
      </c>
      <c r="C260" s="50" t="s">
        <v>133</v>
      </c>
      <c r="D260" s="165">
        <v>1</v>
      </c>
      <c r="E260" s="158">
        <v>1</v>
      </c>
      <c r="F260" s="52">
        <f>SUM(H260:DY260)*E260*Table1[[#This Row],[Cycles]]</f>
        <v>0</v>
      </c>
      <c r="G260" s="46">
        <f t="shared" si="191"/>
        <v>0</v>
      </c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  <c r="BD260" s="47"/>
      <c r="BE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  <c r="BS260" s="47"/>
      <c r="BT260" s="47"/>
      <c r="BU260" s="47"/>
      <c r="BV260" s="47"/>
      <c r="BW260" s="47"/>
      <c r="BX260" s="47"/>
      <c r="BY260" s="47"/>
      <c r="BZ260" s="47"/>
      <c r="CA260" s="47"/>
      <c r="CB260" s="47"/>
      <c r="CC260" s="47"/>
      <c r="CD260" s="47"/>
      <c r="CE260" s="47"/>
      <c r="CF260" s="47"/>
      <c r="CG260" s="47"/>
      <c r="CH260" s="47"/>
      <c r="CI260" s="47"/>
      <c r="CJ260" s="47"/>
      <c r="CK260" s="47"/>
      <c r="CL260" s="47"/>
      <c r="CM260" s="47"/>
      <c r="CN260" s="47"/>
      <c r="CO260" s="47"/>
      <c r="CP260" s="47"/>
      <c r="CQ260" s="47"/>
      <c r="CR260" s="47"/>
      <c r="CS260" s="47"/>
      <c r="CT260" s="47"/>
      <c r="CU260" s="47"/>
      <c r="CV260" s="47"/>
      <c r="CW260" s="47"/>
      <c r="CX260" s="47"/>
      <c r="CY260" s="47"/>
      <c r="CZ260" s="47"/>
      <c r="DA260" s="47"/>
      <c r="DB260" s="47"/>
      <c r="DC260" s="47"/>
      <c r="DD260" s="47"/>
      <c r="DE260" s="47"/>
      <c r="DF260" s="47"/>
      <c r="DG260" s="47"/>
      <c r="DH260" s="47"/>
      <c r="DI260" s="47"/>
      <c r="DJ260" s="47"/>
      <c r="DK260" s="47"/>
      <c r="DL260" s="47"/>
      <c r="DM260" s="47"/>
      <c r="DN260" s="47"/>
      <c r="DO260" s="47"/>
      <c r="DP260" s="47"/>
      <c r="DQ260" s="47"/>
      <c r="DR260" s="47"/>
      <c r="DS260" s="47"/>
      <c r="DT260" s="47"/>
      <c r="DU260" s="47"/>
      <c r="DV260" s="47"/>
      <c r="DW260" s="47"/>
      <c r="DX260" s="47"/>
      <c r="DY260" s="47"/>
      <c r="DZ260" s="219"/>
      <c r="EA260" s="231"/>
      <c r="EB260" s="231"/>
      <c r="EC260" s="231"/>
      <c r="ED260" s="231"/>
      <c r="EE260" s="231"/>
      <c r="EF260" s="231"/>
      <c r="EG260" s="231"/>
      <c r="EH260" s="231"/>
      <c r="EI260" s="231"/>
      <c r="EJ260" s="231"/>
      <c r="EK260" s="231"/>
      <c r="EL260" s="231"/>
      <c r="EM260" s="231"/>
      <c r="EN260" s="231"/>
      <c r="EO260" s="231"/>
      <c r="EP260" s="231"/>
      <c r="EQ260" s="231"/>
    </row>
    <row r="261" spans="1:147" ht="22.9" hidden="1" customHeight="1" outlineLevel="2" x14ac:dyDescent="0.2">
      <c r="A261" s="146" t="s">
        <v>958</v>
      </c>
      <c r="B261" s="53" t="s">
        <v>720</v>
      </c>
      <c r="C261" s="50" t="s">
        <v>133</v>
      </c>
      <c r="D261" s="165">
        <v>1</v>
      </c>
      <c r="E261" s="158">
        <v>1</v>
      </c>
      <c r="F261" s="52">
        <f>SUM(H261:DY261)*E261*Table1[[#This Row],[Cycles]]</f>
        <v>0</v>
      </c>
      <c r="G261" s="46">
        <f t="shared" si="191"/>
        <v>0</v>
      </c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  <c r="AX261" s="47"/>
      <c r="AY261" s="47"/>
      <c r="AZ261" s="47"/>
      <c r="BA261" s="47"/>
      <c r="BB261" s="47"/>
      <c r="BC261" s="47"/>
      <c r="BD261" s="47"/>
      <c r="BE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  <c r="BS261" s="47"/>
      <c r="BT261" s="47"/>
      <c r="BU261" s="47"/>
      <c r="BV261" s="47"/>
      <c r="BW261" s="47"/>
      <c r="BX261" s="47"/>
      <c r="BY261" s="47"/>
      <c r="BZ261" s="47"/>
      <c r="CA261" s="47"/>
      <c r="CB261" s="47"/>
      <c r="CC261" s="47"/>
      <c r="CD261" s="47"/>
      <c r="CE261" s="47"/>
      <c r="CF261" s="47"/>
      <c r="CG261" s="47"/>
      <c r="CH261" s="47"/>
      <c r="CI261" s="47"/>
      <c r="CJ261" s="47"/>
      <c r="CK261" s="47"/>
      <c r="CL261" s="47"/>
      <c r="CM261" s="47"/>
      <c r="CN261" s="47"/>
      <c r="CO261" s="47"/>
      <c r="CP261" s="47"/>
      <c r="CQ261" s="47"/>
      <c r="CR261" s="47"/>
      <c r="CS261" s="47"/>
      <c r="CT261" s="47"/>
      <c r="CU261" s="47"/>
      <c r="CV261" s="47"/>
      <c r="CW261" s="47"/>
      <c r="CX261" s="47"/>
      <c r="CY261" s="47"/>
      <c r="CZ261" s="47"/>
      <c r="DA261" s="47"/>
      <c r="DB261" s="47"/>
      <c r="DC261" s="47"/>
      <c r="DD261" s="47"/>
      <c r="DE261" s="47"/>
      <c r="DF261" s="47"/>
      <c r="DG261" s="47"/>
      <c r="DH261" s="47"/>
      <c r="DI261" s="47"/>
      <c r="DJ261" s="47"/>
      <c r="DK261" s="47"/>
      <c r="DL261" s="47"/>
      <c r="DM261" s="47"/>
      <c r="DN261" s="47"/>
      <c r="DO261" s="47"/>
      <c r="DP261" s="47"/>
      <c r="DQ261" s="47"/>
      <c r="DR261" s="47"/>
      <c r="DS261" s="47"/>
      <c r="DT261" s="47"/>
      <c r="DU261" s="47"/>
      <c r="DV261" s="47"/>
      <c r="DW261" s="47"/>
      <c r="DX261" s="47"/>
      <c r="DY261" s="47"/>
      <c r="DZ261" s="219"/>
      <c r="EA261" s="231"/>
      <c r="EB261" s="231"/>
      <c r="EC261" s="231"/>
      <c r="ED261" s="231"/>
      <c r="EE261" s="231"/>
      <c r="EF261" s="231"/>
      <c r="EG261" s="231"/>
      <c r="EH261" s="231"/>
      <c r="EI261" s="231"/>
      <c r="EJ261" s="231"/>
      <c r="EK261" s="231"/>
      <c r="EL261" s="231"/>
      <c r="EM261" s="231"/>
      <c r="EN261" s="231"/>
      <c r="EO261" s="231"/>
      <c r="EP261" s="231"/>
      <c r="EQ261" s="231"/>
    </row>
    <row r="262" spans="1:147" ht="22.9" hidden="1" customHeight="1" outlineLevel="2" x14ac:dyDescent="0.2">
      <c r="A262" s="146" t="s">
        <v>959</v>
      </c>
      <c r="B262" s="53" t="s">
        <v>721</v>
      </c>
      <c r="C262" s="50" t="s">
        <v>133</v>
      </c>
      <c r="D262" s="165">
        <v>1</v>
      </c>
      <c r="E262" s="158">
        <v>1</v>
      </c>
      <c r="F262" s="52">
        <f>SUM(H262:DY262)*E262*Table1[[#This Row],[Cycles]]</f>
        <v>0</v>
      </c>
      <c r="G262" s="46">
        <f t="shared" si="191"/>
        <v>0</v>
      </c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  <c r="AX262" s="47"/>
      <c r="AY262" s="47"/>
      <c r="AZ262" s="47"/>
      <c r="BA262" s="47"/>
      <c r="BB262" s="47"/>
      <c r="BC262" s="47"/>
      <c r="BD262" s="47"/>
      <c r="BE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  <c r="BS262" s="47"/>
      <c r="BT262" s="47"/>
      <c r="BU262" s="47"/>
      <c r="BV262" s="47"/>
      <c r="BW262" s="47"/>
      <c r="BX262" s="47"/>
      <c r="BY262" s="47"/>
      <c r="BZ262" s="47"/>
      <c r="CA262" s="47"/>
      <c r="CB262" s="47"/>
      <c r="CC262" s="47"/>
      <c r="CD262" s="47"/>
      <c r="CE262" s="47"/>
      <c r="CF262" s="47"/>
      <c r="CG262" s="47"/>
      <c r="CH262" s="47"/>
      <c r="CI262" s="47"/>
      <c r="CJ262" s="47"/>
      <c r="CK262" s="47"/>
      <c r="CL262" s="47"/>
      <c r="CM262" s="47"/>
      <c r="CN262" s="47"/>
      <c r="CO262" s="47"/>
      <c r="CP262" s="47"/>
      <c r="CQ262" s="47"/>
      <c r="CR262" s="47"/>
      <c r="CS262" s="47"/>
      <c r="CT262" s="47"/>
      <c r="CU262" s="47"/>
      <c r="CV262" s="47"/>
      <c r="CW262" s="47"/>
      <c r="CX262" s="47"/>
      <c r="CY262" s="47"/>
      <c r="CZ262" s="47"/>
      <c r="DA262" s="47"/>
      <c r="DB262" s="47"/>
      <c r="DC262" s="47"/>
      <c r="DD262" s="47"/>
      <c r="DE262" s="47"/>
      <c r="DF262" s="47"/>
      <c r="DG262" s="47"/>
      <c r="DH262" s="47"/>
      <c r="DI262" s="47"/>
      <c r="DJ262" s="47"/>
      <c r="DK262" s="47"/>
      <c r="DL262" s="47"/>
      <c r="DM262" s="47"/>
      <c r="DN262" s="47"/>
      <c r="DO262" s="47"/>
      <c r="DP262" s="47"/>
      <c r="DQ262" s="47"/>
      <c r="DR262" s="47"/>
      <c r="DS262" s="47"/>
      <c r="DT262" s="47"/>
      <c r="DU262" s="47"/>
      <c r="DV262" s="47"/>
      <c r="DW262" s="47"/>
      <c r="DX262" s="47"/>
      <c r="DY262" s="47"/>
      <c r="DZ262" s="219"/>
      <c r="EA262" s="231"/>
      <c r="EB262" s="231"/>
      <c r="EC262" s="231"/>
      <c r="ED262" s="231"/>
      <c r="EE262" s="231"/>
      <c r="EF262" s="231"/>
      <c r="EG262" s="231"/>
      <c r="EH262" s="231"/>
      <c r="EI262" s="231"/>
      <c r="EJ262" s="231"/>
      <c r="EK262" s="231"/>
      <c r="EL262" s="231"/>
      <c r="EM262" s="231"/>
      <c r="EN262" s="231"/>
      <c r="EO262" s="231"/>
      <c r="EP262" s="231"/>
      <c r="EQ262" s="231"/>
    </row>
    <row r="263" spans="1:147" ht="22.9" hidden="1" customHeight="1" outlineLevel="2" x14ac:dyDescent="0.2">
      <c r="A263" s="146" t="s">
        <v>960</v>
      </c>
      <c r="B263" s="53" t="s">
        <v>722</v>
      </c>
      <c r="C263" s="50" t="s">
        <v>133</v>
      </c>
      <c r="D263" s="165">
        <v>1</v>
      </c>
      <c r="E263" s="158">
        <v>1</v>
      </c>
      <c r="F263" s="52">
        <f>SUM(H263:DY263)*E263*Table1[[#This Row],[Cycles]]</f>
        <v>0</v>
      </c>
      <c r="G263" s="46">
        <f t="shared" si="191"/>
        <v>0</v>
      </c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AR263" s="47"/>
      <c r="AS263" s="47"/>
      <c r="AT263" s="47"/>
      <c r="AU263" s="47"/>
      <c r="AV263" s="47"/>
      <c r="AW263" s="47"/>
      <c r="AX263" s="47"/>
      <c r="AY263" s="47"/>
      <c r="AZ263" s="47"/>
      <c r="BA263" s="47"/>
      <c r="BB263" s="47"/>
      <c r="BC263" s="47"/>
      <c r="BD263" s="47"/>
      <c r="BE263" s="47"/>
      <c r="BF263" s="47"/>
      <c r="BG263" s="47"/>
      <c r="BH263" s="47"/>
      <c r="BI263" s="47"/>
      <c r="BJ263" s="47"/>
      <c r="BK263" s="47"/>
      <c r="BL263" s="47"/>
      <c r="BM263" s="47"/>
      <c r="BN263" s="47"/>
      <c r="BO263" s="47"/>
      <c r="BP263" s="47"/>
      <c r="BQ263" s="47"/>
      <c r="BR263" s="47"/>
      <c r="BS263" s="47"/>
      <c r="BT263" s="47"/>
      <c r="BU263" s="47"/>
      <c r="BV263" s="47"/>
      <c r="BW263" s="47"/>
      <c r="BX263" s="47"/>
      <c r="BY263" s="47"/>
      <c r="BZ263" s="47"/>
      <c r="CA263" s="47"/>
      <c r="CB263" s="47"/>
      <c r="CC263" s="47"/>
      <c r="CD263" s="47"/>
      <c r="CE263" s="47"/>
      <c r="CF263" s="47"/>
      <c r="CG263" s="47"/>
      <c r="CH263" s="47"/>
      <c r="CI263" s="47"/>
      <c r="CJ263" s="47"/>
      <c r="CK263" s="47"/>
      <c r="CL263" s="47"/>
      <c r="CM263" s="47"/>
      <c r="CN263" s="47"/>
      <c r="CO263" s="47"/>
      <c r="CP263" s="47"/>
      <c r="CQ263" s="47"/>
      <c r="CR263" s="47"/>
      <c r="CS263" s="47"/>
      <c r="CT263" s="47"/>
      <c r="CU263" s="47"/>
      <c r="CV263" s="47"/>
      <c r="CW263" s="47"/>
      <c r="CX263" s="47"/>
      <c r="CY263" s="47"/>
      <c r="CZ263" s="47"/>
      <c r="DA263" s="47"/>
      <c r="DB263" s="47"/>
      <c r="DC263" s="47"/>
      <c r="DD263" s="47"/>
      <c r="DE263" s="47"/>
      <c r="DF263" s="47"/>
      <c r="DG263" s="47"/>
      <c r="DH263" s="47"/>
      <c r="DI263" s="47"/>
      <c r="DJ263" s="47"/>
      <c r="DK263" s="47"/>
      <c r="DL263" s="47"/>
      <c r="DM263" s="47"/>
      <c r="DN263" s="47"/>
      <c r="DO263" s="47"/>
      <c r="DP263" s="47"/>
      <c r="DQ263" s="47"/>
      <c r="DR263" s="47"/>
      <c r="DS263" s="47"/>
      <c r="DT263" s="47"/>
      <c r="DU263" s="47"/>
      <c r="DV263" s="47"/>
      <c r="DW263" s="47"/>
      <c r="DX263" s="47"/>
      <c r="DY263" s="47"/>
      <c r="DZ263" s="219"/>
      <c r="EA263" s="231"/>
      <c r="EB263" s="231"/>
      <c r="EC263" s="231"/>
      <c r="ED263" s="231"/>
      <c r="EE263" s="231"/>
      <c r="EF263" s="231"/>
      <c r="EG263" s="231"/>
      <c r="EH263" s="231"/>
      <c r="EI263" s="231"/>
      <c r="EJ263" s="231"/>
      <c r="EK263" s="231"/>
      <c r="EL263" s="231"/>
      <c r="EM263" s="231"/>
      <c r="EN263" s="231"/>
      <c r="EO263" s="231"/>
      <c r="EP263" s="231"/>
      <c r="EQ263" s="231"/>
    </row>
    <row r="264" spans="1:147" s="40" customFormat="1" ht="22.9" customHeight="1" x14ac:dyDescent="0.2">
      <c r="A264" s="148" t="s">
        <v>153</v>
      </c>
      <c r="B264" s="48" t="s">
        <v>710</v>
      </c>
      <c r="C264" s="33"/>
      <c r="D264" s="163"/>
      <c r="E264" s="163"/>
      <c r="F264" s="31">
        <f>F265</f>
        <v>22</v>
      </c>
      <c r="G264" s="31">
        <f>G265</f>
        <v>2090</v>
      </c>
      <c r="H264" s="31">
        <f>H265</f>
        <v>0</v>
      </c>
      <c r="I264" s="31">
        <f>I265</f>
        <v>0</v>
      </c>
      <c r="J264" s="31">
        <f t="shared" ref="J264:BS264" si="192">J265</f>
        <v>0</v>
      </c>
      <c r="K264" s="31">
        <f t="shared" si="192"/>
        <v>0</v>
      </c>
      <c r="L264" s="31">
        <f t="shared" si="192"/>
        <v>0</v>
      </c>
      <c r="M264" s="31">
        <f>M265</f>
        <v>0</v>
      </c>
      <c r="N264" s="31">
        <f t="shared" si="192"/>
        <v>0</v>
      </c>
      <c r="O264" s="31">
        <f t="shared" si="192"/>
        <v>0</v>
      </c>
      <c r="P264" s="31">
        <f t="shared" si="192"/>
        <v>0</v>
      </c>
      <c r="Q264" s="31">
        <f t="shared" si="192"/>
        <v>22</v>
      </c>
      <c r="R264" s="31">
        <f t="shared" si="192"/>
        <v>0</v>
      </c>
      <c r="S264" s="31">
        <f t="shared" si="192"/>
        <v>0</v>
      </c>
      <c r="T264" s="31">
        <f t="shared" si="192"/>
        <v>0</v>
      </c>
      <c r="U264" s="31">
        <f t="shared" si="192"/>
        <v>0</v>
      </c>
      <c r="V264" s="31">
        <f t="shared" si="192"/>
        <v>0</v>
      </c>
      <c r="W264" s="31">
        <f t="shared" si="192"/>
        <v>0</v>
      </c>
      <c r="X264" s="31">
        <f t="shared" si="192"/>
        <v>0</v>
      </c>
      <c r="Y264" s="31">
        <f t="shared" si="192"/>
        <v>0</v>
      </c>
      <c r="Z264" s="31">
        <f t="shared" si="192"/>
        <v>0</v>
      </c>
      <c r="AA264" s="31">
        <f t="shared" si="192"/>
        <v>0</v>
      </c>
      <c r="AB264" s="31">
        <f t="shared" si="192"/>
        <v>0</v>
      </c>
      <c r="AC264" s="31">
        <f t="shared" si="192"/>
        <v>0</v>
      </c>
      <c r="AD264" s="31">
        <f t="shared" si="192"/>
        <v>0</v>
      </c>
      <c r="AE264" s="31">
        <f t="shared" si="192"/>
        <v>0</v>
      </c>
      <c r="AF264" s="31">
        <f t="shared" si="192"/>
        <v>0</v>
      </c>
      <c r="AG264" s="31">
        <f t="shared" si="192"/>
        <v>0</v>
      </c>
      <c r="AH264" s="31">
        <f t="shared" si="192"/>
        <v>0</v>
      </c>
      <c r="AI264" s="31">
        <f t="shared" si="192"/>
        <v>0</v>
      </c>
      <c r="AJ264" s="31">
        <f t="shared" si="192"/>
        <v>0</v>
      </c>
      <c r="AK264" s="31">
        <f t="shared" si="192"/>
        <v>0</v>
      </c>
      <c r="AL264" s="31">
        <f t="shared" si="192"/>
        <v>0</v>
      </c>
      <c r="AM264" s="31">
        <f t="shared" si="192"/>
        <v>0</v>
      </c>
      <c r="AN264" s="31">
        <f t="shared" si="192"/>
        <v>0</v>
      </c>
      <c r="AO264" s="31">
        <f t="shared" si="192"/>
        <v>0</v>
      </c>
      <c r="AP264" s="31">
        <f t="shared" si="192"/>
        <v>0</v>
      </c>
      <c r="AQ264" s="31">
        <f t="shared" si="192"/>
        <v>0</v>
      </c>
      <c r="AR264" s="31">
        <f t="shared" si="192"/>
        <v>0</v>
      </c>
      <c r="AS264" s="31">
        <f t="shared" si="192"/>
        <v>0</v>
      </c>
      <c r="AT264" s="31">
        <f t="shared" si="192"/>
        <v>0</v>
      </c>
      <c r="AU264" s="31">
        <f t="shared" si="192"/>
        <v>0</v>
      </c>
      <c r="AV264" s="31">
        <f t="shared" si="192"/>
        <v>0</v>
      </c>
      <c r="AW264" s="31">
        <f t="shared" si="192"/>
        <v>0</v>
      </c>
      <c r="AX264" s="31">
        <f t="shared" si="192"/>
        <v>0</v>
      </c>
      <c r="AY264" s="31">
        <f t="shared" si="192"/>
        <v>0</v>
      </c>
      <c r="AZ264" s="31">
        <f t="shared" si="192"/>
        <v>0</v>
      </c>
      <c r="BA264" s="31">
        <f t="shared" si="192"/>
        <v>0</v>
      </c>
      <c r="BB264" s="31">
        <f t="shared" si="192"/>
        <v>0</v>
      </c>
      <c r="BC264" s="31">
        <f t="shared" si="192"/>
        <v>0</v>
      </c>
      <c r="BD264" s="31">
        <f t="shared" si="192"/>
        <v>0</v>
      </c>
      <c r="BE264" s="31">
        <f t="shared" si="192"/>
        <v>0</v>
      </c>
      <c r="BF264" s="31">
        <f t="shared" si="192"/>
        <v>0</v>
      </c>
      <c r="BG264" s="31">
        <f t="shared" si="192"/>
        <v>0</v>
      </c>
      <c r="BH264" s="31">
        <f t="shared" si="192"/>
        <v>0</v>
      </c>
      <c r="BI264" s="31">
        <f t="shared" si="192"/>
        <v>0</v>
      </c>
      <c r="BJ264" s="31">
        <f t="shared" si="192"/>
        <v>0</v>
      </c>
      <c r="BK264" s="31">
        <f t="shared" si="192"/>
        <v>0</v>
      </c>
      <c r="BL264" s="31">
        <f t="shared" si="192"/>
        <v>0</v>
      </c>
      <c r="BM264" s="31">
        <f t="shared" si="192"/>
        <v>0</v>
      </c>
      <c r="BN264" s="31">
        <f t="shared" si="192"/>
        <v>0</v>
      </c>
      <c r="BO264" s="31">
        <f t="shared" si="192"/>
        <v>0</v>
      </c>
      <c r="BP264" s="31">
        <f t="shared" si="192"/>
        <v>0</v>
      </c>
      <c r="BQ264" s="31">
        <f t="shared" si="192"/>
        <v>0</v>
      </c>
      <c r="BR264" s="31">
        <f t="shared" si="192"/>
        <v>0</v>
      </c>
      <c r="BS264" s="31">
        <f t="shared" si="192"/>
        <v>0</v>
      </c>
      <c r="BT264" s="31">
        <f t="shared" ref="BT264:DY264" si="193">BT265</f>
        <v>0</v>
      </c>
      <c r="BU264" s="31">
        <f t="shared" si="193"/>
        <v>0</v>
      </c>
      <c r="BV264" s="31">
        <f t="shared" si="193"/>
        <v>0</v>
      </c>
      <c r="BW264" s="31">
        <f t="shared" si="193"/>
        <v>0</v>
      </c>
      <c r="BX264" s="31">
        <f t="shared" si="193"/>
        <v>0</v>
      </c>
      <c r="BY264" s="31">
        <f t="shared" si="193"/>
        <v>0</v>
      </c>
      <c r="BZ264" s="31">
        <f t="shared" si="193"/>
        <v>0</v>
      </c>
      <c r="CA264" s="31">
        <f t="shared" si="193"/>
        <v>0</v>
      </c>
      <c r="CB264" s="31">
        <f t="shared" si="193"/>
        <v>0</v>
      </c>
      <c r="CC264" s="31">
        <f t="shared" si="193"/>
        <v>0</v>
      </c>
      <c r="CD264" s="31">
        <f t="shared" si="193"/>
        <v>0</v>
      </c>
      <c r="CE264" s="31">
        <f t="shared" si="193"/>
        <v>0</v>
      </c>
      <c r="CF264" s="31">
        <f t="shared" si="193"/>
        <v>0</v>
      </c>
      <c r="CG264" s="31">
        <f t="shared" si="193"/>
        <v>0</v>
      </c>
      <c r="CH264" s="31">
        <f t="shared" si="193"/>
        <v>0</v>
      </c>
      <c r="CI264" s="31">
        <f t="shared" si="193"/>
        <v>0</v>
      </c>
      <c r="CJ264" s="31">
        <f t="shared" si="193"/>
        <v>0</v>
      </c>
      <c r="CK264" s="31">
        <f t="shared" si="193"/>
        <v>0</v>
      </c>
      <c r="CL264" s="31">
        <f t="shared" si="193"/>
        <v>0</v>
      </c>
      <c r="CM264" s="31">
        <f t="shared" si="193"/>
        <v>0</v>
      </c>
      <c r="CN264" s="31">
        <f t="shared" si="193"/>
        <v>0</v>
      </c>
      <c r="CO264" s="31">
        <f t="shared" si="193"/>
        <v>0</v>
      </c>
      <c r="CP264" s="31">
        <f t="shared" si="193"/>
        <v>0</v>
      </c>
      <c r="CQ264" s="31">
        <f t="shared" si="193"/>
        <v>0</v>
      </c>
      <c r="CR264" s="31">
        <f t="shared" si="193"/>
        <v>0</v>
      </c>
      <c r="CS264" s="31">
        <f t="shared" si="193"/>
        <v>0</v>
      </c>
      <c r="CT264" s="31">
        <f t="shared" si="193"/>
        <v>0</v>
      </c>
      <c r="CU264" s="31">
        <f t="shared" si="193"/>
        <v>0</v>
      </c>
      <c r="CV264" s="31">
        <f t="shared" si="193"/>
        <v>0</v>
      </c>
      <c r="CW264" s="31">
        <f t="shared" si="193"/>
        <v>0</v>
      </c>
      <c r="CX264" s="31">
        <f t="shared" si="193"/>
        <v>0</v>
      </c>
      <c r="CY264" s="31">
        <f t="shared" si="193"/>
        <v>0</v>
      </c>
      <c r="CZ264" s="31">
        <f t="shared" si="193"/>
        <v>0</v>
      </c>
      <c r="DA264" s="31">
        <f t="shared" si="193"/>
        <v>0</v>
      </c>
      <c r="DB264" s="31">
        <f t="shared" si="193"/>
        <v>0</v>
      </c>
      <c r="DC264" s="31">
        <f t="shared" si="193"/>
        <v>0</v>
      </c>
      <c r="DD264" s="31">
        <f t="shared" si="193"/>
        <v>0</v>
      </c>
      <c r="DE264" s="31">
        <f t="shared" si="193"/>
        <v>0</v>
      </c>
      <c r="DF264" s="31">
        <f t="shared" si="193"/>
        <v>0</v>
      </c>
      <c r="DG264" s="31">
        <f t="shared" si="193"/>
        <v>0</v>
      </c>
      <c r="DH264" s="31">
        <f t="shared" si="193"/>
        <v>0</v>
      </c>
      <c r="DI264" s="31">
        <f t="shared" si="193"/>
        <v>0</v>
      </c>
      <c r="DJ264" s="31">
        <f t="shared" si="193"/>
        <v>0</v>
      </c>
      <c r="DK264" s="31">
        <f t="shared" si="193"/>
        <v>0</v>
      </c>
      <c r="DL264" s="31">
        <f t="shared" si="193"/>
        <v>0</v>
      </c>
      <c r="DM264" s="31">
        <f t="shared" si="193"/>
        <v>0</v>
      </c>
      <c r="DN264" s="31">
        <f t="shared" si="193"/>
        <v>0</v>
      </c>
      <c r="DO264" s="31">
        <f t="shared" si="193"/>
        <v>0</v>
      </c>
      <c r="DP264" s="31">
        <f t="shared" si="193"/>
        <v>0</v>
      </c>
      <c r="DQ264" s="31">
        <f t="shared" si="193"/>
        <v>0</v>
      </c>
      <c r="DR264" s="31">
        <f t="shared" si="193"/>
        <v>0</v>
      </c>
      <c r="DS264" s="31">
        <f t="shared" si="193"/>
        <v>0</v>
      </c>
      <c r="DT264" s="31">
        <f t="shared" si="193"/>
        <v>0</v>
      </c>
      <c r="DU264" s="31">
        <f t="shared" si="193"/>
        <v>0</v>
      </c>
      <c r="DV264" s="31">
        <f t="shared" si="193"/>
        <v>0</v>
      </c>
      <c r="DW264" s="31">
        <f t="shared" si="193"/>
        <v>0</v>
      </c>
      <c r="DX264" s="31">
        <f t="shared" si="193"/>
        <v>0</v>
      </c>
      <c r="DY264" s="31">
        <f t="shared" si="193"/>
        <v>0</v>
      </c>
      <c r="DZ264" s="218"/>
      <c r="EA264" s="232"/>
      <c r="EB264" s="232"/>
      <c r="EC264" s="232"/>
      <c r="ED264" s="232"/>
      <c r="EE264" s="232"/>
      <c r="EF264" s="232"/>
      <c r="EG264" s="232"/>
      <c r="EH264" s="232"/>
      <c r="EI264" s="232"/>
      <c r="EJ264" s="232"/>
      <c r="EK264" s="232"/>
      <c r="EL264" s="232"/>
      <c r="EM264" s="232"/>
      <c r="EN264" s="232"/>
      <c r="EO264" s="232"/>
      <c r="EP264" s="232"/>
      <c r="EQ264" s="232"/>
    </row>
    <row r="265" spans="1:147" s="40" customFormat="1" ht="22.9" customHeight="1" outlineLevel="1" x14ac:dyDescent="0.2">
      <c r="A265" s="149" t="s">
        <v>697</v>
      </c>
      <c r="B265" s="34" t="s">
        <v>493</v>
      </c>
      <c r="C265" s="30" t="s">
        <v>100</v>
      </c>
      <c r="D265" s="164"/>
      <c r="E265" s="164"/>
      <c r="F265" s="45">
        <f>SUM(F266:F277)</f>
        <v>22</v>
      </c>
      <c r="G265" s="44">
        <f>SUM(G266:G277)</f>
        <v>2090</v>
      </c>
      <c r="H265" s="45">
        <f>SUMPRODUCT($D$266:$D$277,$E$266:$E$277,H266:H277)</f>
        <v>0</v>
      </c>
      <c r="I265" s="45">
        <f t="shared" ref="I265:BT265" si="194">SUMPRODUCT($D$266:$D$277,$E$266:$E$277,I266:I277)</f>
        <v>0</v>
      </c>
      <c r="J265" s="45">
        <f t="shared" si="194"/>
        <v>0</v>
      </c>
      <c r="K265" s="45">
        <f t="shared" si="194"/>
        <v>0</v>
      </c>
      <c r="L265" s="45">
        <f t="shared" si="194"/>
        <v>0</v>
      </c>
      <c r="M265" s="45">
        <f t="shared" si="194"/>
        <v>0</v>
      </c>
      <c r="N265" s="45">
        <f>SUMPRODUCT($D$266:$D$277,$E$266:$E$277,N266:N277)</f>
        <v>0</v>
      </c>
      <c r="O265" s="45">
        <f t="shared" si="194"/>
        <v>0</v>
      </c>
      <c r="P265" s="45">
        <f t="shared" si="194"/>
        <v>0</v>
      </c>
      <c r="Q265" s="45">
        <f t="shared" si="194"/>
        <v>22</v>
      </c>
      <c r="R265" s="45">
        <f t="shared" si="194"/>
        <v>0</v>
      </c>
      <c r="S265" s="45">
        <f t="shared" si="194"/>
        <v>0</v>
      </c>
      <c r="T265" s="45">
        <f t="shared" si="194"/>
        <v>0</v>
      </c>
      <c r="U265" s="45">
        <f t="shared" si="194"/>
        <v>0</v>
      </c>
      <c r="V265" s="45">
        <f t="shared" si="194"/>
        <v>0</v>
      </c>
      <c r="W265" s="45">
        <f t="shared" si="194"/>
        <v>0</v>
      </c>
      <c r="X265" s="45">
        <f t="shared" si="194"/>
        <v>0</v>
      </c>
      <c r="Y265" s="45">
        <f t="shared" si="194"/>
        <v>0</v>
      </c>
      <c r="Z265" s="45">
        <f t="shared" si="194"/>
        <v>0</v>
      </c>
      <c r="AA265" s="45">
        <f t="shared" si="194"/>
        <v>0</v>
      </c>
      <c r="AB265" s="45">
        <f t="shared" si="194"/>
        <v>0</v>
      </c>
      <c r="AC265" s="45">
        <f t="shared" si="194"/>
        <v>0</v>
      </c>
      <c r="AD265" s="45">
        <f t="shared" si="194"/>
        <v>0</v>
      </c>
      <c r="AE265" s="45">
        <f t="shared" si="194"/>
        <v>0</v>
      </c>
      <c r="AF265" s="45">
        <f t="shared" si="194"/>
        <v>0</v>
      </c>
      <c r="AG265" s="45">
        <f t="shared" si="194"/>
        <v>0</v>
      </c>
      <c r="AH265" s="45">
        <f t="shared" si="194"/>
        <v>0</v>
      </c>
      <c r="AI265" s="45">
        <f t="shared" si="194"/>
        <v>0</v>
      </c>
      <c r="AJ265" s="45">
        <f t="shared" si="194"/>
        <v>0</v>
      </c>
      <c r="AK265" s="45">
        <f t="shared" si="194"/>
        <v>0</v>
      </c>
      <c r="AL265" s="45">
        <f t="shared" si="194"/>
        <v>0</v>
      </c>
      <c r="AM265" s="45">
        <f t="shared" si="194"/>
        <v>0</v>
      </c>
      <c r="AN265" s="45">
        <f t="shared" si="194"/>
        <v>0</v>
      </c>
      <c r="AO265" s="45">
        <f t="shared" si="194"/>
        <v>0</v>
      </c>
      <c r="AP265" s="45">
        <f t="shared" si="194"/>
        <v>0</v>
      </c>
      <c r="AQ265" s="45">
        <f t="shared" si="194"/>
        <v>0</v>
      </c>
      <c r="AR265" s="45">
        <f t="shared" si="194"/>
        <v>0</v>
      </c>
      <c r="AS265" s="45">
        <f t="shared" si="194"/>
        <v>0</v>
      </c>
      <c r="AT265" s="45">
        <f t="shared" si="194"/>
        <v>0</v>
      </c>
      <c r="AU265" s="45">
        <f t="shared" si="194"/>
        <v>0</v>
      </c>
      <c r="AV265" s="45">
        <f t="shared" si="194"/>
        <v>0</v>
      </c>
      <c r="AW265" s="45">
        <f t="shared" si="194"/>
        <v>0</v>
      </c>
      <c r="AX265" s="45">
        <f t="shared" si="194"/>
        <v>0</v>
      </c>
      <c r="AY265" s="45">
        <f t="shared" si="194"/>
        <v>0</v>
      </c>
      <c r="AZ265" s="45">
        <f t="shared" si="194"/>
        <v>0</v>
      </c>
      <c r="BA265" s="45">
        <f t="shared" si="194"/>
        <v>0</v>
      </c>
      <c r="BB265" s="45">
        <f t="shared" si="194"/>
        <v>0</v>
      </c>
      <c r="BC265" s="45">
        <f t="shared" si="194"/>
        <v>0</v>
      </c>
      <c r="BD265" s="45">
        <f t="shared" si="194"/>
        <v>0</v>
      </c>
      <c r="BE265" s="45">
        <f t="shared" si="194"/>
        <v>0</v>
      </c>
      <c r="BF265" s="45">
        <f t="shared" si="194"/>
        <v>0</v>
      </c>
      <c r="BG265" s="45">
        <f t="shared" si="194"/>
        <v>0</v>
      </c>
      <c r="BH265" s="45">
        <f t="shared" si="194"/>
        <v>0</v>
      </c>
      <c r="BI265" s="45">
        <f t="shared" si="194"/>
        <v>0</v>
      </c>
      <c r="BJ265" s="45">
        <f t="shared" si="194"/>
        <v>0</v>
      </c>
      <c r="BK265" s="45">
        <f t="shared" si="194"/>
        <v>0</v>
      </c>
      <c r="BL265" s="45">
        <f t="shared" si="194"/>
        <v>0</v>
      </c>
      <c r="BM265" s="45">
        <f t="shared" si="194"/>
        <v>0</v>
      </c>
      <c r="BN265" s="45">
        <f t="shared" si="194"/>
        <v>0</v>
      </c>
      <c r="BO265" s="45">
        <f t="shared" si="194"/>
        <v>0</v>
      </c>
      <c r="BP265" s="45">
        <f t="shared" si="194"/>
        <v>0</v>
      </c>
      <c r="BQ265" s="45">
        <f t="shared" si="194"/>
        <v>0</v>
      </c>
      <c r="BR265" s="45">
        <f t="shared" si="194"/>
        <v>0</v>
      </c>
      <c r="BS265" s="45">
        <f t="shared" si="194"/>
        <v>0</v>
      </c>
      <c r="BT265" s="45">
        <f t="shared" si="194"/>
        <v>0</v>
      </c>
      <c r="BU265" s="45">
        <f t="shared" ref="BU265:DY265" si="195">SUMPRODUCT($D$266:$D$277,$E$266:$E$277,BU266:BU277)</f>
        <v>0</v>
      </c>
      <c r="BV265" s="45">
        <f t="shared" si="195"/>
        <v>0</v>
      </c>
      <c r="BW265" s="45">
        <f t="shared" si="195"/>
        <v>0</v>
      </c>
      <c r="BX265" s="45">
        <f t="shared" si="195"/>
        <v>0</v>
      </c>
      <c r="BY265" s="45">
        <f t="shared" si="195"/>
        <v>0</v>
      </c>
      <c r="BZ265" s="45">
        <f t="shared" si="195"/>
        <v>0</v>
      </c>
      <c r="CA265" s="45">
        <f t="shared" si="195"/>
        <v>0</v>
      </c>
      <c r="CB265" s="45">
        <f t="shared" si="195"/>
        <v>0</v>
      </c>
      <c r="CC265" s="45">
        <f t="shared" si="195"/>
        <v>0</v>
      </c>
      <c r="CD265" s="45">
        <f t="shared" si="195"/>
        <v>0</v>
      </c>
      <c r="CE265" s="45">
        <f t="shared" si="195"/>
        <v>0</v>
      </c>
      <c r="CF265" s="45">
        <f t="shared" si="195"/>
        <v>0</v>
      </c>
      <c r="CG265" s="45">
        <f t="shared" si="195"/>
        <v>0</v>
      </c>
      <c r="CH265" s="45">
        <f t="shared" si="195"/>
        <v>0</v>
      </c>
      <c r="CI265" s="45">
        <f t="shared" si="195"/>
        <v>0</v>
      </c>
      <c r="CJ265" s="45">
        <f t="shared" si="195"/>
        <v>0</v>
      </c>
      <c r="CK265" s="45">
        <f t="shared" si="195"/>
        <v>0</v>
      </c>
      <c r="CL265" s="45">
        <f t="shared" si="195"/>
        <v>0</v>
      </c>
      <c r="CM265" s="45">
        <f t="shared" si="195"/>
        <v>0</v>
      </c>
      <c r="CN265" s="45">
        <f t="shared" si="195"/>
        <v>0</v>
      </c>
      <c r="CO265" s="45">
        <f t="shared" si="195"/>
        <v>0</v>
      </c>
      <c r="CP265" s="45">
        <f t="shared" si="195"/>
        <v>0</v>
      </c>
      <c r="CQ265" s="45">
        <f t="shared" si="195"/>
        <v>0</v>
      </c>
      <c r="CR265" s="45">
        <f t="shared" si="195"/>
        <v>0</v>
      </c>
      <c r="CS265" s="45">
        <f t="shared" si="195"/>
        <v>0</v>
      </c>
      <c r="CT265" s="45">
        <f t="shared" si="195"/>
        <v>0</v>
      </c>
      <c r="CU265" s="45">
        <f t="shared" si="195"/>
        <v>0</v>
      </c>
      <c r="CV265" s="45">
        <f t="shared" si="195"/>
        <v>0</v>
      </c>
      <c r="CW265" s="45">
        <f t="shared" si="195"/>
        <v>0</v>
      </c>
      <c r="CX265" s="45">
        <f t="shared" si="195"/>
        <v>0</v>
      </c>
      <c r="CY265" s="45">
        <f t="shared" si="195"/>
        <v>0</v>
      </c>
      <c r="CZ265" s="45">
        <f t="shared" si="195"/>
        <v>0</v>
      </c>
      <c r="DA265" s="45">
        <f t="shared" si="195"/>
        <v>0</v>
      </c>
      <c r="DB265" s="45">
        <f t="shared" si="195"/>
        <v>0</v>
      </c>
      <c r="DC265" s="45">
        <f t="shared" si="195"/>
        <v>0</v>
      </c>
      <c r="DD265" s="45">
        <f t="shared" si="195"/>
        <v>0</v>
      </c>
      <c r="DE265" s="45">
        <f t="shared" si="195"/>
        <v>0</v>
      </c>
      <c r="DF265" s="45">
        <f t="shared" si="195"/>
        <v>0</v>
      </c>
      <c r="DG265" s="45">
        <f t="shared" si="195"/>
        <v>0</v>
      </c>
      <c r="DH265" s="45">
        <f t="shared" si="195"/>
        <v>0</v>
      </c>
      <c r="DI265" s="45">
        <f t="shared" si="195"/>
        <v>0</v>
      </c>
      <c r="DJ265" s="45">
        <f t="shared" si="195"/>
        <v>0</v>
      </c>
      <c r="DK265" s="45">
        <f t="shared" si="195"/>
        <v>0</v>
      </c>
      <c r="DL265" s="45">
        <f t="shared" si="195"/>
        <v>0</v>
      </c>
      <c r="DM265" s="45">
        <f t="shared" si="195"/>
        <v>0</v>
      </c>
      <c r="DN265" s="45">
        <f t="shared" si="195"/>
        <v>0</v>
      </c>
      <c r="DO265" s="45">
        <f t="shared" si="195"/>
        <v>0</v>
      </c>
      <c r="DP265" s="45">
        <f t="shared" si="195"/>
        <v>0</v>
      </c>
      <c r="DQ265" s="45">
        <f t="shared" si="195"/>
        <v>0</v>
      </c>
      <c r="DR265" s="45">
        <f t="shared" si="195"/>
        <v>0</v>
      </c>
      <c r="DS265" s="45">
        <f t="shared" si="195"/>
        <v>0</v>
      </c>
      <c r="DT265" s="45">
        <f t="shared" si="195"/>
        <v>0</v>
      </c>
      <c r="DU265" s="45">
        <f t="shared" si="195"/>
        <v>0</v>
      </c>
      <c r="DV265" s="45">
        <f t="shared" si="195"/>
        <v>0</v>
      </c>
      <c r="DW265" s="45">
        <f t="shared" si="195"/>
        <v>0</v>
      </c>
      <c r="DX265" s="45">
        <f>SUMPRODUCT($D$266:$D$277,$E$266:$E$277,DX266:DX277)</f>
        <v>0</v>
      </c>
      <c r="DY265" s="45">
        <f t="shared" si="195"/>
        <v>0</v>
      </c>
      <c r="DZ265" s="218"/>
      <c r="EA265" s="231"/>
      <c r="EB265" s="231"/>
      <c r="EC265" s="231"/>
      <c r="ED265" s="231"/>
      <c r="EE265" s="231"/>
      <c r="EF265" s="231"/>
      <c r="EG265" s="231"/>
      <c r="EH265" s="231"/>
      <c r="EI265" s="231"/>
      <c r="EJ265" s="231"/>
      <c r="EK265" s="231"/>
      <c r="EL265" s="231"/>
      <c r="EM265" s="231"/>
      <c r="EN265" s="231"/>
      <c r="EO265" s="231"/>
      <c r="EP265" s="231"/>
      <c r="EQ265" s="231"/>
    </row>
    <row r="266" spans="1:147" ht="22.9" customHeight="1" outlineLevel="2" x14ac:dyDescent="0.2">
      <c r="A266" s="146" t="s">
        <v>698</v>
      </c>
      <c r="B266" s="53" t="s">
        <v>436</v>
      </c>
      <c r="C266" s="50" t="s">
        <v>133</v>
      </c>
      <c r="D266" s="165">
        <v>1</v>
      </c>
      <c r="E266" s="158">
        <v>1</v>
      </c>
      <c r="F266" s="52">
        <f>SUM(H266:DY266)*E266*Table1[[#This Row],[Cycles]]</f>
        <v>0</v>
      </c>
      <c r="G266" s="46">
        <f>SUMPRODUCT($H$3:$DY$3,$H266:$DY266)*E266*D266</f>
        <v>0</v>
      </c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AR266" s="47"/>
      <c r="AS266" s="47"/>
      <c r="AT266" s="47"/>
      <c r="AU266" s="47"/>
      <c r="AV266" s="47"/>
      <c r="AW266" s="47"/>
      <c r="AX266" s="47"/>
      <c r="AY266" s="47"/>
      <c r="AZ266" s="47"/>
      <c r="BA266" s="47"/>
      <c r="BB266" s="47"/>
      <c r="BC266" s="47"/>
      <c r="BD266" s="47"/>
      <c r="BE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  <c r="BS266" s="47"/>
      <c r="BT266" s="47"/>
      <c r="BU266" s="47"/>
      <c r="BV266" s="47"/>
      <c r="BW266" s="47"/>
      <c r="BX266" s="47"/>
      <c r="BY266" s="47"/>
      <c r="BZ266" s="47"/>
      <c r="CA266" s="47"/>
      <c r="CB266" s="47"/>
      <c r="CC266" s="47"/>
      <c r="CD266" s="47"/>
      <c r="CE266" s="47"/>
      <c r="CF266" s="47"/>
      <c r="CG266" s="47"/>
      <c r="CH266" s="47"/>
      <c r="CI266" s="47"/>
      <c r="CJ266" s="47"/>
      <c r="CK266" s="47"/>
      <c r="CL266" s="47"/>
      <c r="CM266" s="47"/>
      <c r="CN266" s="47"/>
      <c r="CO266" s="47"/>
      <c r="CP266" s="47"/>
      <c r="CQ266" s="47"/>
      <c r="CR266" s="47"/>
      <c r="CS266" s="47"/>
      <c r="CT266" s="47"/>
      <c r="CU266" s="47"/>
      <c r="CV266" s="47"/>
      <c r="CW266" s="47"/>
      <c r="CX266" s="47"/>
      <c r="CY266" s="47"/>
      <c r="CZ266" s="47"/>
      <c r="DA266" s="47"/>
      <c r="DB266" s="47"/>
      <c r="DC266" s="47"/>
      <c r="DD266" s="47"/>
      <c r="DE266" s="47"/>
      <c r="DF266" s="47"/>
      <c r="DG266" s="47"/>
      <c r="DH266" s="47"/>
      <c r="DI266" s="47"/>
      <c r="DJ266" s="47"/>
      <c r="DK266" s="47"/>
      <c r="DL266" s="47"/>
      <c r="DM266" s="47"/>
      <c r="DN266" s="47"/>
      <c r="DO266" s="47"/>
      <c r="DP266" s="47"/>
      <c r="DQ266" s="47"/>
      <c r="DR266" s="47"/>
      <c r="DS266" s="47"/>
      <c r="DT266" s="47"/>
      <c r="DU266" s="47"/>
      <c r="DV266" s="47"/>
      <c r="DW266" s="47"/>
      <c r="DX266" s="47"/>
      <c r="DY266" s="47"/>
      <c r="DZ266" s="219"/>
      <c r="EA266" s="231"/>
      <c r="EB266" s="231"/>
      <c r="EC266" s="231"/>
      <c r="ED266" s="231"/>
      <c r="EE266" s="231"/>
      <c r="EF266" s="231"/>
      <c r="EG266" s="231"/>
      <c r="EH266" s="231"/>
      <c r="EI266" s="231"/>
      <c r="EJ266" s="231"/>
      <c r="EK266" s="231"/>
      <c r="EL266" s="231"/>
      <c r="EM266" s="231"/>
      <c r="EN266" s="231"/>
      <c r="EO266" s="231"/>
      <c r="EP266" s="231"/>
      <c r="EQ266" s="231"/>
    </row>
    <row r="267" spans="1:147" ht="22.9" customHeight="1" outlineLevel="2" x14ac:dyDescent="0.2">
      <c r="A267" s="146" t="s">
        <v>699</v>
      </c>
      <c r="B267" s="53" t="s">
        <v>288</v>
      </c>
      <c r="C267" s="50" t="s">
        <v>133</v>
      </c>
      <c r="D267" s="165">
        <v>1</v>
      </c>
      <c r="E267" s="158">
        <v>1</v>
      </c>
      <c r="F267" s="52">
        <f>SUM(H267:DY267)*E267*Table1[[#This Row],[Cycles]]</f>
        <v>0</v>
      </c>
      <c r="G267" s="46">
        <f t="shared" ref="G267:G277" si="196">SUMPRODUCT($H$3:$DY$3,$H267:$DY267)*E267*D267</f>
        <v>0</v>
      </c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7"/>
      <c r="AX267" s="47"/>
      <c r="AY267" s="47"/>
      <c r="AZ267" s="47"/>
      <c r="BA267" s="47"/>
      <c r="BB267" s="47"/>
      <c r="BC267" s="47"/>
      <c r="BD267" s="47"/>
      <c r="BE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  <c r="BS267" s="47"/>
      <c r="BT267" s="47"/>
      <c r="BU267" s="47"/>
      <c r="BV267" s="47"/>
      <c r="BW267" s="47"/>
      <c r="BX267" s="47"/>
      <c r="BY267" s="47"/>
      <c r="BZ267" s="47"/>
      <c r="CA267" s="47"/>
      <c r="CB267" s="47"/>
      <c r="CC267" s="47"/>
      <c r="CD267" s="47"/>
      <c r="CE267" s="47"/>
      <c r="CF267" s="47"/>
      <c r="CG267" s="47"/>
      <c r="CH267" s="47"/>
      <c r="CI267" s="47"/>
      <c r="CJ267" s="47"/>
      <c r="CK267" s="47"/>
      <c r="CL267" s="47"/>
      <c r="CM267" s="47"/>
      <c r="CN267" s="47"/>
      <c r="CO267" s="47"/>
      <c r="CP267" s="47"/>
      <c r="CQ267" s="47"/>
      <c r="CR267" s="47"/>
      <c r="CS267" s="47"/>
      <c r="CT267" s="47"/>
      <c r="CU267" s="47"/>
      <c r="CV267" s="47"/>
      <c r="CW267" s="47"/>
      <c r="CX267" s="47"/>
      <c r="CY267" s="47"/>
      <c r="CZ267" s="47"/>
      <c r="DA267" s="47"/>
      <c r="DB267" s="47"/>
      <c r="DC267" s="47"/>
      <c r="DD267" s="47"/>
      <c r="DE267" s="47"/>
      <c r="DF267" s="47"/>
      <c r="DG267" s="47"/>
      <c r="DH267" s="47"/>
      <c r="DI267" s="47"/>
      <c r="DJ267" s="47"/>
      <c r="DK267" s="47"/>
      <c r="DL267" s="47"/>
      <c r="DM267" s="47"/>
      <c r="DN267" s="47"/>
      <c r="DO267" s="47"/>
      <c r="DP267" s="47"/>
      <c r="DQ267" s="47"/>
      <c r="DR267" s="47"/>
      <c r="DS267" s="47"/>
      <c r="DT267" s="47"/>
      <c r="DU267" s="47"/>
      <c r="DV267" s="47"/>
      <c r="DW267" s="47"/>
      <c r="DX267" s="47"/>
      <c r="DY267" s="47"/>
      <c r="DZ267" s="219"/>
      <c r="EA267" s="231"/>
      <c r="EB267" s="231"/>
      <c r="EC267" s="231"/>
      <c r="ED267" s="231"/>
      <c r="EE267" s="231"/>
      <c r="EF267" s="231"/>
      <c r="EG267" s="231"/>
      <c r="EH267" s="231"/>
      <c r="EI267" s="231"/>
      <c r="EJ267" s="231"/>
      <c r="EK267" s="231"/>
      <c r="EL267" s="231"/>
      <c r="EM267" s="231"/>
      <c r="EN267" s="231"/>
      <c r="EO267" s="231"/>
      <c r="EP267" s="231"/>
      <c r="EQ267" s="231"/>
    </row>
    <row r="268" spans="1:147" ht="22.9" customHeight="1" outlineLevel="2" x14ac:dyDescent="0.2">
      <c r="A268" s="146" t="s">
        <v>700</v>
      </c>
      <c r="B268" s="53" t="s">
        <v>289</v>
      </c>
      <c r="C268" s="50" t="s">
        <v>133</v>
      </c>
      <c r="D268" s="165">
        <v>1</v>
      </c>
      <c r="E268" s="158">
        <v>1</v>
      </c>
      <c r="F268" s="52">
        <f>SUM(H268:DY268)*E268*Table1[[#This Row],[Cycles]]</f>
        <v>0</v>
      </c>
      <c r="G268" s="46">
        <f t="shared" si="196"/>
        <v>0</v>
      </c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  <c r="BD268" s="47"/>
      <c r="BE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  <c r="BS268" s="47"/>
      <c r="BT268" s="47"/>
      <c r="BU268" s="47"/>
      <c r="BV268" s="47"/>
      <c r="BW268" s="47"/>
      <c r="BX268" s="47"/>
      <c r="BY268" s="47"/>
      <c r="BZ268" s="47"/>
      <c r="CA268" s="47"/>
      <c r="CB268" s="47"/>
      <c r="CC268" s="47"/>
      <c r="CD268" s="47"/>
      <c r="CE268" s="47"/>
      <c r="CF268" s="47"/>
      <c r="CG268" s="47"/>
      <c r="CH268" s="47"/>
      <c r="CI268" s="47"/>
      <c r="CJ268" s="47"/>
      <c r="CK268" s="47"/>
      <c r="CL268" s="47"/>
      <c r="CM268" s="47"/>
      <c r="CN268" s="47"/>
      <c r="CO268" s="47"/>
      <c r="CP268" s="47"/>
      <c r="CQ268" s="47"/>
      <c r="CR268" s="47"/>
      <c r="CS268" s="47"/>
      <c r="CT268" s="47"/>
      <c r="CU268" s="47"/>
      <c r="CV268" s="47"/>
      <c r="CW268" s="47"/>
      <c r="CX268" s="47"/>
      <c r="CY268" s="47"/>
      <c r="CZ268" s="47"/>
      <c r="DA268" s="47"/>
      <c r="DB268" s="47"/>
      <c r="DC268" s="47"/>
      <c r="DD268" s="47"/>
      <c r="DE268" s="47"/>
      <c r="DF268" s="47"/>
      <c r="DG268" s="47"/>
      <c r="DH268" s="47"/>
      <c r="DI268" s="47"/>
      <c r="DJ268" s="47"/>
      <c r="DK268" s="47"/>
      <c r="DL268" s="47"/>
      <c r="DM268" s="47"/>
      <c r="DN268" s="47"/>
      <c r="DO268" s="47"/>
      <c r="DP268" s="47"/>
      <c r="DQ268" s="47"/>
      <c r="DR268" s="47"/>
      <c r="DS268" s="47"/>
      <c r="DT268" s="47"/>
      <c r="DU268" s="47"/>
      <c r="DV268" s="47"/>
      <c r="DW268" s="47"/>
      <c r="DX268" s="47"/>
      <c r="DY268" s="47"/>
      <c r="DZ268" s="219"/>
      <c r="EA268" s="231"/>
      <c r="EB268" s="231"/>
      <c r="EC268" s="231"/>
      <c r="ED268" s="231"/>
      <c r="EE268" s="231"/>
      <c r="EF268" s="231"/>
      <c r="EG268" s="231"/>
      <c r="EH268" s="231"/>
      <c r="EI268" s="231"/>
      <c r="EJ268" s="231"/>
      <c r="EK268" s="231"/>
      <c r="EL268" s="231"/>
      <c r="EM268" s="231"/>
      <c r="EN268" s="231"/>
      <c r="EO268" s="231"/>
      <c r="EP268" s="231"/>
      <c r="EQ268" s="231"/>
    </row>
    <row r="269" spans="1:147" ht="22.9" customHeight="1" outlineLevel="2" x14ac:dyDescent="0.2">
      <c r="A269" s="146" t="s">
        <v>701</v>
      </c>
      <c r="B269" s="53" t="s">
        <v>290</v>
      </c>
      <c r="C269" s="50" t="s">
        <v>133</v>
      </c>
      <c r="D269" s="165">
        <v>1</v>
      </c>
      <c r="E269" s="158">
        <v>1</v>
      </c>
      <c r="F269" s="52">
        <f>SUM(H269:DY269)*E269*Table1[[#This Row],[Cycles]]</f>
        <v>0</v>
      </c>
      <c r="G269" s="46">
        <f t="shared" si="196"/>
        <v>0</v>
      </c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47"/>
      <c r="BT269" s="47"/>
      <c r="BU269" s="47"/>
      <c r="BV269" s="47"/>
      <c r="BW269" s="47"/>
      <c r="BX269" s="47"/>
      <c r="BY269" s="47"/>
      <c r="BZ269" s="47"/>
      <c r="CA269" s="47"/>
      <c r="CB269" s="47"/>
      <c r="CC269" s="47"/>
      <c r="CD269" s="47"/>
      <c r="CE269" s="47"/>
      <c r="CF269" s="47"/>
      <c r="CG269" s="47"/>
      <c r="CH269" s="47"/>
      <c r="CI269" s="47"/>
      <c r="CJ269" s="47"/>
      <c r="CK269" s="47"/>
      <c r="CL269" s="47"/>
      <c r="CM269" s="47"/>
      <c r="CN269" s="47"/>
      <c r="CO269" s="47"/>
      <c r="CP269" s="47"/>
      <c r="CQ269" s="47"/>
      <c r="CR269" s="47"/>
      <c r="CS269" s="47"/>
      <c r="CT269" s="47"/>
      <c r="CU269" s="47"/>
      <c r="CV269" s="47"/>
      <c r="CW269" s="47"/>
      <c r="CX269" s="47"/>
      <c r="CY269" s="47"/>
      <c r="CZ269" s="47"/>
      <c r="DA269" s="47"/>
      <c r="DB269" s="47"/>
      <c r="DC269" s="47"/>
      <c r="DD269" s="47"/>
      <c r="DE269" s="47"/>
      <c r="DF269" s="47"/>
      <c r="DG269" s="47"/>
      <c r="DH269" s="47"/>
      <c r="DI269" s="47"/>
      <c r="DJ269" s="47"/>
      <c r="DK269" s="47"/>
      <c r="DL269" s="47"/>
      <c r="DM269" s="47"/>
      <c r="DN269" s="47"/>
      <c r="DO269" s="47"/>
      <c r="DP269" s="47"/>
      <c r="DQ269" s="47"/>
      <c r="DR269" s="47"/>
      <c r="DS269" s="47"/>
      <c r="DT269" s="47"/>
      <c r="DU269" s="47"/>
      <c r="DV269" s="47"/>
      <c r="DW269" s="47"/>
      <c r="DX269" s="47"/>
      <c r="DY269" s="47"/>
      <c r="DZ269" s="219"/>
      <c r="EA269" s="231"/>
      <c r="EB269" s="231"/>
      <c r="EC269" s="231"/>
      <c r="ED269" s="231"/>
      <c r="EE269" s="231"/>
      <c r="EF269" s="231"/>
      <c r="EG269" s="231"/>
      <c r="EH269" s="231"/>
      <c r="EI269" s="231"/>
      <c r="EJ269" s="231"/>
      <c r="EK269" s="231"/>
      <c r="EL269" s="231"/>
      <c r="EM269" s="231"/>
      <c r="EN269" s="231"/>
      <c r="EO269" s="231"/>
      <c r="EP269" s="231"/>
      <c r="EQ269" s="231"/>
    </row>
    <row r="270" spans="1:147" ht="22.9" customHeight="1" outlineLevel="2" x14ac:dyDescent="0.2">
      <c r="A270" s="146" t="s">
        <v>702</v>
      </c>
      <c r="B270" s="53" t="s">
        <v>291</v>
      </c>
      <c r="C270" s="50" t="s">
        <v>133</v>
      </c>
      <c r="D270" s="165">
        <v>1</v>
      </c>
      <c r="E270" s="158">
        <v>1</v>
      </c>
      <c r="F270" s="52">
        <f>SUM(H270:DY270)*E270*Table1[[#This Row],[Cycles]]</f>
        <v>0</v>
      </c>
      <c r="G270" s="46">
        <f t="shared" si="196"/>
        <v>0</v>
      </c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  <c r="BS270" s="47"/>
      <c r="BT270" s="47"/>
      <c r="BU270" s="47"/>
      <c r="BV270" s="47"/>
      <c r="BW270" s="47"/>
      <c r="BX270" s="47"/>
      <c r="BY270" s="47"/>
      <c r="BZ270" s="47"/>
      <c r="CA270" s="47"/>
      <c r="CB270" s="47"/>
      <c r="CC270" s="47"/>
      <c r="CD270" s="47"/>
      <c r="CE270" s="47"/>
      <c r="CF270" s="47"/>
      <c r="CG270" s="47"/>
      <c r="CH270" s="47"/>
      <c r="CI270" s="47"/>
      <c r="CJ270" s="47"/>
      <c r="CK270" s="47"/>
      <c r="CL270" s="47"/>
      <c r="CM270" s="47"/>
      <c r="CN270" s="47"/>
      <c r="CO270" s="47"/>
      <c r="CP270" s="47"/>
      <c r="CQ270" s="47"/>
      <c r="CR270" s="47"/>
      <c r="CS270" s="47"/>
      <c r="CT270" s="47"/>
      <c r="CU270" s="47"/>
      <c r="CV270" s="47"/>
      <c r="CW270" s="47"/>
      <c r="CX270" s="47"/>
      <c r="CY270" s="47"/>
      <c r="CZ270" s="47"/>
      <c r="DA270" s="47"/>
      <c r="DB270" s="47"/>
      <c r="DC270" s="47"/>
      <c r="DD270" s="47"/>
      <c r="DE270" s="47"/>
      <c r="DF270" s="47"/>
      <c r="DG270" s="47"/>
      <c r="DH270" s="47"/>
      <c r="DI270" s="47"/>
      <c r="DJ270" s="47"/>
      <c r="DK270" s="47"/>
      <c r="DL270" s="47"/>
      <c r="DM270" s="47"/>
      <c r="DN270" s="47"/>
      <c r="DO270" s="47"/>
      <c r="DP270" s="47"/>
      <c r="DQ270" s="47"/>
      <c r="DR270" s="47"/>
      <c r="DS270" s="47"/>
      <c r="DT270" s="47"/>
      <c r="DU270" s="47"/>
      <c r="DV270" s="47"/>
      <c r="DW270" s="47"/>
      <c r="DX270" s="47"/>
      <c r="DY270" s="47"/>
      <c r="DZ270" s="219"/>
      <c r="EA270" s="231"/>
      <c r="EB270" s="231"/>
      <c r="EC270" s="231"/>
      <c r="ED270" s="231"/>
      <c r="EE270" s="231"/>
      <c r="EF270" s="231"/>
      <c r="EG270" s="231"/>
      <c r="EH270" s="231"/>
      <c r="EI270" s="231"/>
      <c r="EJ270" s="231"/>
      <c r="EK270" s="231"/>
      <c r="EL270" s="231"/>
      <c r="EM270" s="231"/>
      <c r="EN270" s="231"/>
      <c r="EO270" s="231"/>
      <c r="EP270" s="231"/>
      <c r="EQ270" s="231"/>
    </row>
    <row r="271" spans="1:147" ht="22.9" customHeight="1" outlineLevel="2" x14ac:dyDescent="0.2">
      <c r="A271" s="146" t="s">
        <v>703</v>
      </c>
      <c r="B271" s="53" t="s">
        <v>292</v>
      </c>
      <c r="C271" s="50" t="s">
        <v>133</v>
      </c>
      <c r="D271" s="165">
        <v>1</v>
      </c>
      <c r="E271" s="158">
        <v>1</v>
      </c>
      <c r="F271" s="52">
        <f>SUM(H271:DY271)*E271*Table1[[#This Row],[Cycles]]</f>
        <v>0</v>
      </c>
      <c r="G271" s="46">
        <f t="shared" si="196"/>
        <v>0</v>
      </c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  <c r="BD271" s="47"/>
      <c r="BE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  <c r="BS271" s="47"/>
      <c r="BT271" s="47"/>
      <c r="BU271" s="47"/>
      <c r="BV271" s="47"/>
      <c r="BW271" s="47"/>
      <c r="BX271" s="47"/>
      <c r="BY271" s="47"/>
      <c r="BZ271" s="47"/>
      <c r="CA271" s="47"/>
      <c r="CB271" s="47"/>
      <c r="CC271" s="47"/>
      <c r="CD271" s="47"/>
      <c r="CE271" s="47"/>
      <c r="CF271" s="47"/>
      <c r="CG271" s="47"/>
      <c r="CH271" s="47"/>
      <c r="CI271" s="47"/>
      <c r="CJ271" s="47"/>
      <c r="CK271" s="47"/>
      <c r="CL271" s="47"/>
      <c r="CM271" s="47"/>
      <c r="CN271" s="47"/>
      <c r="CO271" s="47"/>
      <c r="CP271" s="47"/>
      <c r="CQ271" s="47"/>
      <c r="CR271" s="47"/>
      <c r="CS271" s="47"/>
      <c r="CT271" s="47"/>
      <c r="CU271" s="47"/>
      <c r="CV271" s="47"/>
      <c r="CW271" s="47"/>
      <c r="CX271" s="47"/>
      <c r="CY271" s="47"/>
      <c r="CZ271" s="47"/>
      <c r="DA271" s="47"/>
      <c r="DB271" s="47"/>
      <c r="DC271" s="47"/>
      <c r="DD271" s="47"/>
      <c r="DE271" s="47"/>
      <c r="DF271" s="47"/>
      <c r="DG271" s="47"/>
      <c r="DH271" s="47"/>
      <c r="DI271" s="47"/>
      <c r="DJ271" s="47"/>
      <c r="DK271" s="47"/>
      <c r="DL271" s="47"/>
      <c r="DM271" s="47"/>
      <c r="DN271" s="47"/>
      <c r="DO271" s="47"/>
      <c r="DP271" s="47"/>
      <c r="DQ271" s="47"/>
      <c r="DR271" s="47"/>
      <c r="DS271" s="47"/>
      <c r="DT271" s="47"/>
      <c r="DU271" s="47"/>
      <c r="DV271" s="47"/>
      <c r="DW271" s="47"/>
      <c r="DX271" s="47"/>
      <c r="DY271" s="47"/>
      <c r="DZ271" s="219"/>
      <c r="EA271" s="231"/>
      <c r="EB271" s="231"/>
      <c r="EC271" s="231"/>
      <c r="ED271" s="231"/>
      <c r="EE271" s="231"/>
      <c r="EF271" s="231"/>
      <c r="EG271" s="231"/>
      <c r="EH271" s="231"/>
      <c r="EI271" s="231"/>
      <c r="EJ271" s="231"/>
      <c r="EK271" s="231"/>
      <c r="EL271" s="231"/>
      <c r="EM271" s="231"/>
      <c r="EN271" s="231"/>
      <c r="EO271" s="231"/>
      <c r="EP271" s="231"/>
      <c r="EQ271" s="231"/>
    </row>
    <row r="272" spans="1:147" ht="22.9" customHeight="1" outlineLevel="2" x14ac:dyDescent="0.2">
      <c r="A272" s="146" t="s">
        <v>704</v>
      </c>
      <c r="B272" s="53" t="s">
        <v>293</v>
      </c>
      <c r="C272" s="50" t="s">
        <v>133</v>
      </c>
      <c r="D272" s="165">
        <v>1</v>
      </c>
      <c r="E272" s="158">
        <v>1</v>
      </c>
      <c r="F272" s="52">
        <f>SUM(H272:DY272)*E272*Table1[[#This Row],[Cycles]]</f>
        <v>0</v>
      </c>
      <c r="G272" s="46">
        <f t="shared" si="196"/>
        <v>0</v>
      </c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  <c r="BD272" s="47"/>
      <c r="BE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  <c r="BS272" s="47"/>
      <c r="BT272" s="47"/>
      <c r="BU272" s="47"/>
      <c r="BV272" s="47"/>
      <c r="BW272" s="47"/>
      <c r="BX272" s="47"/>
      <c r="BY272" s="47"/>
      <c r="BZ272" s="47"/>
      <c r="CA272" s="47"/>
      <c r="CB272" s="47"/>
      <c r="CC272" s="47"/>
      <c r="CD272" s="47"/>
      <c r="CE272" s="47"/>
      <c r="CF272" s="47"/>
      <c r="CG272" s="47"/>
      <c r="CH272" s="47"/>
      <c r="CI272" s="47"/>
      <c r="CJ272" s="47"/>
      <c r="CK272" s="47"/>
      <c r="CL272" s="47"/>
      <c r="CM272" s="47"/>
      <c r="CN272" s="47"/>
      <c r="CO272" s="47"/>
      <c r="CP272" s="47"/>
      <c r="CQ272" s="47"/>
      <c r="CR272" s="47"/>
      <c r="CS272" s="47"/>
      <c r="CT272" s="47"/>
      <c r="CU272" s="47"/>
      <c r="CV272" s="47"/>
      <c r="CW272" s="47"/>
      <c r="CX272" s="47"/>
      <c r="CY272" s="47"/>
      <c r="CZ272" s="47"/>
      <c r="DA272" s="47"/>
      <c r="DB272" s="47"/>
      <c r="DC272" s="47"/>
      <c r="DD272" s="47"/>
      <c r="DE272" s="47"/>
      <c r="DF272" s="47"/>
      <c r="DG272" s="47"/>
      <c r="DH272" s="47"/>
      <c r="DI272" s="47"/>
      <c r="DJ272" s="47"/>
      <c r="DK272" s="47"/>
      <c r="DL272" s="47"/>
      <c r="DM272" s="47"/>
      <c r="DN272" s="47"/>
      <c r="DO272" s="47"/>
      <c r="DP272" s="47"/>
      <c r="DQ272" s="47"/>
      <c r="DR272" s="47"/>
      <c r="DS272" s="47"/>
      <c r="DT272" s="47"/>
      <c r="DU272" s="47"/>
      <c r="DV272" s="47"/>
      <c r="DW272" s="47"/>
      <c r="DX272" s="47"/>
      <c r="DY272" s="47"/>
      <c r="DZ272" s="219"/>
      <c r="EA272" s="231"/>
      <c r="EB272" s="231"/>
      <c r="EC272" s="231"/>
      <c r="ED272" s="231"/>
      <c r="EE272" s="231"/>
      <c r="EF272" s="231"/>
      <c r="EG272" s="231"/>
      <c r="EH272" s="231"/>
      <c r="EI272" s="231"/>
      <c r="EJ272" s="231"/>
      <c r="EK272" s="231"/>
      <c r="EL272" s="231"/>
      <c r="EM272" s="231"/>
      <c r="EN272" s="231"/>
      <c r="EO272" s="231"/>
      <c r="EP272" s="231"/>
      <c r="EQ272" s="231"/>
    </row>
    <row r="273" spans="1:147" ht="22.9" customHeight="1" outlineLevel="2" x14ac:dyDescent="0.2">
      <c r="A273" s="146" t="s">
        <v>705</v>
      </c>
      <c r="B273" s="53" t="s">
        <v>294</v>
      </c>
      <c r="C273" s="50" t="s">
        <v>133</v>
      </c>
      <c r="D273" s="165">
        <v>1</v>
      </c>
      <c r="E273" s="158">
        <v>1</v>
      </c>
      <c r="F273" s="52">
        <f>SUM(H273:DY273)*E273*Table1[[#This Row],[Cycles]]</f>
        <v>0</v>
      </c>
      <c r="G273" s="46">
        <f t="shared" si="196"/>
        <v>0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  <c r="BD273" s="47"/>
      <c r="BE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  <c r="BS273" s="47"/>
      <c r="BT273" s="47"/>
      <c r="BU273" s="47"/>
      <c r="BV273" s="47"/>
      <c r="BW273" s="47"/>
      <c r="BX273" s="47"/>
      <c r="BY273" s="47"/>
      <c r="BZ273" s="47"/>
      <c r="CA273" s="47"/>
      <c r="CB273" s="47"/>
      <c r="CC273" s="47"/>
      <c r="CD273" s="47"/>
      <c r="CE273" s="47"/>
      <c r="CF273" s="47"/>
      <c r="CG273" s="47"/>
      <c r="CH273" s="47"/>
      <c r="CI273" s="47"/>
      <c r="CJ273" s="47"/>
      <c r="CK273" s="47"/>
      <c r="CL273" s="47"/>
      <c r="CM273" s="47"/>
      <c r="CN273" s="47"/>
      <c r="CO273" s="47"/>
      <c r="CP273" s="47"/>
      <c r="CQ273" s="47"/>
      <c r="CR273" s="47"/>
      <c r="CS273" s="47"/>
      <c r="CT273" s="47"/>
      <c r="CU273" s="47"/>
      <c r="CV273" s="47"/>
      <c r="CW273" s="47"/>
      <c r="CX273" s="47"/>
      <c r="CY273" s="47"/>
      <c r="CZ273" s="47"/>
      <c r="DA273" s="47"/>
      <c r="DB273" s="47"/>
      <c r="DC273" s="47"/>
      <c r="DD273" s="47"/>
      <c r="DE273" s="47"/>
      <c r="DF273" s="47"/>
      <c r="DG273" s="47"/>
      <c r="DH273" s="47"/>
      <c r="DI273" s="47"/>
      <c r="DJ273" s="47"/>
      <c r="DK273" s="47"/>
      <c r="DL273" s="47"/>
      <c r="DM273" s="47"/>
      <c r="DN273" s="47"/>
      <c r="DO273" s="47"/>
      <c r="DP273" s="47"/>
      <c r="DQ273" s="47"/>
      <c r="DR273" s="47"/>
      <c r="DS273" s="47"/>
      <c r="DT273" s="47"/>
      <c r="DU273" s="47"/>
      <c r="DV273" s="47"/>
      <c r="DW273" s="47"/>
      <c r="DX273" s="47"/>
      <c r="DY273" s="47"/>
      <c r="DZ273" s="219"/>
      <c r="EA273" s="231"/>
      <c r="EB273" s="231"/>
      <c r="EC273" s="231"/>
      <c r="ED273" s="231"/>
      <c r="EE273" s="231"/>
      <c r="EF273" s="231"/>
      <c r="EG273" s="231"/>
      <c r="EH273" s="231"/>
      <c r="EI273" s="231"/>
      <c r="EJ273" s="231"/>
      <c r="EK273" s="231"/>
      <c r="EL273" s="231"/>
      <c r="EM273" s="231"/>
      <c r="EN273" s="231"/>
      <c r="EO273" s="231"/>
      <c r="EP273" s="231"/>
      <c r="EQ273" s="231"/>
    </row>
    <row r="274" spans="1:147" ht="22.9" customHeight="1" outlineLevel="2" x14ac:dyDescent="0.2">
      <c r="A274" s="146" t="s">
        <v>706</v>
      </c>
      <c r="B274" s="53" t="s">
        <v>295</v>
      </c>
      <c r="C274" s="50" t="s">
        <v>133</v>
      </c>
      <c r="D274" s="165">
        <v>1</v>
      </c>
      <c r="E274" s="158">
        <v>1</v>
      </c>
      <c r="F274" s="52">
        <f>SUM(H274:DY274)*E274*Table1[[#This Row],[Cycles]]</f>
        <v>0</v>
      </c>
      <c r="G274" s="46">
        <f t="shared" si="196"/>
        <v>0</v>
      </c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47"/>
      <c r="BT274" s="47"/>
      <c r="BU274" s="47"/>
      <c r="BV274" s="47"/>
      <c r="BW274" s="47"/>
      <c r="BX274" s="47"/>
      <c r="BY274" s="47"/>
      <c r="BZ274" s="47"/>
      <c r="CA274" s="47"/>
      <c r="CB274" s="47"/>
      <c r="CC274" s="47"/>
      <c r="CD274" s="47"/>
      <c r="CE274" s="47"/>
      <c r="CF274" s="47"/>
      <c r="CG274" s="47"/>
      <c r="CH274" s="47"/>
      <c r="CI274" s="47"/>
      <c r="CJ274" s="47"/>
      <c r="CK274" s="47"/>
      <c r="CL274" s="47"/>
      <c r="CM274" s="47"/>
      <c r="CN274" s="47"/>
      <c r="CO274" s="47"/>
      <c r="CP274" s="47"/>
      <c r="CQ274" s="47"/>
      <c r="CR274" s="47"/>
      <c r="CS274" s="47"/>
      <c r="CT274" s="47"/>
      <c r="CU274" s="47"/>
      <c r="CV274" s="47"/>
      <c r="CW274" s="47"/>
      <c r="CX274" s="47"/>
      <c r="CY274" s="47"/>
      <c r="CZ274" s="47"/>
      <c r="DA274" s="47"/>
      <c r="DB274" s="47"/>
      <c r="DC274" s="47"/>
      <c r="DD274" s="47"/>
      <c r="DE274" s="47"/>
      <c r="DF274" s="47"/>
      <c r="DG274" s="47"/>
      <c r="DH274" s="47"/>
      <c r="DI274" s="47"/>
      <c r="DJ274" s="47"/>
      <c r="DK274" s="47"/>
      <c r="DL274" s="47"/>
      <c r="DM274" s="47"/>
      <c r="DN274" s="47"/>
      <c r="DO274" s="47"/>
      <c r="DP274" s="47"/>
      <c r="DQ274" s="47"/>
      <c r="DR274" s="47"/>
      <c r="DS274" s="47"/>
      <c r="DT274" s="47"/>
      <c r="DU274" s="47"/>
      <c r="DV274" s="47"/>
      <c r="DW274" s="47"/>
      <c r="DX274" s="47"/>
      <c r="DY274" s="47"/>
      <c r="DZ274" s="219"/>
      <c r="EA274" s="231"/>
      <c r="EB274" s="231"/>
      <c r="EC274" s="231"/>
      <c r="ED274" s="231"/>
      <c r="EE274" s="231"/>
      <c r="EF274" s="231"/>
      <c r="EG274" s="231"/>
      <c r="EH274" s="231"/>
      <c r="EI274" s="231"/>
      <c r="EJ274" s="231"/>
      <c r="EK274" s="231"/>
      <c r="EL274" s="231"/>
      <c r="EM274" s="231"/>
      <c r="EN274" s="231"/>
      <c r="EO274" s="231"/>
      <c r="EP274" s="231"/>
      <c r="EQ274" s="231"/>
    </row>
    <row r="275" spans="1:147" ht="22.9" customHeight="1" outlineLevel="2" x14ac:dyDescent="0.2">
      <c r="A275" s="146" t="s">
        <v>707</v>
      </c>
      <c r="B275" s="53" t="s">
        <v>296</v>
      </c>
      <c r="C275" s="50" t="s">
        <v>133</v>
      </c>
      <c r="D275" s="165">
        <v>1</v>
      </c>
      <c r="E275" s="158">
        <v>1</v>
      </c>
      <c r="F275" s="52">
        <f>SUM(H275:DY275)*E275*Table1[[#This Row],[Cycles]]</f>
        <v>0</v>
      </c>
      <c r="G275" s="46">
        <f t="shared" si="196"/>
        <v>0</v>
      </c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  <c r="BD275" s="47"/>
      <c r="BE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  <c r="BS275" s="47"/>
      <c r="BT275" s="47"/>
      <c r="BU275" s="47"/>
      <c r="BV275" s="47"/>
      <c r="BW275" s="47"/>
      <c r="BX275" s="47"/>
      <c r="BY275" s="47"/>
      <c r="BZ275" s="47"/>
      <c r="CA275" s="47"/>
      <c r="CB275" s="47"/>
      <c r="CC275" s="47"/>
      <c r="CD275" s="47"/>
      <c r="CE275" s="47"/>
      <c r="CF275" s="47"/>
      <c r="CG275" s="47"/>
      <c r="CH275" s="47"/>
      <c r="CI275" s="47"/>
      <c r="CJ275" s="47"/>
      <c r="CK275" s="47"/>
      <c r="CL275" s="47"/>
      <c r="CM275" s="47"/>
      <c r="CN275" s="47"/>
      <c r="CO275" s="47"/>
      <c r="CP275" s="47"/>
      <c r="CQ275" s="47"/>
      <c r="CR275" s="47"/>
      <c r="CS275" s="47"/>
      <c r="CT275" s="47"/>
      <c r="CU275" s="47"/>
      <c r="CV275" s="47"/>
      <c r="CW275" s="47"/>
      <c r="CX275" s="47"/>
      <c r="CY275" s="47"/>
      <c r="CZ275" s="47"/>
      <c r="DA275" s="47"/>
      <c r="DB275" s="47"/>
      <c r="DC275" s="47"/>
      <c r="DD275" s="47"/>
      <c r="DE275" s="47"/>
      <c r="DF275" s="47"/>
      <c r="DG275" s="47"/>
      <c r="DH275" s="47"/>
      <c r="DI275" s="47"/>
      <c r="DJ275" s="47"/>
      <c r="DK275" s="47"/>
      <c r="DL275" s="47"/>
      <c r="DM275" s="47"/>
      <c r="DN275" s="47"/>
      <c r="DO275" s="47"/>
      <c r="DP275" s="47"/>
      <c r="DQ275" s="47"/>
      <c r="DR275" s="47"/>
      <c r="DS275" s="47"/>
      <c r="DT275" s="47"/>
      <c r="DU275" s="47"/>
      <c r="DV275" s="47"/>
      <c r="DW275" s="47"/>
      <c r="DX275" s="47"/>
      <c r="DY275" s="47"/>
      <c r="DZ275" s="219"/>
      <c r="EA275" s="231"/>
      <c r="EB275" s="231"/>
      <c r="EC275" s="231"/>
      <c r="ED275" s="231"/>
      <c r="EE275" s="231"/>
      <c r="EF275" s="231"/>
      <c r="EG275" s="231"/>
      <c r="EH275" s="231"/>
      <c r="EI275" s="231"/>
      <c r="EJ275" s="231"/>
      <c r="EK275" s="231"/>
      <c r="EL275" s="231"/>
      <c r="EM275" s="231"/>
      <c r="EN275" s="231"/>
      <c r="EO275" s="231"/>
      <c r="EP275" s="231"/>
      <c r="EQ275" s="231"/>
    </row>
    <row r="276" spans="1:147" ht="22.9" customHeight="1" outlineLevel="2" x14ac:dyDescent="0.2">
      <c r="A276" s="146" t="s">
        <v>708</v>
      </c>
      <c r="B276" s="53" t="s">
        <v>297</v>
      </c>
      <c r="C276" s="50" t="s">
        <v>133</v>
      </c>
      <c r="D276" s="165">
        <v>1</v>
      </c>
      <c r="E276" s="158">
        <v>1</v>
      </c>
      <c r="F276" s="52">
        <f>SUM(H276:DY276)*E276*Table1[[#This Row],[Cycles]]</f>
        <v>0</v>
      </c>
      <c r="G276" s="46">
        <f t="shared" si="196"/>
        <v>0</v>
      </c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AR276" s="47"/>
      <c r="AS276" s="47"/>
      <c r="AT276" s="47"/>
      <c r="AU276" s="47"/>
      <c r="AV276" s="47"/>
      <c r="AW276" s="47"/>
      <c r="AX276" s="47"/>
      <c r="AY276" s="47"/>
      <c r="AZ276" s="47"/>
      <c r="BA276" s="47"/>
      <c r="BB276" s="47"/>
      <c r="BC276" s="47"/>
      <c r="BD276" s="47"/>
      <c r="BE276" s="47"/>
      <c r="BF276" s="47"/>
      <c r="BG276" s="47"/>
      <c r="BH276" s="47"/>
      <c r="BI276" s="47"/>
      <c r="BJ276" s="47"/>
      <c r="BK276" s="47"/>
      <c r="BL276" s="47"/>
      <c r="BM276" s="47"/>
      <c r="BN276" s="47"/>
      <c r="BO276" s="47"/>
      <c r="BP276" s="47"/>
      <c r="BQ276" s="47"/>
      <c r="BR276" s="47"/>
      <c r="BS276" s="47"/>
      <c r="BT276" s="47"/>
      <c r="BU276" s="47"/>
      <c r="BV276" s="47"/>
      <c r="BW276" s="47"/>
      <c r="BX276" s="47"/>
      <c r="BY276" s="47"/>
      <c r="BZ276" s="47"/>
      <c r="CA276" s="47"/>
      <c r="CB276" s="47"/>
      <c r="CC276" s="47"/>
      <c r="CD276" s="47"/>
      <c r="CE276" s="47"/>
      <c r="CF276" s="47"/>
      <c r="CG276" s="47"/>
      <c r="CH276" s="47"/>
      <c r="CI276" s="47"/>
      <c r="CJ276" s="47"/>
      <c r="CK276" s="47"/>
      <c r="CL276" s="47"/>
      <c r="CM276" s="47"/>
      <c r="CN276" s="47"/>
      <c r="CO276" s="47"/>
      <c r="CP276" s="47"/>
      <c r="CQ276" s="47"/>
      <c r="CR276" s="47"/>
      <c r="CS276" s="47"/>
      <c r="CT276" s="47"/>
      <c r="CU276" s="47"/>
      <c r="CV276" s="47"/>
      <c r="CW276" s="47"/>
      <c r="CX276" s="47"/>
      <c r="CY276" s="47"/>
      <c r="CZ276" s="47"/>
      <c r="DA276" s="47"/>
      <c r="DB276" s="47"/>
      <c r="DC276" s="47"/>
      <c r="DD276" s="47"/>
      <c r="DE276" s="47"/>
      <c r="DF276" s="47"/>
      <c r="DG276" s="47"/>
      <c r="DH276" s="47"/>
      <c r="DI276" s="47"/>
      <c r="DJ276" s="47"/>
      <c r="DK276" s="47"/>
      <c r="DL276" s="47"/>
      <c r="DM276" s="47"/>
      <c r="DN276" s="47"/>
      <c r="DO276" s="47"/>
      <c r="DP276" s="47"/>
      <c r="DQ276" s="47"/>
      <c r="DR276" s="47"/>
      <c r="DS276" s="47"/>
      <c r="DT276" s="47"/>
      <c r="DU276" s="47"/>
      <c r="DV276" s="47"/>
      <c r="DW276" s="47"/>
      <c r="DX276" s="47"/>
      <c r="DY276" s="47"/>
      <c r="DZ276" s="219"/>
      <c r="EA276" s="231"/>
      <c r="EB276" s="231"/>
      <c r="EC276" s="231"/>
      <c r="ED276" s="231"/>
      <c r="EE276" s="231"/>
      <c r="EF276" s="231"/>
      <c r="EG276" s="231"/>
      <c r="EH276" s="231"/>
      <c r="EI276" s="231"/>
      <c r="EJ276" s="231"/>
      <c r="EK276" s="231"/>
      <c r="EL276" s="231"/>
      <c r="EM276" s="231"/>
      <c r="EN276" s="231"/>
      <c r="EO276" s="231"/>
      <c r="EP276" s="231"/>
      <c r="EQ276" s="231"/>
    </row>
    <row r="277" spans="1:147" ht="22.9" customHeight="1" outlineLevel="2" x14ac:dyDescent="0.2">
      <c r="A277" s="151" t="s">
        <v>709</v>
      </c>
      <c r="B277" s="96" t="s">
        <v>298</v>
      </c>
      <c r="C277" s="152" t="s">
        <v>133</v>
      </c>
      <c r="D277" s="165">
        <v>1</v>
      </c>
      <c r="E277" s="166">
        <v>1</v>
      </c>
      <c r="F277" s="52">
        <f>SUM(H277:DY277)*E277*Table1[[#This Row],[Cycles]]</f>
        <v>22</v>
      </c>
      <c r="G277" s="46">
        <f t="shared" si="196"/>
        <v>2090</v>
      </c>
      <c r="H277" s="153"/>
      <c r="I277" s="153"/>
      <c r="J277" s="153"/>
      <c r="K277" s="153"/>
      <c r="L277" s="153"/>
      <c r="M277" s="153"/>
      <c r="N277" s="153"/>
      <c r="O277" s="153"/>
      <c r="P277" s="153"/>
      <c r="Q277" s="153">
        <v>22</v>
      </c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  <c r="AM277" s="153"/>
      <c r="AN277" s="153"/>
      <c r="AO277" s="153"/>
      <c r="AP277" s="153"/>
      <c r="AQ277" s="153"/>
      <c r="AR277" s="153"/>
      <c r="AS277" s="153"/>
      <c r="AT277" s="153"/>
      <c r="AU277" s="153"/>
      <c r="AV277" s="153"/>
      <c r="AW277" s="153"/>
      <c r="AX277" s="153"/>
      <c r="AY277" s="153"/>
      <c r="AZ277" s="153"/>
      <c r="BA277" s="153"/>
      <c r="BB277" s="153"/>
      <c r="BC277" s="153"/>
      <c r="BD277" s="153"/>
      <c r="BE277" s="153"/>
      <c r="BF277" s="153"/>
      <c r="BG277" s="153"/>
      <c r="BH277" s="153"/>
      <c r="BI277" s="153"/>
      <c r="BJ277" s="153"/>
      <c r="BK277" s="153"/>
      <c r="BL277" s="153"/>
      <c r="BM277" s="153"/>
      <c r="BN277" s="153"/>
      <c r="BO277" s="153"/>
      <c r="BP277" s="153"/>
      <c r="BQ277" s="153"/>
      <c r="BR277" s="153"/>
      <c r="BS277" s="153"/>
      <c r="BT277" s="153"/>
      <c r="BU277" s="153"/>
      <c r="BV277" s="153"/>
      <c r="BW277" s="153"/>
      <c r="BX277" s="153"/>
      <c r="BY277" s="153"/>
      <c r="BZ277" s="153"/>
      <c r="CA277" s="153"/>
      <c r="CB277" s="153"/>
      <c r="CC277" s="153"/>
      <c r="CD277" s="153"/>
      <c r="CE277" s="153"/>
      <c r="CF277" s="153"/>
      <c r="CG277" s="153"/>
      <c r="CH277" s="153"/>
      <c r="CI277" s="153"/>
      <c r="CJ277" s="153"/>
      <c r="CK277" s="153"/>
      <c r="CL277" s="153"/>
      <c r="CM277" s="153"/>
      <c r="CN277" s="153"/>
      <c r="CO277" s="153"/>
      <c r="CP277" s="153"/>
      <c r="CQ277" s="153"/>
      <c r="CR277" s="153"/>
      <c r="CS277" s="153"/>
      <c r="CT277" s="153"/>
      <c r="CU277" s="153"/>
      <c r="CV277" s="153"/>
      <c r="CW277" s="153"/>
      <c r="CX277" s="153"/>
      <c r="CY277" s="153"/>
      <c r="CZ277" s="153"/>
      <c r="DA277" s="153"/>
      <c r="DB277" s="153"/>
      <c r="DC277" s="153"/>
      <c r="DD277" s="153"/>
      <c r="DE277" s="153"/>
      <c r="DF277" s="153"/>
      <c r="DG277" s="153"/>
      <c r="DH277" s="153"/>
      <c r="DI277" s="153"/>
      <c r="DJ277" s="15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DX277" s="153"/>
      <c r="DY277" s="153"/>
      <c r="DZ277" s="222"/>
      <c r="EA277" s="231"/>
      <c r="EB277" s="231"/>
      <c r="EC277" s="231"/>
      <c r="ED277" s="231"/>
      <c r="EE277" s="231"/>
      <c r="EF277" s="231"/>
      <c r="EG277" s="231"/>
      <c r="EH277" s="231"/>
      <c r="EI277" s="231"/>
      <c r="EJ277" s="231"/>
      <c r="EK277" s="231"/>
      <c r="EL277" s="231"/>
      <c r="EM277" s="231"/>
      <c r="EN277" s="231"/>
      <c r="EO277" s="231"/>
      <c r="EP277" s="231"/>
      <c r="EQ277" s="231"/>
    </row>
  </sheetData>
  <sheetProtection formatColumns="0" formatRows="0" selectLockedCells="1"/>
  <phoneticPr fontId="13" type="noConversion"/>
  <dataValidations xWindow="360" yWindow="540" count="5">
    <dataValidation allowBlank="1" showInputMessage="1" showErrorMessage="1" promptTitle="CDVC" prompt="This includes all Site Visits and Clarifications." sqref="D44:D53" xr:uid="{EDFFCF1F-1C8C-420C-AC07-69895BC4D2F8}"/>
    <dataValidation allowBlank="1" showInputMessage="1" showErrorMessage="1" promptTitle="Estimating Codes" prompt="This Codes are used for EST Purposes." sqref="A5" xr:uid="{8E47ADB3-FF2F-4545-B60E-2AFB37257A6D}"/>
    <dataValidation allowBlank="1" showInputMessage="1" showErrorMessage="1" prompt="Cable Tray, Channel &amp; Raceway, Conduit, Supports_x000a_" sqref="B233:C233" xr:uid="{24F1027F-7EE7-46FF-89B4-7531B0E5CC5E}"/>
    <dataValidation allowBlank="1" showInputMessage="1" showErrorMessage="1" promptTitle="El Devices" prompt="Control station, breaker, starter, switch, push button, control transformer, receptacle, etc." sqref="B236:C236" xr:uid="{3595E92E-0669-4EAE-8D82-EA2E8671796B}"/>
    <dataValidation type="list" allowBlank="1" showInputMessage="1" showErrorMessage="1" sqref="D221:D231" xr:uid="{E8D5BF82-BBD6-4E7E-A457-54CE52D46616}">
      <formula1>"0.8,0.9,1,1.1,1.2,1.3,1.4,1.5,1.6,1.7,1.8,1.9,2.0"</formula1>
    </dataValidation>
  </dataValidations>
  <pageMargins left="0.78740157480314965" right="0.35433070866141736" top="0.98425196850393704" bottom="0.98425196850393704" header="0.51181102362204722" footer="0.51181102362204722"/>
  <pageSetup paperSize="17" scale="13" fitToHeight="8" orientation="landscape" r:id="rId1"/>
  <headerFooter alignWithMargins="0">
    <oddHeader xml:space="preserve">&amp;CEngineering Manhours Cost Estimate&amp;RDate: &amp;D
</oddHeader>
    <oddFooter>&amp;RPage: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44" r:id="rId4" name="Button 152">
              <controlPr defaultSize="0" print="0" autoFill="0" autoPict="0" macro="[0]!UnhideColumns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xWindow="360" yWindow="540" count="1">
        <x14:dataValidation type="list" allowBlank="1" showInputMessage="1" showErrorMessage="1" xr:uid="{709D4A82-8BFB-47D1-B058-C49EB9769DF6}">
          <x14:formula1>
            <xm:f>REFERENCE!V$2:V$26</xm:f>
          </x14:formula1>
          <xm:sqref>H2:DY2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DEEB-FCC5-4BD3-9C40-1E619819AD4F}">
  <sheetPr codeName="Sheet8"/>
  <dimension ref="A1"/>
  <sheetViews>
    <sheetView workbookViewId="0">
      <selection activeCell="N24" sqref="N24"/>
    </sheetView>
    <sheetView workbookViewId="1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Rev History</vt:lpstr>
      <vt:lpstr>RateSheet25</vt:lpstr>
      <vt:lpstr>Start EST</vt:lpstr>
      <vt:lpstr>Rates Sheet</vt:lpstr>
      <vt:lpstr>REFERENCE</vt:lpstr>
      <vt:lpstr>60 L1</vt:lpstr>
      <vt:lpstr>60 L2</vt:lpstr>
      <vt:lpstr>60 L3</vt:lpstr>
      <vt:lpstr>60 MTO</vt:lpstr>
      <vt:lpstr>60 L5</vt:lpstr>
      <vt:lpstr>'60 L1'!Print_Area</vt:lpstr>
      <vt:lpstr>'60 L2'!Print_Area</vt:lpstr>
      <vt:lpstr>'Rates Sheet'!Print_Area</vt:lpstr>
    </vt:vector>
  </TitlesOfParts>
  <Company>Catch Engineering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 Estimate</dc:title>
  <dc:creator>Ivan Kolevski</dc:creator>
  <cp:lastModifiedBy>Kurt Bergmann</cp:lastModifiedBy>
  <cp:lastPrinted>2024-12-12T23:24:12Z</cp:lastPrinted>
  <dcterms:created xsi:type="dcterms:W3CDTF">2023-10-05T13:05:31Z</dcterms:created>
  <dcterms:modified xsi:type="dcterms:W3CDTF">2025-01-23T17:25:32Z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timate: ">
    <vt:lpwstr>Class 3</vt:lpwstr>
  </property>
  <property fmtid="{D5CDD505-2E9C-101B-9397-08002B2CF9AE}" pid="3" name="Revision">
    <vt:lpwstr>a</vt:lpwstr>
  </property>
</Properties>
</file>