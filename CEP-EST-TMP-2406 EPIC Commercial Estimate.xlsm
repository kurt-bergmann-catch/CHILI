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SkunkWorks\2025.2 CHILI\2.1 EST Development\"/>
    </mc:Choice>
  </mc:AlternateContent>
  <xr:revisionPtr revIDLastSave="0" documentId="13_ncr:1_{66BA8364-624E-4FEE-B905-A366B414B35E}" xr6:coauthVersionLast="47" xr6:coauthVersionMax="47" xr10:uidLastSave="{00000000-0000-0000-0000-000000000000}"/>
  <bookViews>
    <workbookView xWindow="-120" yWindow="-120" windowWidth="29040" windowHeight="15840" firstSheet="2" activeTab="7" xr2:uid="{F4379C25-6919-4347-AA61-5AF8108F8A82}"/>
  </bookViews>
  <sheets>
    <sheet name="Rev History" sheetId="10" state="hidden" r:id="rId1"/>
    <sheet name="RateSheet25" sheetId="17" state="hidden" r:id="rId2"/>
    <sheet name="Start EST" sheetId="15" r:id="rId3"/>
    <sheet name="Rates Sheet" sheetId="9" state="hidden" r:id="rId4"/>
    <sheet name="REFERENCE" sheetId="16" r:id="rId5"/>
    <sheet name="60 L1" sheetId="6" r:id="rId6"/>
    <sheet name="60 L2" sheetId="3" r:id="rId7"/>
    <sheet name="60 MTO" sheetId="4" r:id="rId8"/>
  </sheets>
  <functionGroups builtInGroupCount="19"/>
  <definedNames>
    <definedName name="_Order1" hidden="1">255</definedName>
    <definedName name="_Order2" hidden="1">255</definedName>
    <definedName name="Absent" localSheetId="1">#REF!</definedName>
    <definedName name="Absent">#REF!</definedName>
    <definedName name="AD" localSheetId="1">#REF!</definedName>
    <definedName name="AD">#REF!</definedName>
    <definedName name="Budgetary">#REF!</definedName>
    <definedName name="ByEngineering">#REF!</definedName>
    <definedName name="ByEstimating">#REF!</definedName>
    <definedName name="CnD">#REF!</definedName>
    <definedName name="CnE">#REF!</definedName>
    <definedName name="CnT">#REF!</definedName>
    <definedName name="CON">#REF!</definedName>
    <definedName name="CSA_D">#REF!</definedName>
    <definedName name="CSA_E">#REF!</definedName>
    <definedName name="CSA_T">#REF!</definedName>
    <definedName name="DC">#REF!</definedName>
    <definedName name="DM">#REF!</definedName>
    <definedName name="ED">#REF!</definedName>
    <definedName name="EE">#REF!</definedName>
    <definedName name="ENG">#REF!</definedName>
    <definedName name="Escalation">#REF!</definedName>
    <definedName name="EST">#REF!</definedName>
    <definedName name="EstimatingPrice">#REF!</definedName>
    <definedName name="ET">#REF!</definedName>
    <definedName name="EXP">#REF!</definedName>
    <definedName name="F_AD">#REF!</definedName>
    <definedName name="F_DC">#REF!</definedName>
    <definedName name="F_ENG">#REF!</definedName>
    <definedName name="F_PC">#REF!</definedName>
    <definedName name="F_TECH">#REF!</definedName>
    <definedName name="Factor">#REF!</definedName>
    <definedName name="FieldInst">#REF!</definedName>
    <definedName name="Firm">#REF!</definedName>
    <definedName name="HO_CM">#REF!</definedName>
    <definedName name="ID">#REF!</definedName>
    <definedName name="IE">#REF!</definedName>
    <definedName name="IFC">#REF!</definedName>
    <definedName name="InlineInst">#REF!</definedName>
    <definedName name="INS">#REF!</definedName>
    <definedName name="InstPkgs">#REF!</definedName>
    <definedName name="IT">#REF!</definedName>
    <definedName name="L2_">#REF!</definedName>
    <definedName name="L3_">#REF!</definedName>
    <definedName name="L4_">#REF!</definedName>
    <definedName name="L5_">#REF!</definedName>
    <definedName name="L6_">#REF!</definedName>
    <definedName name="L7_">#REF!</definedName>
    <definedName name="LAB_RATE">#REF!</definedName>
    <definedName name="Last_Incurred_Column">#REF!</definedName>
    <definedName name="LOG">#REF!</definedName>
    <definedName name="MAT">#REF!</definedName>
    <definedName name="ME">#REF!</definedName>
    <definedName name="MechPkgs">#REF!</definedName>
    <definedName name="MOV">#REF!</definedName>
    <definedName name="MT">#REF!</definedName>
    <definedName name="NonInlineInst">#REF!</definedName>
    <definedName name="PC">#REF!</definedName>
    <definedName name="PE">#REF!</definedName>
    <definedName name="PercentBreakdown">#REF!</definedName>
    <definedName name="PM">#REF!</definedName>
    <definedName name="PneuValves">#REF!</definedName>
    <definedName name="PPD">#REF!</definedName>
    <definedName name="PrE">#REF!</definedName>
    <definedName name="_xlnm.Print_Area" localSheetId="5">'60 L1'!$A$2:$E$10</definedName>
    <definedName name="_xlnm.Print_Area" localSheetId="6">'60 L2'!$A$1:$F$32</definedName>
    <definedName name="_xlnm.Print_Area" localSheetId="3">'Rates Sheet'!$A$2:$J$37</definedName>
    <definedName name="PRINT_AREA_MI" localSheetId="1">#REF!</definedName>
    <definedName name="PRINT_AREA_MI">#REF!</definedName>
    <definedName name="PRO" localSheetId="1">#REF!</definedName>
    <definedName name="PRO">#REF!</definedName>
    <definedName name="PrT" localSheetId="1">#REF!</definedName>
    <definedName name="PrT">#REF!</definedName>
    <definedName name="PT">#REF!</definedName>
    <definedName name="RESOURCE">#REF!</definedName>
    <definedName name="SCH">#REF!</definedName>
    <definedName name="SCM">#REF!</definedName>
    <definedName name="TCA_D">#REF!</definedName>
    <definedName name="TCA_E">#REF!</definedName>
    <definedName name="TCA_T">#REF!</definedName>
    <definedName name="TECH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queInlineInst">#REF!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4" l="1"/>
  <c r="D10" i="4"/>
  <c r="D9" i="4"/>
  <c r="D8" i="4"/>
  <c r="E8" i="6"/>
  <c r="E7" i="6"/>
  <c r="E5" i="6"/>
  <c r="E4" i="6"/>
  <c r="F14" i="4"/>
  <c r="H125" i="4"/>
  <c r="H25" i="4"/>
  <c r="H21" i="4"/>
  <c r="H14" i="4"/>
  <c r="G232" i="4" l="1"/>
  <c r="F229" i="4"/>
  <c r="F230" i="4"/>
  <c r="DO231" i="4"/>
  <c r="DP231" i="4"/>
  <c r="DQ231" i="4"/>
  <c r="DR231" i="4"/>
  <c r="DS231" i="4"/>
  <c r="DT231" i="4"/>
  <c r="DU231" i="4"/>
  <c r="DV231" i="4"/>
  <c r="DW231" i="4"/>
  <c r="DX231" i="4"/>
  <c r="DY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L231" i="4"/>
  <c r="AM231" i="4"/>
  <c r="AN231" i="4"/>
  <c r="AO231" i="4"/>
  <c r="AP231" i="4"/>
  <c r="AQ231" i="4"/>
  <c r="AR231" i="4"/>
  <c r="AS231" i="4"/>
  <c r="AT231" i="4"/>
  <c r="AU231" i="4"/>
  <c r="AV231" i="4"/>
  <c r="AW231" i="4"/>
  <c r="AX231" i="4"/>
  <c r="AY231" i="4"/>
  <c r="AZ231" i="4"/>
  <c r="BA231" i="4"/>
  <c r="BB231" i="4"/>
  <c r="BC231" i="4"/>
  <c r="BD231" i="4"/>
  <c r="BE231" i="4"/>
  <c r="BF231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CY231" i="4"/>
  <c r="CZ231" i="4"/>
  <c r="DA231" i="4"/>
  <c r="DB231" i="4"/>
  <c r="DC231" i="4"/>
  <c r="DD231" i="4"/>
  <c r="DE231" i="4"/>
  <c r="DF231" i="4"/>
  <c r="DG231" i="4"/>
  <c r="DH231" i="4"/>
  <c r="DI231" i="4"/>
  <c r="DJ231" i="4"/>
  <c r="DK231" i="4"/>
  <c r="DL231" i="4"/>
  <c r="DM231" i="4"/>
  <c r="DN231" i="4"/>
  <c r="I231" i="4"/>
  <c r="J231" i="4"/>
  <c r="F223" i="4"/>
  <c r="F222" i="4"/>
  <c r="F221" i="4"/>
  <c r="F220" i="4"/>
  <c r="H231" i="4"/>
  <c r="H219" i="4"/>
  <c r="EO3" i="4" a="1"/>
  <c r="EA3" i="4" a="1"/>
  <c r="EQ3" i="4" a="1"/>
  <c r="EO3" i="4" l="1"/>
  <c r="EA3" i="4"/>
  <c r="EQ3" i="4"/>
  <c r="EQ4" i="4" s="1"/>
  <c r="F17" i="4" l="1"/>
  <c r="P3" i="16"/>
  <c r="EG4" i="4"/>
  <c r="EF4" i="4"/>
  <c r="EB4" i="4"/>
  <c r="EC4" i="4"/>
  <c r="ED4" i="4"/>
  <c r="EE4" i="4"/>
  <c r="EA4" i="4"/>
  <c r="F266" i="4"/>
  <c r="F267" i="4"/>
  <c r="F268" i="4"/>
  <c r="F269" i="4"/>
  <c r="F270" i="4"/>
  <c r="F271" i="4"/>
  <c r="F272" i="4"/>
  <c r="F273" i="4"/>
  <c r="F274" i="4"/>
  <c r="F275" i="4"/>
  <c r="F276" i="4"/>
  <c r="F265" i="4"/>
  <c r="F257" i="4"/>
  <c r="F258" i="4"/>
  <c r="F259" i="4"/>
  <c r="F260" i="4"/>
  <c r="F261" i="4"/>
  <c r="F262" i="4"/>
  <c r="F256" i="4"/>
  <c r="F239" i="4"/>
  <c r="F217" i="4"/>
  <c r="F205" i="4"/>
  <c r="F196" i="4"/>
  <c r="F191" i="4"/>
  <c r="DX264" i="4"/>
  <c r="DX255" i="4"/>
  <c r="DY244" i="4"/>
  <c r="DX244" i="4"/>
  <c r="DY219" i="4"/>
  <c r="DV219" i="4"/>
  <c r="DW219" i="4"/>
  <c r="DX219" i="4"/>
  <c r="DU219" i="4"/>
  <c r="DU207" i="4"/>
  <c r="DU195" i="4"/>
  <c r="DU244" i="4"/>
  <c r="F246" i="4"/>
  <c r="F247" i="4"/>
  <c r="F248" i="4"/>
  <c r="F249" i="4"/>
  <c r="F245" i="4"/>
  <c r="F233" i="4"/>
  <c r="F234" i="4"/>
  <c r="F235" i="4"/>
  <c r="F236" i="4"/>
  <c r="F237" i="4"/>
  <c r="F238" i="4"/>
  <c r="F240" i="4"/>
  <c r="F241" i="4"/>
  <c r="F242" i="4"/>
  <c r="F243" i="4"/>
  <c r="F232" i="4"/>
  <c r="H244" i="4"/>
  <c r="I244" i="4"/>
  <c r="J244" i="4"/>
  <c r="K244" i="4"/>
  <c r="L244" i="4"/>
  <c r="M244" i="4"/>
  <c r="N244" i="4"/>
  <c r="O244" i="4"/>
  <c r="P244" i="4"/>
  <c r="Q244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L244" i="4"/>
  <c r="AM244" i="4"/>
  <c r="AN244" i="4"/>
  <c r="AO244" i="4"/>
  <c r="AP244" i="4"/>
  <c r="AQ244" i="4"/>
  <c r="AR244" i="4"/>
  <c r="AS244" i="4"/>
  <c r="AT244" i="4"/>
  <c r="AU244" i="4"/>
  <c r="AV244" i="4"/>
  <c r="AW244" i="4"/>
  <c r="AX244" i="4"/>
  <c r="AY244" i="4"/>
  <c r="AZ244" i="4"/>
  <c r="BA244" i="4"/>
  <c r="BB244" i="4"/>
  <c r="BC244" i="4"/>
  <c r="BD244" i="4"/>
  <c r="BE244" i="4"/>
  <c r="BF244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CY244" i="4"/>
  <c r="CZ244" i="4"/>
  <c r="DA244" i="4"/>
  <c r="DB244" i="4"/>
  <c r="DC244" i="4"/>
  <c r="DD244" i="4"/>
  <c r="DE244" i="4"/>
  <c r="DF244" i="4"/>
  <c r="DG244" i="4"/>
  <c r="DH244" i="4"/>
  <c r="DI244" i="4"/>
  <c r="DJ244" i="4"/>
  <c r="DK244" i="4"/>
  <c r="DL244" i="4"/>
  <c r="DM244" i="4"/>
  <c r="DN244" i="4"/>
  <c r="DO244" i="4"/>
  <c r="DP244" i="4"/>
  <c r="DQ244" i="4"/>
  <c r="DR244" i="4"/>
  <c r="DS244" i="4"/>
  <c r="DT244" i="4"/>
  <c r="DV244" i="4"/>
  <c r="DW244" i="4"/>
  <c r="I219" i="4"/>
  <c r="J219" i="4"/>
  <c r="K219" i="4"/>
  <c r="L219" i="4"/>
  <c r="M219" i="4"/>
  <c r="N219" i="4"/>
  <c r="O219" i="4"/>
  <c r="P219" i="4"/>
  <c r="Q219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A219" i="4"/>
  <c r="BB219" i="4"/>
  <c r="BC219" i="4"/>
  <c r="BD219" i="4"/>
  <c r="BE219" i="4"/>
  <c r="BF219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CY219" i="4"/>
  <c r="CZ219" i="4"/>
  <c r="DA219" i="4"/>
  <c r="DB219" i="4"/>
  <c r="DC219" i="4"/>
  <c r="DD219" i="4"/>
  <c r="DE219" i="4"/>
  <c r="DF219" i="4"/>
  <c r="DG219" i="4"/>
  <c r="DH219" i="4"/>
  <c r="DI219" i="4"/>
  <c r="DJ219" i="4"/>
  <c r="DK219" i="4"/>
  <c r="DL219" i="4"/>
  <c r="DM219" i="4"/>
  <c r="DN219" i="4"/>
  <c r="DO219" i="4"/>
  <c r="DP219" i="4"/>
  <c r="DQ219" i="4"/>
  <c r="DR219" i="4"/>
  <c r="DS219" i="4"/>
  <c r="DT219" i="4"/>
  <c r="F224" i="4"/>
  <c r="F225" i="4"/>
  <c r="F226" i="4"/>
  <c r="F227" i="4"/>
  <c r="F228" i="4"/>
  <c r="F209" i="4"/>
  <c r="F210" i="4"/>
  <c r="F211" i="4"/>
  <c r="F212" i="4"/>
  <c r="F213" i="4"/>
  <c r="F214" i="4"/>
  <c r="F215" i="4"/>
  <c r="F216" i="4"/>
  <c r="F208" i="4"/>
  <c r="F197" i="4"/>
  <c r="F198" i="4"/>
  <c r="F199" i="4"/>
  <c r="F200" i="4"/>
  <c r="F201" i="4"/>
  <c r="F202" i="4"/>
  <c r="F203" i="4"/>
  <c r="F204" i="4"/>
  <c r="F181" i="4"/>
  <c r="F182" i="4"/>
  <c r="F183" i="4"/>
  <c r="F184" i="4"/>
  <c r="F185" i="4"/>
  <c r="F186" i="4"/>
  <c r="F187" i="4"/>
  <c r="F188" i="4"/>
  <c r="F189" i="4"/>
  <c r="F190" i="4"/>
  <c r="F192" i="4"/>
  <c r="F193" i="4"/>
  <c r="F194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63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39" i="4"/>
  <c r="F140" i="4"/>
  <c r="F141" i="4"/>
  <c r="F142" i="4"/>
  <c r="F143" i="4"/>
  <c r="F144" i="4"/>
  <c r="F145" i="4"/>
  <c r="F146" i="4"/>
  <c r="F147" i="4"/>
  <c r="F148" i="4"/>
  <c r="F149" i="4"/>
  <c r="F138" i="4"/>
  <c r="F137" i="4"/>
  <c r="F135" i="4"/>
  <c r="F134" i="4"/>
  <c r="F127" i="4"/>
  <c r="F128" i="4"/>
  <c r="F129" i="4"/>
  <c r="F130" i="4"/>
  <c r="F131" i="4"/>
  <c r="F126" i="4"/>
  <c r="F115" i="4"/>
  <c r="F116" i="4"/>
  <c r="F117" i="4"/>
  <c r="F118" i="4"/>
  <c r="F119" i="4"/>
  <c r="F120" i="4"/>
  <c r="F121" i="4"/>
  <c r="F122" i="4"/>
  <c r="F123" i="4"/>
  <c r="F124" i="4"/>
  <c r="F113" i="4"/>
  <c r="F114" i="4"/>
  <c r="F109" i="4"/>
  <c r="F110" i="4"/>
  <c r="F111" i="4"/>
  <c r="F98" i="4"/>
  <c r="F99" i="4"/>
  <c r="F100" i="4"/>
  <c r="F101" i="4"/>
  <c r="F102" i="4"/>
  <c r="F103" i="4"/>
  <c r="F104" i="4"/>
  <c r="F105" i="4"/>
  <c r="F106" i="4"/>
  <c r="F107" i="4"/>
  <c r="F108" i="4"/>
  <c r="F97" i="4"/>
  <c r="F87" i="4"/>
  <c r="F88" i="4"/>
  <c r="F89" i="4"/>
  <c r="F90" i="4"/>
  <c r="F91" i="4"/>
  <c r="F92" i="4"/>
  <c r="F93" i="4"/>
  <c r="F94" i="4"/>
  <c r="F95" i="4"/>
  <c r="F86" i="4"/>
  <c r="F74" i="4"/>
  <c r="F75" i="4"/>
  <c r="F76" i="4"/>
  <c r="F77" i="4"/>
  <c r="F78" i="4"/>
  <c r="F79" i="4"/>
  <c r="F80" i="4"/>
  <c r="F81" i="4"/>
  <c r="F82" i="4"/>
  <c r="F83" i="4"/>
  <c r="F84" i="4"/>
  <c r="F73" i="4"/>
  <c r="F60" i="4"/>
  <c r="F61" i="4"/>
  <c r="F62" i="4"/>
  <c r="F63" i="4"/>
  <c r="F64" i="4"/>
  <c r="F65" i="4"/>
  <c r="F66" i="4"/>
  <c r="F67" i="4"/>
  <c r="F68" i="4"/>
  <c r="F69" i="4"/>
  <c r="F70" i="4"/>
  <c r="F71" i="4"/>
  <c r="F59" i="4"/>
  <c r="F58" i="4"/>
  <c r="F56" i="4"/>
  <c r="F55" i="4"/>
  <c r="F44" i="4"/>
  <c r="F45" i="4"/>
  <c r="F46" i="4"/>
  <c r="F47" i="4"/>
  <c r="F48" i="4"/>
  <c r="F49" i="4"/>
  <c r="F50" i="4"/>
  <c r="F51" i="4"/>
  <c r="F52" i="4"/>
  <c r="F43" i="4"/>
  <c r="F41" i="4"/>
  <c r="F40" i="4"/>
  <c r="F39" i="4"/>
  <c r="F38" i="4"/>
  <c r="F35" i="4"/>
  <c r="F36" i="4"/>
  <c r="F34" i="4"/>
  <c r="F27" i="4"/>
  <c r="F28" i="4"/>
  <c r="F29" i="4"/>
  <c r="F30" i="4"/>
  <c r="F31" i="4"/>
  <c r="F26" i="4"/>
  <c r="F24" i="4"/>
  <c r="F22" i="4"/>
  <c r="F23" i="4"/>
  <c r="F16" i="4"/>
  <c r="F18" i="4"/>
  <c r="F19" i="4"/>
  <c r="F20" i="4"/>
  <c r="F15" i="4"/>
  <c r="F9" i="4"/>
  <c r="F11" i="4"/>
  <c r="F13" i="4"/>
  <c r="F8" i="4"/>
  <c r="I218" i="4" a="1"/>
  <c r="M218" i="4" a="1"/>
  <c r="Q218" i="4" a="1"/>
  <c r="U218" i="4" a="1"/>
  <c r="Y218" i="4" a="1"/>
  <c r="AC218" i="4" a="1"/>
  <c r="AG218" i="4" a="1"/>
  <c r="AK218" i="4" a="1"/>
  <c r="AO218" i="4" a="1"/>
  <c r="AS218" i="4" a="1"/>
  <c r="AW218" i="4" a="1"/>
  <c r="BA218" i="4" a="1"/>
  <c r="BE218" i="4" a="1"/>
  <c r="BI218" i="4" a="1"/>
  <c r="BM218" i="4" a="1"/>
  <c r="BQ218" i="4" a="1"/>
  <c r="BU218" i="4" a="1"/>
  <c r="BY218" i="4" a="1"/>
  <c r="CC218" i="4" a="1"/>
  <c r="CG218" i="4" a="1"/>
  <c r="CK218" i="4" a="1"/>
  <c r="CO218" i="4" a="1"/>
  <c r="CS218" i="4" a="1"/>
  <c r="CW218" i="4" a="1"/>
  <c r="DA218" i="4" a="1"/>
  <c r="DE218" i="4" a="1"/>
  <c r="DI218" i="4" a="1"/>
  <c r="DM218" i="4" a="1"/>
  <c r="DQ218" i="4" a="1"/>
  <c r="DV218" i="4" a="1"/>
  <c r="H218" i="4" a="1"/>
  <c r="L218" i="4" a="1"/>
  <c r="X218" i="4" a="1"/>
  <c r="AF218" i="4" a="1"/>
  <c r="AR218" i="4" a="1"/>
  <c r="BD218" i="4" a="1"/>
  <c r="BP218" i="4" a="1"/>
  <c r="BT218" i="4" a="1"/>
  <c r="CF218" i="4" a="1"/>
  <c r="CR218" i="4" a="1"/>
  <c r="DD218" i="4" a="1"/>
  <c r="DP218" i="4" a="1"/>
  <c r="DY218" i="4" a="1"/>
  <c r="J218" i="4" a="1"/>
  <c r="N218" i="4" a="1"/>
  <c r="R218" i="4" a="1"/>
  <c r="V218" i="4" a="1"/>
  <c r="Z218" i="4" a="1"/>
  <c r="AD218" i="4" a="1"/>
  <c r="AH218" i="4" a="1"/>
  <c r="AL218" i="4" a="1"/>
  <c r="AP218" i="4" a="1"/>
  <c r="AT218" i="4" a="1"/>
  <c r="AX218" i="4" a="1"/>
  <c r="BB218" i="4" a="1"/>
  <c r="BF218" i="4" a="1"/>
  <c r="BJ218" i="4" a="1"/>
  <c r="BN218" i="4" a="1"/>
  <c r="BR218" i="4" a="1"/>
  <c r="BV218" i="4" a="1"/>
  <c r="BZ218" i="4" a="1"/>
  <c r="CD218" i="4" a="1"/>
  <c r="CH218" i="4" a="1"/>
  <c r="CL218" i="4" a="1"/>
  <c r="CP218" i="4" a="1"/>
  <c r="CT218" i="4" a="1"/>
  <c r="CX218" i="4" a="1"/>
  <c r="DB218" i="4" a="1"/>
  <c r="DF218" i="4" a="1"/>
  <c r="DJ218" i="4" a="1"/>
  <c r="DN218" i="4" a="1"/>
  <c r="DR218" i="4" a="1"/>
  <c r="DW218" i="4" a="1"/>
  <c r="T218" i="4" a="1"/>
  <c r="AJ218" i="4" a="1"/>
  <c r="AV218" i="4" a="1"/>
  <c r="BH218" i="4" a="1"/>
  <c r="CB218" i="4" a="1"/>
  <c r="CJ218" i="4" a="1"/>
  <c r="CV218" i="4" a="1"/>
  <c r="DL218" i="4" a="1"/>
  <c r="DX218" i="4" a="1"/>
  <c r="DU218" i="4" a="1"/>
  <c r="K218" i="4" a="1"/>
  <c r="O218" i="4" a="1"/>
  <c r="S218" i="4" a="1"/>
  <c r="W218" i="4" a="1"/>
  <c r="AA218" i="4" a="1"/>
  <c r="AE218" i="4" a="1"/>
  <c r="AI218" i="4" a="1"/>
  <c r="AM218" i="4" a="1"/>
  <c r="AQ218" i="4" a="1"/>
  <c r="AU218" i="4" a="1"/>
  <c r="AY218" i="4" a="1"/>
  <c r="BC218" i="4" a="1"/>
  <c r="BG218" i="4" a="1"/>
  <c r="BK218" i="4" a="1"/>
  <c r="BO218" i="4" a="1"/>
  <c r="BS218" i="4" a="1"/>
  <c r="BW218" i="4" a="1"/>
  <c r="CA218" i="4" a="1"/>
  <c r="CE218" i="4" a="1"/>
  <c r="CI218" i="4" a="1"/>
  <c r="CM218" i="4" a="1"/>
  <c r="CQ218" i="4" a="1"/>
  <c r="CU218" i="4" a="1"/>
  <c r="CY218" i="4" a="1"/>
  <c r="DC218" i="4" a="1"/>
  <c r="DG218" i="4" a="1"/>
  <c r="DK218" i="4" a="1"/>
  <c r="DO218" i="4" a="1"/>
  <c r="DS218" i="4" a="1"/>
  <c r="P218" i="4" a="1"/>
  <c r="AB218" i="4" a="1"/>
  <c r="AN218" i="4" a="1"/>
  <c r="AZ218" i="4" a="1"/>
  <c r="BL218" i="4" a="1"/>
  <c r="BX218" i="4" a="1"/>
  <c r="CN218" i="4" a="1"/>
  <c r="CZ218" i="4" a="1"/>
  <c r="DH218" i="4" a="1"/>
  <c r="DT218" i="4" a="1"/>
  <c r="DY7" i="4" l="1"/>
  <c r="L7" i="4"/>
  <c r="P7" i="4"/>
  <c r="T7" i="4"/>
  <c r="X7" i="4"/>
  <c r="AB7" i="4"/>
  <c r="AF7" i="4"/>
  <c r="AJ7" i="4"/>
  <c r="AN7" i="4"/>
  <c r="AR7" i="4"/>
  <c r="AV7" i="4"/>
  <c r="AZ7" i="4"/>
  <c r="BD7" i="4"/>
  <c r="BH7" i="4"/>
  <c r="BL7" i="4"/>
  <c r="BP7" i="4"/>
  <c r="BT7" i="4"/>
  <c r="BX7" i="4"/>
  <c r="CB7" i="4"/>
  <c r="CF7" i="4"/>
  <c r="CJ7" i="4"/>
  <c r="CN7" i="4"/>
  <c r="CR7" i="4"/>
  <c r="CV7" i="4"/>
  <c r="CZ7" i="4"/>
  <c r="DD7" i="4"/>
  <c r="DH7" i="4"/>
  <c r="DL7" i="4"/>
  <c r="DP7" i="4"/>
  <c r="DT7" i="4"/>
  <c r="DX7" i="4"/>
  <c r="DU7" i="4"/>
  <c r="I7" i="4"/>
  <c r="M7" i="4"/>
  <c r="Q7" i="4"/>
  <c r="U7" i="4"/>
  <c r="Y7" i="4"/>
  <c r="AC7" i="4"/>
  <c r="AG7" i="4"/>
  <c r="AK7" i="4"/>
  <c r="AO7" i="4"/>
  <c r="AS7" i="4"/>
  <c r="AW7" i="4"/>
  <c r="BA7" i="4"/>
  <c r="BE7" i="4"/>
  <c r="BI7" i="4"/>
  <c r="BM7" i="4"/>
  <c r="BQ7" i="4"/>
  <c r="BU7" i="4"/>
  <c r="BY7" i="4"/>
  <c r="CC7" i="4"/>
  <c r="CG7" i="4"/>
  <c r="CK7" i="4"/>
  <c r="CO7" i="4"/>
  <c r="CS7" i="4"/>
  <c r="CW7" i="4"/>
  <c r="DA7" i="4"/>
  <c r="DE7" i="4"/>
  <c r="DI7" i="4"/>
  <c r="DM7" i="4"/>
  <c r="H7" i="4"/>
  <c r="J7" i="4"/>
  <c r="N7" i="4"/>
  <c r="R7" i="4"/>
  <c r="V7" i="4"/>
  <c r="Z7" i="4"/>
  <c r="AD7" i="4"/>
  <c r="AH7" i="4"/>
  <c r="AL7" i="4"/>
  <c r="AP7" i="4"/>
  <c r="AT7" i="4"/>
  <c r="AX7" i="4"/>
  <c r="BB7" i="4"/>
  <c r="BF7" i="4"/>
  <c r="BJ7" i="4"/>
  <c r="BN7" i="4"/>
  <c r="BR7" i="4"/>
  <c r="BV7" i="4"/>
  <c r="BZ7" i="4"/>
  <c r="CD7" i="4"/>
  <c r="CH7" i="4"/>
  <c r="CL7" i="4"/>
  <c r="CP7" i="4"/>
  <c r="CT7" i="4"/>
  <c r="CX7" i="4"/>
  <c r="DB7" i="4"/>
  <c r="DF7" i="4"/>
  <c r="DJ7" i="4"/>
  <c r="DN7" i="4"/>
  <c r="DR7" i="4"/>
  <c r="DV7" i="4"/>
  <c r="K7" i="4"/>
  <c r="O7" i="4"/>
  <c r="S7" i="4"/>
  <c r="W7" i="4"/>
  <c r="AA7" i="4"/>
  <c r="AE7" i="4"/>
  <c r="AI7" i="4"/>
  <c r="AM7" i="4"/>
  <c r="AQ7" i="4"/>
  <c r="AU7" i="4"/>
  <c r="AY7" i="4"/>
  <c r="BC7" i="4"/>
  <c r="BG7" i="4"/>
  <c r="BK7" i="4"/>
  <c r="BO7" i="4"/>
  <c r="BS7" i="4"/>
  <c r="BW7" i="4"/>
  <c r="CA7" i="4"/>
  <c r="CE7" i="4"/>
  <c r="CI7" i="4"/>
  <c r="CM7" i="4"/>
  <c r="CQ7" i="4"/>
  <c r="CU7" i="4"/>
  <c r="CY7" i="4"/>
  <c r="DC7" i="4"/>
  <c r="DG7" i="4"/>
  <c r="DK7" i="4"/>
  <c r="DO7" i="4"/>
  <c r="DS7" i="4"/>
  <c r="DW7" i="4"/>
  <c r="DQ7" i="4"/>
  <c r="DT218" i="4"/>
  <c r="DH218" i="4"/>
  <c r="CZ218" i="4"/>
  <c r="CN218" i="4"/>
  <c r="BX218" i="4"/>
  <c r="BL218" i="4"/>
  <c r="AZ218" i="4"/>
  <c r="AN218" i="4"/>
  <c r="AB218" i="4"/>
  <c r="P218" i="4"/>
  <c r="DS218" i="4"/>
  <c r="DO218" i="4"/>
  <c r="DK218" i="4"/>
  <c r="DG218" i="4"/>
  <c r="DC218" i="4"/>
  <c r="CY218" i="4"/>
  <c r="CU218" i="4"/>
  <c r="CQ218" i="4"/>
  <c r="CM218" i="4"/>
  <c r="CI218" i="4"/>
  <c r="CE218" i="4"/>
  <c r="CA218" i="4"/>
  <c r="BW218" i="4"/>
  <c r="BS218" i="4"/>
  <c r="BO218" i="4"/>
  <c r="BK218" i="4"/>
  <c r="BG218" i="4"/>
  <c r="BC218" i="4"/>
  <c r="AY218" i="4"/>
  <c r="AU218" i="4"/>
  <c r="AQ218" i="4"/>
  <c r="AM218" i="4"/>
  <c r="AI218" i="4"/>
  <c r="AE218" i="4"/>
  <c r="AA218" i="4"/>
  <c r="W218" i="4"/>
  <c r="S218" i="4"/>
  <c r="O218" i="4"/>
  <c r="K218" i="4"/>
  <c r="DU218" i="4"/>
  <c r="DX218" i="4"/>
  <c r="DL218" i="4"/>
  <c r="CV218" i="4"/>
  <c r="CJ218" i="4"/>
  <c r="CB218" i="4"/>
  <c r="BH218" i="4"/>
  <c r="AV218" i="4"/>
  <c r="AJ218" i="4"/>
  <c r="T218" i="4"/>
  <c r="DW218" i="4"/>
  <c r="DR218" i="4"/>
  <c r="DN218" i="4"/>
  <c r="DJ218" i="4"/>
  <c r="DF218" i="4"/>
  <c r="DB218" i="4"/>
  <c r="CX218" i="4"/>
  <c r="CT218" i="4"/>
  <c r="CP218" i="4"/>
  <c r="CL218" i="4"/>
  <c r="CH218" i="4"/>
  <c r="CD218" i="4"/>
  <c r="BZ218" i="4"/>
  <c r="BV218" i="4"/>
  <c r="BR218" i="4"/>
  <c r="BN218" i="4"/>
  <c r="BJ218" i="4"/>
  <c r="BF218" i="4"/>
  <c r="BB218" i="4"/>
  <c r="AX218" i="4"/>
  <c r="AT218" i="4"/>
  <c r="AP218" i="4"/>
  <c r="AL218" i="4"/>
  <c r="AH218" i="4"/>
  <c r="AD218" i="4"/>
  <c r="Z218" i="4"/>
  <c r="V218" i="4"/>
  <c r="R218" i="4"/>
  <c r="N218" i="4"/>
  <c r="J218" i="4"/>
  <c r="DY218" i="4"/>
  <c r="DP218" i="4"/>
  <c r="DD218" i="4"/>
  <c r="CR218" i="4"/>
  <c r="CF218" i="4"/>
  <c r="BT218" i="4"/>
  <c r="BP218" i="4"/>
  <c r="BD218" i="4"/>
  <c r="AR218" i="4"/>
  <c r="AF218" i="4"/>
  <c r="X218" i="4"/>
  <c r="L218" i="4"/>
  <c r="H218" i="4"/>
  <c r="DV218" i="4"/>
  <c r="DQ218" i="4"/>
  <c r="DM218" i="4"/>
  <c r="DI218" i="4"/>
  <c r="DE218" i="4"/>
  <c r="DA218" i="4"/>
  <c r="CW218" i="4"/>
  <c r="CS218" i="4"/>
  <c r="CO218" i="4"/>
  <c r="CK218" i="4"/>
  <c r="CG218" i="4"/>
  <c r="CC218" i="4"/>
  <c r="BY218" i="4"/>
  <c r="BU218" i="4"/>
  <c r="BQ218" i="4"/>
  <c r="BM218" i="4"/>
  <c r="BI218" i="4"/>
  <c r="BE218" i="4"/>
  <c r="BA218" i="4"/>
  <c r="AW218" i="4"/>
  <c r="AS218" i="4"/>
  <c r="AO218" i="4"/>
  <c r="AK218" i="4"/>
  <c r="AG218" i="4"/>
  <c r="AC218" i="4"/>
  <c r="Y218" i="4"/>
  <c r="U218" i="4"/>
  <c r="Q218" i="4"/>
  <c r="M218" i="4"/>
  <c r="I218" i="4"/>
  <c r="F219" i="4"/>
  <c r="F231" i="4"/>
  <c r="F244" i="4"/>
  <c r="F12" i="4"/>
  <c r="F10" i="4"/>
  <c r="H255" i="4"/>
  <c r="H264" i="4"/>
  <c r="H263" i="4" s="1"/>
  <c r="F218" i="4" a="1"/>
  <c r="F7" i="4" l="1"/>
  <c r="F218" i="4"/>
  <c r="D27" i="3"/>
  <c r="D25" i="3"/>
  <c r="D26" i="3"/>
  <c r="L162" i="4"/>
  <c r="I195" i="4"/>
  <c r="N264" i="4"/>
  <c r="L255" i="4"/>
  <c r="I255" i="4"/>
  <c r="H207" i="4"/>
  <c r="F250" i="4"/>
  <c r="F251" i="4"/>
  <c r="F252" i="4"/>
  <c r="F253" i="4"/>
  <c r="F254" i="4"/>
  <c r="I25" i="4"/>
  <c r="I21" i="4"/>
  <c r="BP14" i="4"/>
  <c r="BS255" i="4"/>
  <c r="C20" i="3"/>
  <c r="H206" i="4" a="1"/>
  <c r="H206" i="4" l="1"/>
  <c r="I264" i="4"/>
  <c r="I263" i="4" s="1"/>
  <c r="J264" i="4"/>
  <c r="J263" i="4" s="1"/>
  <c r="K264" i="4"/>
  <c r="K263" i="4" s="1"/>
  <c r="L264" i="4"/>
  <c r="L263" i="4" s="1"/>
  <c r="M264" i="4"/>
  <c r="M263" i="4" s="1"/>
  <c r="N263" i="4"/>
  <c r="O264" i="4"/>
  <c r="O263" i="4" s="1"/>
  <c r="P264" i="4"/>
  <c r="P263" i="4" s="1"/>
  <c r="Q264" i="4"/>
  <c r="Q263" i="4" s="1"/>
  <c r="R264" i="4"/>
  <c r="R263" i="4" s="1"/>
  <c r="S264" i="4"/>
  <c r="S263" i="4" s="1"/>
  <c r="T264" i="4"/>
  <c r="T263" i="4" s="1"/>
  <c r="U264" i="4"/>
  <c r="U263" i="4" s="1"/>
  <c r="V264" i="4"/>
  <c r="V263" i="4" s="1"/>
  <c r="W264" i="4"/>
  <c r="W263" i="4" s="1"/>
  <c r="X264" i="4"/>
  <c r="X263" i="4" s="1"/>
  <c r="Y264" i="4"/>
  <c r="Y263" i="4" s="1"/>
  <c r="Z264" i="4"/>
  <c r="Z263" i="4" s="1"/>
  <c r="AA264" i="4"/>
  <c r="AA263" i="4" s="1"/>
  <c r="AB264" i="4"/>
  <c r="AB263" i="4" s="1"/>
  <c r="AC264" i="4"/>
  <c r="AC263" i="4" s="1"/>
  <c r="AD264" i="4"/>
  <c r="AD263" i="4" s="1"/>
  <c r="AE264" i="4"/>
  <c r="AE263" i="4" s="1"/>
  <c r="AF264" i="4"/>
  <c r="AF263" i="4" s="1"/>
  <c r="AG264" i="4"/>
  <c r="AG263" i="4" s="1"/>
  <c r="AH264" i="4"/>
  <c r="AH263" i="4" s="1"/>
  <c r="AI264" i="4"/>
  <c r="AI263" i="4" s="1"/>
  <c r="AJ264" i="4"/>
  <c r="AJ263" i="4" s="1"/>
  <c r="AK264" i="4"/>
  <c r="AK263" i="4" s="1"/>
  <c r="AL264" i="4"/>
  <c r="AL263" i="4" s="1"/>
  <c r="AM264" i="4"/>
  <c r="AM263" i="4" s="1"/>
  <c r="AN264" i="4"/>
  <c r="AN263" i="4" s="1"/>
  <c r="AO264" i="4"/>
  <c r="AO263" i="4" s="1"/>
  <c r="AP264" i="4"/>
  <c r="AP263" i="4" s="1"/>
  <c r="AQ264" i="4"/>
  <c r="AQ263" i="4" s="1"/>
  <c r="AR264" i="4"/>
  <c r="AR263" i="4" s="1"/>
  <c r="AS264" i="4"/>
  <c r="AS263" i="4" s="1"/>
  <c r="AT264" i="4"/>
  <c r="AT263" i="4" s="1"/>
  <c r="AU264" i="4"/>
  <c r="AU263" i="4" s="1"/>
  <c r="AV264" i="4"/>
  <c r="AV263" i="4" s="1"/>
  <c r="AW264" i="4"/>
  <c r="AW263" i="4" s="1"/>
  <c r="AX264" i="4"/>
  <c r="AX263" i="4" s="1"/>
  <c r="AY264" i="4"/>
  <c r="AY263" i="4" s="1"/>
  <c r="AZ264" i="4"/>
  <c r="AZ263" i="4" s="1"/>
  <c r="BA264" i="4"/>
  <c r="BA263" i="4" s="1"/>
  <c r="BB264" i="4"/>
  <c r="BB263" i="4" s="1"/>
  <c r="BC264" i="4"/>
  <c r="BC263" i="4" s="1"/>
  <c r="BD264" i="4"/>
  <c r="BD263" i="4" s="1"/>
  <c r="BE264" i="4"/>
  <c r="BE263" i="4" s="1"/>
  <c r="BF264" i="4"/>
  <c r="BF263" i="4" s="1"/>
  <c r="BG264" i="4"/>
  <c r="BG263" i="4" s="1"/>
  <c r="BH264" i="4"/>
  <c r="BH263" i="4" s="1"/>
  <c r="BI264" i="4"/>
  <c r="BI263" i="4" s="1"/>
  <c r="BJ264" i="4"/>
  <c r="BJ263" i="4" s="1"/>
  <c r="BK264" i="4"/>
  <c r="BK263" i="4" s="1"/>
  <c r="BL264" i="4"/>
  <c r="BL263" i="4" s="1"/>
  <c r="BM264" i="4"/>
  <c r="BM263" i="4" s="1"/>
  <c r="BN264" i="4"/>
  <c r="BN263" i="4" s="1"/>
  <c r="BO264" i="4"/>
  <c r="BO263" i="4" s="1"/>
  <c r="BP264" i="4"/>
  <c r="BP263" i="4" s="1"/>
  <c r="BQ264" i="4"/>
  <c r="BQ263" i="4" s="1"/>
  <c r="BR264" i="4"/>
  <c r="BR263" i="4" s="1"/>
  <c r="BS264" i="4"/>
  <c r="BS263" i="4" s="1"/>
  <c r="BT264" i="4"/>
  <c r="BT263" i="4" s="1"/>
  <c r="BU264" i="4"/>
  <c r="BU263" i="4" s="1"/>
  <c r="BV264" i="4"/>
  <c r="BV263" i="4" s="1"/>
  <c r="BW264" i="4"/>
  <c r="BW263" i="4" s="1"/>
  <c r="BX264" i="4"/>
  <c r="BX263" i="4" s="1"/>
  <c r="BY264" i="4"/>
  <c r="BY263" i="4" s="1"/>
  <c r="BZ264" i="4"/>
  <c r="BZ263" i="4" s="1"/>
  <c r="CA264" i="4"/>
  <c r="CA263" i="4" s="1"/>
  <c r="CB264" i="4"/>
  <c r="CB263" i="4" s="1"/>
  <c r="CC264" i="4"/>
  <c r="CC263" i="4" s="1"/>
  <c r="CD264" i="4"/>
  <c r="CD263" i="4" s="1"/>
  <c r="CE264" i="4"/>
  <c r="CE263" i="4" s="1"/>
  <c r="CF264" i="4"/>
  <c r="CF263" i="4" s="1"/>
  <c r="CG264" i="4"/>
  <c r="CG263" i="4" s="1"/>
  <c r="CH264" i="4"/>
  <c r="CH263" i="4" s="1"/>
  <c r="CI264" i="4"/>
  <c r="CI263" i="4" s="1"/>
  <c r="CJ264" i="4"/>
  <c r="CJ263" i="4" s="1"/>
  <c r="CK264" i="4"/>
  <c r="CK263" i="4" s="1"/>
  <c r="CL264" i="4"/>
  <c r="CL263" i="4" s="1"/>
  <c r="CM264" i="4"/>
  <c r="CM263" i="4" s="1"/>
  <c r="CN264" i="4"/>
  <c r="CN263" i="4" s="1"/>
  <c r="CO264" i="4"/>
  <c r="CO263" i="4" s="1"/>
  <c r="CP264" i="4"/>
  <c r="CP263" i="4" s="1"/>
  <c r="CQ264" i="4"/>
  <c r="CQ263" i="4" s="1"/>
  <c r="CR264" i="4"/>
  <c r="CR263" i="4" s="1"/>
  <c r="CS264" i="4"/>
  <c r="CS263" i="4" s="1"/>
  <c r="CT264" i="4"/>
  <c r="CT263" i="4" s="1"/>
  <c r="CU264" i="4"/>
  <c r="CU263" i="4" s="1"/>
  <c r="CV264" i="4"/>
  <c r="CV263" i="4" s="1"/>
  <c r="CW264" i="4"/>
  <c r="CW263" i="4" s="1"/>
  <c r="CX264" i="4"/>
  <c r="CX263" i="4" s="1"/>
  <c r="CY264" i="4"/>
  <c r="CY263" i="4" s="1"/>
  <c r="CZ264" i="4"/>
  <c r="CZ263" i="4" s="1"/>
  <c r="DA264" i="4"/>
  <c r="DA263" i="4" s="1"/>
  <c r="DB264" i="4"/>
  <c r="DB263" i="4" s="1"/>
  <c r="DC264" i="4"/>
  <c r="DC263" i="4" s="1"/>
  <c r="DD264" i="4"/>
  <c r="DD263" i="4" s="1"/>
  <c r="DE264" i="4"/>
  <c r="DE263" i="4" s="1"/>
  <c r="DF264" i="4"/>
  <c r="DF263" i="4" s="1"/>
  <c r="DG264" i="4"/>
  <c r="DG263" i="4" s="1"/>
  <c r="DH264" i="4"/>
  <c r="DH263" i="4" s="1"/>
  <c r="DI264" i="4"/>
  <c r="DI263" i="4" s="1"/>
  <c r="DJ264" i="4"/>
  <c r="DJ263" i="4" s="1"/>
  <c r="DK264" i="4"/>
  <c r="DK263" i="4" s="1"/>
  <c r="DL264" i="4"/>
  <c r="DL263" i="4" s="1"/>
  <c r="DM264" i="4"/>
  <c r="DM263" i="4" s="1"/>
  <c r="DN264" i="4"/>
  <c r="DN263" i="4" s="1"/>
  <c r="DO264" i="4"/>
  <c r="DO263" i="4" s="1"/>
  <c r="DP264" i="4"/>
  <c r="DP263" i="4" s="1"/>
  <c r="DQ264" i="4"/>
  <c r="DQ263" i="4" s="1"/>
  <c r="DR264" i="4"/>
  <c r="DR263" i="4" s="1"/>
  <c r="DS264" i="4"/>
  <c r="DS263" i="4" s="1"/>
  <c r="DT264" i="4"/>
  <c r="DT263" i="4" s="1"/>
  <c r="DU264" i="4"/>
  <c r="DU263" i="4" s="1"/>
  <c r="DV264" i="4"/>
  <c r="DV263" i="4" s="1"/>
  <c r="DW264" i="4"/>
  <c r="DW263" i="4" s="1"/>
  <c r="DX263" i="4"/>
  <c r="DY264" i="4"/>
  <c r="DY263" i="4" s="1"/>
  <c r="J255" i="4"/>
  <c r="K255" i="4"/>
  <c r="M255" i="4"/>
  <c r="N255" i="4"/>
  <c r="O255" i="4"/>
  <c r="P255" i="4"/>
  <c r="Q255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L255" i="4"/>
  <c r="AM255" i="4"/>
  <c r="AN255" i="4"/>
  <c r="AO255" i="4"/>
  <c r="AP255" i="4"/>
  <c r="AQ255" i="4"/>
  <c r="AR255" i="4"/>
  <c r="AS255" i="4"/>
  <c r="AT255" i="4"/>
  <c r="AU255" i="4"/>
  <c r="AV255" i="4"/>
  <c r="AW255" i="4"/>
  <c r="AX255" i="4"/>
  <c r="AY255" i="4"/>
  <c r="AZ255" i="4"/>
  <c r="BA255" i="4"/>
  <c r="BB255" i="4"/>
  <c r="BC255" i="4"/>
  <c r="BD255" i="4"/>
  <c r="BE255" i="4"/>
  <c r="BF255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CY255" i="4"/>
  <c r="CZ255" i="4"/>
  <c r="DA255" i="4"/>
  <c r="DB255" i="4"/>
  <c r="DC255" i="4"/>
  <c r="DD255" i="4"/>
  <c r="DE255" i="4"/>
  <c r="DF255" i="4"/>
  <c r="DG255" i="4"/>
  <c r="DH255" i="4"/>
  <c r="DI255" i="4"/>
  <c r="DJ255" i="4"/>
  <c r="DK255" i="4"/>
  <c r="DL255" i="4"/>
  <c r="DM255" i="4"/>
  <c r="DN255" i="4"/>
  <c r="DO255" i="4"/>
  <c r="DP255" i="4"/>
  <c r="DQ255" i="4"/>
  <c r="DR255" i="4"/>
  <c r="DS255" i="4"/>
  <c r="DT255" i="4"/>
  <c r="DU255" i="4"/>
  <c r="DV255" i="4"/>
  <c r="DW255" i="4"/>
  <c r="DY255" i="4"/>
  <c r="I207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BE207" i="4"/>
  <c r="BF207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CY207" i="4"/>
  <c r="CZ207" i="4"/>
  <c r="DA207" i="4"/>
  <c r="DB207" i="4"/>
  <c r="DC207" i="4"/>
  <c r="DD207" i="4"/>
  <c r="DE207" i="4"/>
  <c r="DF207" i="4"/>
  <c r="DG207" i="4"/>
  <c r="DH207" i="4"/>
  <c r="DI207" i="4"/>
  <c r="DJ207" i="4"/>
  <c r="DK207" i="4"/>
  <c r="DL207" i="4"/>
  <c r="DM207" i="4"/>
  <c r="DN207" i="4"/>
  <c r="DO207" i="4"/>
  <c r="DP207" i="4"/>
  <c r="DQ207" i="4"/>
  <c r="DR207" i="4"/>
  <c r="DS207" i="4"/>
  <c r="DT207" i="4"/>
  <c r="DV207" i="4"/>
  <c r="DW207" i="4"/>
  <c r="DX207" i="4"/>
  <c r="DY207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BA195" i="4"/>
  <c r="BB195" i="4"/>
  <c r="BC195" i="4"/>
  <c r="BD195" i="4"/>
  <c r="BE195" i="4"/>
  <c r="BF195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CY195" i="4"/>
  <c r="CZ195" i="4"/>
  <c r="DA195" i="4"/>
  <c r="DB195" i="4"/>
  <c r="DC195" i="4"/>
  <c r="DD195" i="4"/>
  <c r="DE195" i="4"/>
  <c r="DF195" i="4"/>
  <c r="DG195" i="4"/>
  <c r="DH195" i="4"/>
  <c r="DI195" i="4"/>
  <c r="DJ195" i="4"/>
  <c r="DK195" i="4"/>
  <c r="DL195" i="4"/>
  <c r="DM195" i="4"/>
  <c r="DN195" i="4"/>
  <c r="DO195" i="4"/>
  <c r="DP195" i="4"/>
  <c r="DQ195" i="4"/>
  <c r="DR195" i="4"/>
  <c r="DS195" i="4"/>
  <c r="DT195" i="4"/>
  <c r="DV195" i="4"/>
  <c r="DW195" i="4"/>
  <c r="DX195" i="4"/>
  <c r="DY195" i="4"/>
  <c r="H195" i="4"/>
  <c r="I162" i="4"/>
  <c r="J162" i="4"/>
  <c r="K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CY162" i="4"/>
  <c r="CZ162" i="4"/>
  <c r="DA162" i="4"/>
  <c r="DB162" i="4"/>
  <c r="DC162" i="4"/>
  <c r="DD162" i="4"/>
  <c r="DE162" i="4"/>
  <c r="DF162" i="4"/>
  <c r="DG162" i="4"/>
  <c r="DH162" i="4"/>
  <c r="DI162" i="4"/>
  <c r="DJ162" i="4"/>
  <c r="DK162" i="4"/>
  <c r="DL162" i="4"/>
  <c r="DM162" i="4"/>
  <c r="DN162" i="4"/>
  <c r="DO162" i="4"/>
  <c r="DP162" i="4"/>
  <c r="DQ162" i="4"/>
  <c r="DR162" i="4"/>
  <c r="DS162" i="4"/>
  <c r="DT162" i="4"/>
  <c r="DU162" i="4"/>
  <c r="DV162" i="4"/>
  <c r="DW162" i="4"/>
  <c r="DX162" i="4"/>
  <c r="DY162" i="4"/>
  <c r="H162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CY136" i="4"/>
  <c r="CZ136" i="4"/>
  <c r="DA136" i="4"/>
  <c r="DB136" i="4"/>
  <c r="DC136" i="4"/>
  <c r="DD136" i="4"/>
  <c r="DE136" i="4"/>
  <c r="DF136" i="4"/>
  <c r="DG136" i="4"/>
  <c r="DH136" i="4"/>
  <c r="DI136" i="4"/>
  <c r="DJ136" i="4"/>
  <c r="DK136" i="4"/>
  <c r="DL136" i="4"/>
  <c r="DM136" i="4"/>
  <c r="DN136" i="4"/>
  <c r="DO136" i="4"/>
  <c r="DP136" i="4"/>
  <c r="DQ136" i="4"/>
  <c r="DR136" i="4"/>
  <c r="DS136" i="4"/>
  <c r="DT136" i="4"/>
  <c r="DU136" i="4"/>
  <c r="DV136" i="4"/>
  <c r="DW136" i="4"/>
  <c r="DX136" i="4"/>
  <c r="DY136" i="4"/>
  <c r="H136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H133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S125" i="4"/>
  <c r="DT125" i="4"/>
  <c r="DU125" i="4"/>
  <c r="DV125" i="4"/>
  <c r="DW125" i="4"/>
  <c r="DX125" i="4"/>
  <c r="DY125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DY112" i="4"/>
  <c r="H112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H96" i="4"/>
  <c r="BT85" i="4"/>
  <c r="BU72" i="4"/>
  <c r="BV57" i="4"/>
  <c r="BU54" i="4"/>
  <c r="BV42" i="4"/>
  <c r="BW37" i="4"/>
  <c r="BV33" i="4"/>
  <c r="BP33" i="4"/>
  <c r="BP37" i="4"/>
  <c r="BP25" i="4"/>
  <c r="BP21" i="4"/>
  <c r="BQ14" i="4"/>
  <c r="BR14" i="4"/>
  <c r="BS14" i="4"/>
  <c r="BT14" i="4"/>
  <c r="BU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BO25" i="4"/>
  <c r="H85" i="4"/>
  <c r="M85" i="4"/>
  <c r="C8" i="6" l="1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V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DY37" i="4"/>
  <c r="H37" i="4"/>
  <c r="BQ37" i="4"/>
  <c r="I85" i="4"/>
  <c r="J85" i="4"/>
  <c r="K85" i="4"/>
  <c r="L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DY85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DY72" i="4"/>
  <c r="H72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H57" i="4"/>
  <c r="H54" i="4"/>
  <c r="H42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Y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Q33" i="4"/>
  <c r="BR33" i="4"/>
  <c r="BS33" i="4"/>
  <c r="BT33" i="4"/>
  <c r="BU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DY33" i="4"/>
  <c r="H33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DY21" i="4"/>
  <c r="L132" i="4" a="1"/>
  <c r="AZ132" i="4" a="1"/>
  <c r="DO206" i="4" a="1"/>
  <c r="BK206" i="4" a="1"/>
  <c r="P132" i="4" a="1"/>
  <c r="DC132" i="4" a="1"/>
  <c r="CK132" i="4" a="1"/>
  <c r="DC206" i="4" a="1"/>
  <c r="CB206" i="4" a="1"/>
  <c r="BR132" i="4" a="1"/>
  <c r="AP132" i="4" a="1"/>
  <c r="CV132" i="4" a="1"/>
  <c r="AZ206" i="4" a="1"/>
  <c r="CK206" i="4" a="1"/>
  <c r="CN206" i="4" a="1"/>
  <c r="Q132" i="4" a="1"/>
  <c r="AK132" i="4" a="1"/>
  <c r="AD206" i="4" a="1"/>
  <c r="BF206" i="4" a="1"/>
  <c r="AB132" i="4" a="1"/>
  <c r="O132" i="4" a="1"/>
  <c r="T206" i="4" a="1"/>
  <c r="BM206" i="4" a="1"/>
  <c r="BP206" i="4" a="1"/>
  <c r="BN132" i="4" a="1"/>
  <c r="AC206" i="4" a="1"/>
  <c r="V206" i="4" a="1"/>
  <c r="BE132" i="4" a="1"/>
  <c r="CM132" i="4" a="1"/>
  <c r="DX132" i="4" a="1"/>
  <c r="DL206" i="4" a="1"/>
  <c r="M206" i="4" a="1"/>
  <c r="R132" i="4" a="1"/>
  <c r="CS206" i="4" a="1"/>
  <c r="BZ206" i="4" a="1"/>
  <c r="AX206" i="4" a="1"/>
  <c r="BG132" i="4" a="1"/>
  <c r="S206" i="4" a="1"/>
  <c r="DF206" i="4" a="1"/>
  <c r="BI132" i="4" a="1"/>
  <c r="I206" i="4" a="1"/>
  <c r="P206" i="4" a="1"/>
  <c r="CE132" i="4" a="1"/>
  <c r="DH132" i="4" a="1"/>
  <c r="DK132" i="4" a="1"/>
  <c r="DH206" i="4" a="1"/>
  <c r="DY206" i="4" a="1"/>
  <c r="R206" i="4" a="1"/>
  <c r="BA132" i="4" a="1"/>
  <c r="AM132" i="4" a="1"/>
  <c r="CX206" i="4" a="1"/>
  <c r="DS206" i="4" a="1"/>
  <c r="BQ132" i="4" a="1"/>
  <c r="DY132" i="4" a="1"/>
  <c r="DG132" i="4" a="1"/>
  <c r="CD206" i="4" a="1"/>
  <c r="BC206" i="4" a="1"/>
  <c r="T132" i="4" a="1"/>
  <c r="CD132" i="4" a="1"/>
  <c r="CZ206" i="4" a="1"/>
  <c r="DE206" i="4" a="1"/>
  <c r="CJ132" i="4" a="1"/>
  <c r="AR132" i="4" a="1"/>
  <c r="AO206" i="4" a="1"/>
  <c r="I132" i="4" a="1"/>
  <c r="X206" i="4" a="1"/>
  <c r="DI132" i="4" a="1"/>
  <c r="DU132" i="4" a="1"/>
  <c r="N206" i="4" a="1"/>
  <c r="DR132" i="4" a="1"/>
  <c r="DB206" i="4" a="1"/>
  <c r="V132" i="4" a="1"/>
  <c r="BT206" i="4" a="1"/>
  <c r="BW132" i="4" a="1"/>
  <c r="CF206" i="4" a="1"/>
  <c r="AL132" i="4" a="1"/>
  <c r="J132" i="4" a="1"/>
  <c r="AM206" i="4" a="1"/>
  <c r="DB132" i="4" a="1"/>
  <c r="CR206" i="4" a="1"/>
  <c r="L206" i="4" a="1"/>
  <c r="DU206" i="4" a="1"/>
  <c r="AX132" i="4" a="1"/>
  <c r="AO132" i="4" a="1"/>
  <c r="DP206" i="4" a="1"/>
  <c r="AD132" i="4" a="1"/>
  <c r="M132" i="4" a="1"/>
  <c r="U206" i="4" a="1"/>
  <c r="DT206" i="4" a="1"/>
  <c r="CU206" i="4" a="1"/>
  <c r="BF132" i="4" a="1"/>
  <c r="Q206" i="4" a="1"/>
  <c r="Y132" i="4" a="1"/>
  <c r="O206" i="4" a="1"/>
  <c r="AF206" i="4" a="1"/>
  <c r="AF132" i="4" a="1"/>
  <c r="AA206" i="4" a="1"/>
  <c r="DS132" i="4" a="1"/>
  <c r="CY206" i="4" a="1"/>
  <c r="CQ132" i="4" a="1"/>
  <c r="Z132" i="4" a="1"/>
  <c r="AC132" i="4" a="1"/>
  <c r="CO132" i="4" a="1"/>
  <c r="AK206" i="4" a="1"/>
  <c r="AL206" i="4" a="1"/>
  <c r="AH132" i="4" a="1"/>
  <c r="BX206" i="4" a="1"/>
  <c r="AV132" i="4" a="1"/>
  <c r="CT206" i="4" a="1"/>
  <c r="DD132" i="4" a="1"/>
  <c r="DW132" i="4" a="1"/>
  <c r="BE206" i="4" a="1"/>
  <c r="BN206" i="4" a="1"/>
  <c r="BM132" i="4" a="1"/>
  <c r="CZ132" i="4" a="1"/>
  <c r="CE206" i="4" a="1"/>
  <c r="BX132" i="4" a="1"/>
  <c r="CP132" i="4" a="1"/>
  <c r="DX206" i="4" a="1"/>
  <c r="DW206" i="4" a="1"/>
  <c r="DQ132" i="4" a="1"/>
  <c r="BK132" i="4" a="1"/>
  <c r="CF132" i="4" a="1"/>
  <c r="AS206" i="4" a="1"/>
  <c r="BO132" i="4" a="1"/>
  <c r="AJ132" i="4" a="1"/>
  <c r="BD206" i="4" a="1"/>
  <c r="AV206" i="4" a="1"/>
  <c r="AS132" i="4" a="1"/>
  <c r="BL206" i="4" a="1"/>
  <c r="CO206" i="4" a="1"/>
  <c r="CM206" i="4" a="1"/>
  <c r="CI132" i="4" a="1"/>
  <c r="BZ132" i="4" a="1"/>
  <c r="DI206" i="4" a="1"/>
  <c r="DG206" i="4" a="1"/>
  <c r="CH132" i="4" a="1"/>
  <c r="BU132" i="4" a="1"/>
  <c r="DV206" i="4" a="1"/>
  <c r="AJ206" i="4" a="1"/>
  <c r="CC206" i="4" a="1"/>
  <c r="BD132" i="4" a="1"/>
  <c r="CC132" i="4" a="1"/>
  <c r="CQ206" i="4" a="1"/>
  <c r="DM206" i="4" a="1"/>
  <c r="DP132" i="4" a="1"/>
  <c r="DO132" i="4" a="1"/>
  <c r="AI132" i="4" a="1"/>
  <c r="AU206" i="4" a="1"/>
  <c r="CI206" i="4" a="1"/>
  <c r="AT132" i="4" a="1"/>
  <c r="BB206" i="4" a="1"/>
  <c r="BR206" i="4" a="1"/>
  <c r="CA206" i="4" a="1"/>
  <c r="CU132" i="4" a="1"/>
  <c r="CG132" i="4" a="1"/>
  <c r="BH206" i="4" a="1"/>
  <c r="W206" i="4" a="1"/>
  <c r="CW132" i="4" a="1"/>
  <c r="DF132" i="4" a="1"/>
  <c r="U132" i="4" a="1"/>
  <c r="BW206" i="4" a="1"/>
  <c r="DJ206" i="4" a="1"/>
  <c r="BL132" i="4" a="1"/>
  <c r="DL132" i="4" a="1"/>
  <c r="DQ206" i="4" a="1"/>
  <c r="AR206" i="4" a="1"/>
  <c r="CX132" i="4" a="1"/>
  <c r="AA132" i="4" a="1"/>
  <c r="DA132" i="4" a="1"/>
  <c r="BA206" i="4" a="1"/>
  <c r="BJ132" i="4" a="1"/>
  <c r="CR132" i="4" a="1"/>
  <c r="AW206" i="4" a="1"/>
  <c r="BS132" i="4" a="1"/>
  <c r="AB206" i="4" a="1"/>
  <c r="BG206" i="4" a="1"/>
  <c r="DE132" i="4" a="1"/>
  <c r="CW206" i="4" a="1"/>
  <c r="BV132" i="4" a="1"/>
  <c r="BS206" i="4" a="1"/>
  <c r="Z206" i="4" a="1"/>
  <c r="AW132" i="4" a="1"/>
  <c r="J206" i="4" a="1"/>
  <c r="CA132" i="4" a="1"/>
  <c r="S132" i="4" a="1"/>
  <c r="AE206" i="4" a="1"/>
  <c r="CY132" i="4" a="1"/>
  <c r="AY132" i="4" a="1"/>
  <c r="DT132" i="4" a="1"/>
  <c r="AN206" i="4" a="1"/>
  <c r="BH132" i="4" a="1"/>
  <c r="CB132" i="4" a="1"/>
  <c r="DN206" i="4" a="1"/>
  <c r="CT132" i="4" a="1"/>
  <c r="BJ206" i="4" a="1"/>
  <c r="H132" i="4" a="1"/>
  <c r="DA206" i="4" a="1"/>
  <c r="Y206" i="4" a="1"/>
  <c r="DV132" i="4" a="1"/>
  <c r="BO206" i="4" a="1"/>
  <c r="AH206" i="4" a="1"/>
  <c r="AN132" i="4" a="1"/>
  <c r="AT206" i="4" a="1"/>
  <c r="DN132" i="4" a="1"/>
  <c r="BU206" i="4" a="1"/>
  <c r="BV206" i="4" a="1"/>
  <c r="BC132" i="4" a="1"/>
  <c r="X132" i="4" a="1"/>
  <c r="AI206" i="4" a="1"/>
  <c r="N132" i="4" a="1"/>
  <c r="CH206" i="4" a="1"/>
  <c r="BT132" i="4" a="1"/>
  <c r="CV206" i="4" a="1"/>
  <c r="BY132" i="4" a="1"/>
  <c r="AG206" i="4" a="1"/>
  <c r="CL206" i="4" a="1"/>
  <c r="CL132" i="4" a="1"/>
  <c r="AE132" i="4" a="1"/>
  <c r="AP206" i="4" a="1"/>
  <c r="K132" i="4" a="1"/>
  <c r="DK206" i="4" a="1"/>
  <c r="AU132" i="4" a="1"/>
  <c r="AQ132" i="4" a="1"/>
  <c r="W132" i="4" a="1"/>
  <c r="CG206" i="4" a="1"/>
  <c r="AG132" i="4" a="1"/>
  <c r="BI206" i="4" a="1"/>
  <c r="BP132" i="4" a="1"/>
  <c r="AY206" i="4" a="1"/>
  <c r="BQ206" i="4" a="1"/>
  <c r="DD206" i="4" a="1"/>
  <c r="K206" i="4" a="1"/>
  <c r="DJ132" i="4" a="1"/>
  <c r="BB132" i="4" a="1"/>
  <c r="CN132" i="4" a="1"/>
  <c r="DM132" i="4" a="1"/>
  <c r="DR206" i="4" a="1"/>
  <c r="CP206" i="4" a="1"/>
  <c r="AQ206" i="4" a="1"/>
  <c r="CS132" i="4" a="1"/>
  <c r="BY206" i="4" a="1"/>
  <c r="CJ206" i="4" a="1"/>
  <c r="DP53" i="4" a="1"/>
  <c r="AO32" i="4" a="1"/>
  <c r="BC53" i="4" a="1"/>
  <c r="BB53" i="4" a="1"/>
  <c r="CH53" i="4" a="1"/>
  <c r="CM53" i="4" a="1"/>
  <c r="DA53" i="4" a="1"/>
  <c r="AI32" i="4" a="1"/>
  <c r="AQ53" i="4" a="1"/>
  <c r="AN32" i="4" a="1"/>
  <c r="BN32" i="4" a="1"/>
  <c r="T53" i="4" a="1"/>
  <c r="AX32" i="4" a="1"/>
  <c r="CU53" i="4" a="1"/>
  <c r="AK53" i="4" a="1"/>
  <c r="AX53" i="4" a="1"/>
  <c r="Q53" i="4" a="1"/>
  <c r="AV32" i="4" a="1"/>
  <c r="Y32" i="4" a="1"/>
  <c r="DQ53" i="4" a="1"/>
  <c r="BK32" i="4" a="1"/>
  <c r="DH53" i="4" a="1"/>
  <c r="AB32" i="4" a="1"/>
  <c r="DB53" i="4" a="1"/>
  <c r="DR53" i="4" a="1"/>
  <c r="DA32" i="4" a="1"/>
  <c r="CH32" i="4" a="1"/>
  <c r="CQ53" i="4" a="1"/>
  <c r="AN53" i="4" a="1"/>
  <c r="AY53" i="4" a="1"/>
  <c r="AJ32" i="4" a="1"/>
  <c r="AB53" i="4" a="1"/>
  <c r="BL53" i="4" a="1"/>
  <c r="AZ53" i="4" a="1"/>
  <c r="DG53" i="4" a="1"/>
  <c r="CU32" i="4" a="1"/>
  <c r="AE32" i="4" a="1"/>
  <c r="Z53" i="4" a="1"/>
  <c r="BA32" i="4" a="1"/>
  <c r="BK53" i="4" a="1"/>
  <c r="R53" i="4" a="1"/>
  <c r="AV53" i="4" a="1"/>
  <c r="J32" i="4" a="1"/>
  <c r="CB32" i="4" a="1"/>
  <c r="CX32" i="4" a="1"/>
  <c r="N32" i="4" a="1"/>
  <c r="AS53" i="4" a="1"/>
  <c r="DG32" i="4" a="1"/>
  <c r="BM32" i="4" a="1"/>
  <c r="CY32" i="4" a="1"/>
  <c r="CK53" i="4" a="1"/>
  <c r="DK53" i="4" a="1"/>
  <c r="BG32" i="4" a="1"/>
  <c r="BE32" i="4" a="1"/>
  <c r="AQ32" i="4" a="1"/>
  <c r="V53" i="4" a="1"/>
  <c r="AJ53" i="4" a="1"/>
  <c r="I53" i="4" a="1"/>
  <c r="BE53" i="4" a="1"/>
  <c r="AH53" i="4" a="1"/>
  <c r="BG53" i="4" a="1"/>
  <c r="CD53" i="4" a="1"/>
  <c r="O32" i="4" a="1"/>
  <c r="CF32" i="4" a="1"/>
  <c r="AG32" i="4" a="1"/>
  <c r="BV32" i="4" a="1"/>
  <c r="CA53" i="4" a="1"/>
  <c r="CO53" i="4" a="1"/>
  <c r="AP53" i="4" a="1"/>
  <c r="CE53" i="4" a="1"/>
  <c r="BI53" i="4" a="1"/>
  <c r="BV53" i="4" a="1"/>
  <c r="BO53" i="4" a="1"/>
  <c r="CZ32" i="4" a="1"/>
  <c r="U32" i="4" a="1"/>
  <c r="CV32" i="4" a="1"/>
  <c r="AS32" i="4" a="1"/>
  <c r="AZ32" i="4" a="1"/>
  <c r="CR53" i="4" a="1"/>
  <c r="BJ53" i="4" a="1"/>
  <c r="BH32" i="4" a="1"/>
  <c r="BC32" i="4" a="1"/>
  <c r="AR53" i="4" a="1"/>
  <c r="BL32" i="4" a="1"/>
  <c r="BZ53" i="4" a="1"/>
  <c r="CA32" i="4" a="1"/>
  <c r="AF32" i="4" a="1"/>
  <c r="S32" i="4" a="1"/>
  <c r="CE32" i="4" a="1"/>
  <c r="DJ32" i="4" a="1"/>
  <c r="AA32" i="4" a="1"/>
  <c r="BY32" i="4" a="1"/>
  <c r="AG53" i="4" a="1"/>
  <c r="DT53" i="4" a="1"/>
  <c r="CL53" i="4" a="1"/>
  <c r="M53" i="4" a="1"/>
  <c r="CK32" i="4" a="1"/>
  <c r="L32" i="4" a="1"/>
  <c r="DF32" i="4" a="1"/>
  <c r="S53" i="4" a="1"/>
  <c r="CC53" i="4" a="1"/>
  <c r="AD53" i="4" a="1"/>
  <c r="DP32" i="4" a="1"/>
  <c r="BW32" i="4" a="1"/>
  <c r="DR32" i="4" a="1"/>
  <c r="U53" i="4" a="1"/>
  <c r="CP32" i="4" a="1"/>
  <c r="W32" i="4" a="1"/>
  <c r="L53" i="4" a="1"/>
  <c r="DI53" i="4" a="1"/>
  <c r="CJ32" i="4" a="1"/>
  <c r="DD32" i="4" a="1"/>
  <c r="DN32" i="4" a="1"/>
  <c r="AK32" i="4" a="1"/>
  <c r="CM32" i="4" a="1"/>
  <c r="CZ53" i="4" a="1"/>
  <c r="CI53" i="4" a="1"/>
  <c r="N53" i="4" a="1"/>
  <c r="AR32" i="4" a="1"/>
  <c r="CN53" i="4" a="1"/>
  <c r="AM32" i="4" a="1"/>
  <c r="DN53" i="4" a="1"/>
  <c r="AI53" i="4" a="1"/>
  <c r="BH53" i="4" a="1"/>
  <c r="X32" i="4" a="1"/>
  <c r="CY53" i="4" a="1"/>
  <c r="DM53" i="4" a="1"/>
  <c r="AU32" i="4" a="1"/>
  <c r="BM53" i="4" a="1"/>
  <c r="AH32" i="4" a="1"/>
  <c r="AA53" i="4" a="1"/>
  <c r="AD32" i="4" a="1"/>
  <c r="BX53" i="4" a="1"/>
  <c r="CC32" i="4" a="1"/>
  <c r="AC53" i="4" a="1"/>
  <c r="DV32" i="4" a="1"/>
  <c r="AW53" i="4" a="1"/>
  <c r="M32" i="4" a="1"/>
  <c r="AO53" i="4" a="1"/>
  <c r="CG53" i="4" a="1"/>
  <c r="DK32" i="4" a="1"/>
  <c r="DM32" i="4" a="1"/>
  <c r="DW32" i="4" a="1"/>
  <c r="AY32" i="4" a="1"/>
  <c r="BI32" i="4" a="1"/>
  <c r="P32" i="4" a="1"/>
  <c r="DS53" i="4" a="1"/>
  <c r="CJ53" i="4" a="1"/>
  <c r="DH32" i="4" a="1"/>
  <c r="DQ32" i="4" a="1"/>
  <c r="DS32" i="4" a="1"/>
  <c r="AL53" i="4" a="1"/>
  <c r="AP32" i="4" a="1"/>
  <c r="X53" i="4" a="1"/>
  <c r="BW53" i="4" a="1"/>
  <c r="CN32" i="4" a="1"/>
  <c r="CO32" i="4" a="1"/>
  <c r="CS53" i="4" a="1"/>
  <c r="P53" i="4" a="1"/>
  <c r="DY32" i="4" a="1"/>
  <c r="AT32" i="4" a="1"/>
  <c r="DL32" i="4" a="1"/>
  <c r="DT32" i="4" a="1"/>
  <c r="CW53" i="4" a="1"/>
  <c r="DW53" i="4" a="1"/>
  <c r="BX32" i="4" a="1"/>
  <c r="BZ32" i="4" a="1"/>
  <c r="W53" i="4" a="1"/>
  <c r="BF53" i="4" a="1"/>
  <c r="BF32" i="4" a="1"/>
  <c r="BB32" i="4" a="1"/>
  <c r="DO53" i="4" a="1"/>
  <c r="CL32" i="4" a="1"/>
  <c r="DC53" i="4" a="1"/>
  <c r="AU53" i="4" a="1"/>
  <c r="AW32" i="4" a="1"/>
  <c r="DU53" i="4" a="1"/>
  <c r="CG32" i="4" a="1"/>
  <c r="J53" i="4" a="1"/>
  <c r="K53" i="4" a="1"/>
  <c r="CD32" i="4" a="1"/>
  <c r="BD32" i="4" a="1"/>
  <c r="CP53" i="4" a="1"/>
  <c r="AE53" i="4" a="1"/>
  <c r="DU32" i="4" a="1"/>
  <c r="CR32" i="4" a="1"/>
  <c r="DE53" i="4" a="1"/>
  <c r="CS32" i="4" a="1"/>
  <c r="BJ32" i="4" a="1"/>
  <c r="CB53" i="4" a="1"/>
  <c r="DX32" i="4" a="1"/>
  <c r="AL32" i="4" a="1"/>
  <c r="DX53" i="4" a="1"/>
  <c r="DF53" i="4" a="1"/>
  <c r="CV53" i="4" a="1"/>
  <c r="V32" i="4" a="1"/>
  <c r="DE32" i="4" a="1"/>
  <c r="Y53" i="4" a="1"/>
  <c r="CF53" i="4" a="1"/>
  <c r="DD53" i="4" a="1"/>
  <c r="CX53" i="4" a="1"/>
  <c r="BY53" i="4" a="1"/>
  <c r="H53" i="4" a="1"/>
  <c r="Z32" i="4" a="1"/>
  <c r="CT53" i="4" a="1"/>
  <c r="AF53" i="4" a="1"/>
  <c r="DC32" i="4" a="1"/>
  <c r="K32" i="4" a="1"/>
  <c r="DJ53" i="4" a="1"/>
  <c r="O53" i="4" a="1"/>
  <c r="Q32" i="4" a="1"/>
  <c r="DB32" i="4" a="1"/>
  <c r="H32" i="4" a="1"/>
  <c r="DY53" i="4" a="1"/>
  <c r="DO32" i="4" a="1"/>
  <c r="DV53" i="4" a="1"/>
  <c r="DL53" i="4" a="1"/>
  <c r="AC32" i="4" a="1"/>
  <c r="BD53" i="4" a="1"/>
  <c r="AM53" i="4" a="1"/>
  <c r="BO32" i="4" a="1"/>
  <c r="CQ32" i="4" a="1"/>
  <c r="CT32" i="4" a="1"/>
  <c r="T32" i="4" a="1"/>
  <c r="R32" i="4" a="1"/>
  <c r="BN53" i="4" a="1"/>
  <c r="AT53" i="4" a="1"/>
  <c r="CW32" i="4" a="1"/>
  <c r="CI32" i="4" a="1"/>
  <c r="I32" i="4" a="1"/>
  <c r="BA53" i="4" a="1"/>
  <c r="DI32" i="4" a="1"/>
  <c r="AY6" i="4" a="1"/>
  <c r="CZ6" i="4" a="1"/>
  <c r="BW6" i="4" a="1"/>
  <c r="CJ6" i="4" a="1"/>
  <c r="DM6" i="4" a="1"/>
  <c r="BK6" i="4" a="1"/>
  <c r="CV6" i="4" a="1"/>
  <c r="AB6" i="4" a="1"/>
  <c r="M6" i="4" a="1"/>
  <c r="CH6" i="4" a="1"/>
  <c r="BZ6" i="4" a="1"/>
  <c r="CT6" i="4" a="1"/>
  <c r="AD6" i="4" a="1"/>
  <c r="DB6" i="4" a="1"/>
  <c r="Q6" i="4" a="1"/>
  <c r="DU6" i="4" a="1"/>
  <c r="AL6" i="4" a="1"/>
  <c r="CO6" i="4" a="1"/>
  <c r="CY6" i="4" a="1"/>
  <c r="DG6" i="4" a="1"/>
  <c r="DW6" i="4" a="1"/>
  <c r="CF6" i="4" a="1"/>
  <c r="AR6" i="4" a="1"/>
  <c r="CR6" i="4" a="1"/>
  <c r="BD6" i="4" a="1"/>
  <c r="Z6" i="4" a="1"/>
  <c r="AV6" i="4" a="1"/>
  <c r="CK6" i="4" a="1"/>
  <c r="AI6" i="4" a="1"/>
  <c r="AQ6" i="4" a="1"/>
  <c r="BO6" i="4" a="1"/>
  <c r="DJ6" i="4" a="1"/>
  <c r="Y6" i="4" a="1"/>
  <c r="CD6" i="4" a="1"/>
  <c r="AK6" i="4" a="1"/>
  <c r="AO6" i="4" a="1"/>
  <c r="BM6" i="4" a="1"/>
  <c r="AJ6" i="4" a="1"/>
  <c r="AP6" i="4" a="1"/>
  <c r="CX6" i="4" a="1"/>
  <c r="DA6" i="4" a="1"/>
  <c r="AN6" i="4" a="1"/>
  <c r="X6" i="4" a="1"/>
  <c r="CM6" i="4" a="1"/>
  <c r="BG6" i="4" a="1"/>
  <c r="CA6" i="4" a="1"/>
  <c r="K6" i="4" a="1"/>
  <c r="DC6" i="4" a="1"/>
  <c r="DL6" i="4" a="1"/>
  <c r="W6" i="4" a="1"/>
  <c r="BY6" i="4" a="1"/>
  <c r="BH6" i="4" a="1"/>
  <c r="DY6" i="4" a="1"/>
  <c r="V6" i="4" a="1"/>
  <c r="BF6" i="4" a="1"/>
  <c r="AZ6" i="4" a="1"/>
  <c r="BE6" i="4" a="1"/>
  <c r="CB6" i="4" a="1"/>
  <c r="AG6" i="4" a="1"/>
  <c r="CL6" i="4" a="1"/>
  <c r="DD6" i="4" a="1"/>
  <c r="AC6" i="4" a="1"/>
  <c r="DS6" i="4" a="1"/>
  <c r="CS6" i="4" a="1"/>
  <c r="CW6" i="4" a="1"/>
  <c r="DN6" i="4" a="1"/>
  <c r="S6" i="4" a="1"/>
  <c r="L6" i="4" a="1"/>
  <c r="DV6" i="4" a="1"/>
  <c r="I6" i="4" a="1"/>
  <c r="BC6" i="4" a="1"/>
  <c r="BV6" i="4" a="1"/>
  <c r="DX6" i="4" a="1"/>
  <c r="BA6" i="4" a="1"/>
  <c r="DE6" i="4" a="1"/>
  <c r="DP6" i="4" a="1"/>
  <c r="BB6" i="4" a="1"/>
  <c r="DR6" i="4" a="1"/>
  <c r="AX6" i="4" a="1"/>
  <c r="BP6" i="4" a="1"/>
  <c r="BJ6" i="4" a="1"/>
  <c r="AH6" i="4" a="1"/>
  <c r="CQ6" i="4" a="1"/>
  <c r="CE6" i="4" a="1"/>
  <c r="DQ6" i="4" a="1"/>
  <c r="DI6" i="4" a="1"/>
  <c r="R6" i="4" a="1"/>
  <c r="CC6" i="4" a="1"/>
  <c r="AT6" i="4" a="1"/>
  <c r="BL6" i="4" a="1"/>
  <c r="J6" i="4" a="1"/>
  <c r="CG6" i="4" a="1"/>
  <c r="DK6" i="4" a="1"/>
  <c r="N6" i="4" a="1"/>
  <c r="DO6" i="4" a="1"/>
  <c r="AM6" i="4" a="1"/>
  <c r="P6" i="4" a="1"/>
  <c r="AF6" i="4" a="1"/>
  <c r="AU6" i="4" a="1"/>
  <c r="T6" i="4" a="1"/>
  <c r="CI6" i="4" a="1"/>
  <c r="O6" i="4" a="1"/>
  <c r="DH6" i="4" a="1"/>
  <c r="CN6" i="4" a="1"/>
  <c r="DT6" i="4" a="1"/>
  <c r="CU6" i="4" a="1"/>
  <c r="U6" i="4" a="1"/>
  <c r="AA6" i="4" a="1"/>
  <c r="BN6" i="4" a="1"/>
  <c r="DF6" i="4" a="1"/>
  <c r="AW6" i="4" a="1"/>
  <c r="BI6" i="4" a="1"/>
  <c r="CP6" i="4" a="1"/>
  <c r="AS6" i="4" a="1"/>
  <c r="AE6" i="4" a="1"/>
  <c r="H6" i="4" a="1"/>
  <c r="BX6" i="4" a="1"/>
  <c r="CJ206" i="4" l="1"/>
  <c r="BY206" i="4"/>
  <c r="CS132" i="4"/>
  <c r="AQ206" i="4"/>
  <c r="CP206" i="4"/>
  <c r="DR206" i="4"/>
  <c r="DM132" i="4"/>
  <c r="CN132" i="4"/>
  <c r="BB132" i="4"/>
  <c r="DJ132" i="4"/>
  <c r="K206" i="4"/>
  <c r="DD206" i="4"/>
  <c r="BQ206" i="4"/>
  <c r="AY206" i="4"/>
  <c r="BP132" i="4"/>
  <c r="BI206" i="4"/>
  <c r="AG132" i="4"/>
  <c r="CG206" i="4"/>
  <c r="W132" i="4"/>
  <c r="AQ132" i="4"/>
  <c r="AU132" i="4"/>
  <c r="DK206" i="4"/>
  <c r="K132" i="4"/>
  <c r="AP206" i="4"/>
  <c r="AE132" i="4"/>
  <c r="CL132" i="4"/>
  <c r="CL206" i="4"/>
  <c r="AG206" i="4"/>
  <c r="BY132" i="4"/>
  <c r="CV206" i="4"/>
  <c r="BT132" i="4"/>
  <c r="CH206" i="4"/>
  <c r="N132" i="4"/>
  <c r="AI206" i="4"/>
  <c r="X132" i="4"/>
  <c r="BC132" i="4"/>
  <c r="BV206" i="4"/>
  <c r="I6" i="4"/>
  <c r="BU206" i="4"/>
  <c r="DN132" i="4"/>
  <c r="AT206" i="4"/>
  <c r="AN132" i="4"/>
  <c r="AH206" i="4"/>
  <c r="BO206" i="4"/>
  <c r="DV132" i="4"/>
  <c r="Y206" i="4"/>
  <c r="DA206" i="4"/>
  <c r="H132" i="4"/>
  <c r="BJ206" i="4"/>
  <c r="CT132" i="4"/>
  <c r="DN206" i="4"/>
  <c r="CB132" i="4"/>
  <c r="BH132" i="4"/>
  <c r="AN206" i="4"/>
  <c r="DT132" i="4"/>
  <c r="AY132" i="4"/>
  <c r="CY132" i="4"/>
  <c r="AE206" i="4"/>
  <c r="S132" i="4"/>
  <c r="CA132" i="4"/>
  <c r="J206" i="4"/>
  <c r="AW132" i="4"/>
  <c r="Z206" i="4"/>
  <c r="BS206" i="4"/>
  <c r="BV132" i="4"/>
  <c r="CW206" i="4"/>
  <c r="DE132" i="4"/>
  <c r="BG206" i="4"/>
  <c r="AB206" i="4"/>
  <c r="BS132" i="4"/>
  <c r="AW206" i="4"/>
  <c r="CR132" i="4"/>
  <c r="BJ132" i="4"/>
  <c r="BA206" i="4"/>
  <c r="DA132" i="4"/>
  <c r="AA132" i="4"/>
  <c r="CX132" i="4"/>
  <c r="AR206" i="4"/>
  <c r="DQ206" i="4"/>
  <c r="DL132" i="4"/>
  <c r="BL132" i="4"/>
  <c r="DJ206" i="4"/>
  <c r="BW206" i="4"/>
  <c r="U132" i="4"/>
  <c r="DF132" i="4"/>
  <c r="CW132" i="4"/>
  <c r="W206" i="4"/>
  <c r="BH206" i="4"/>
  <c r="CG132" i="4"/>
  <c r="CU132" i="4"/>
  <c r="CA206" i="4"/>
  <c r="BR206" i="4"/>
  <c r="BB206" i="4"/>
  <c r="AT132" i="4"/>
  <c r="CI206" i="4"/>
  <c r="AU206" i="4"/>
  <c r="AI132" i="4"/>
  <c r="DO132" i="4"/>
  <c r="DP132" i="4"/>
  <c r="DM206" i="4"/>
  <c r="CQ206" i="4"/>
  <c r="CC132" i="4"/>
  <c r="BD132" i="4"/>
  <c r="CC206" i="4"/>
  <c r="AJ206" i="4"/>
  <c r="DV206" i="4"/>
  <c r="BU132" i="4"/>
  <c r="CH132" i="4"/>
  <c r="DG206" i="4"/>
  <c r="DI206" i="4"/>
  <c r="BZ132" i="4"/>
  <c r="CI132" i="4"/>
  <c r="CM206" i="4"/>
  <c r="CO206" i="4"/>
  <c r="BL206" i="4"/>
  <c r="AS132" i="4"/>
  <c r="AV206" i="4"/>
  <c r="BD206" i="4"/>
  <c r="AJ132" i="4"/>
  <c r="BO132" i="4"/>
  <c r="AS206" i="4"/>
  <c r="CF132" i="4"/>
  <c r="BK132" i="4"/>
  <c r="DQ132" i="4"/>
  <c r="DW206" i="4"/>
  <c r="DX206" i="4"/>
  <c r="CP132" i="4"/>
  <c r="BX132" i="4"/>
  <c r="CE206" i="4"/>
  <c r="CZ132" i="4"/>
  <c r="BM132" i="4"/>
  <c r="BN206" i="4"/>
  <c r="BE206" i="4"/>
  <c r="DW132" i="4"/>
  <c r="DD132" i="4"/>
  <c r="CT206" i="4"/>
  <c r="AV132" i="4"/>
  <c r="BX206" i="4"/>
  <c r="AH132" i="4"/>
  <c r="AL206" i="4"/>
  <c r="AK206" i="4"/>
  <c r="CO132" i="4"/>
  <c r="AC132" i="4"/>
  <c r="Z132" i="4"/>
  <c r="CQ132" i="4"/>
  <c r="CY206" i="4"/>
  <c r="DS132" i="4"/>
  <c r="AA206" i="4"/>
  <c r="AF132" i="4"/>
  <c r="AF206" i="4"/>
  <c r="BP6" i="4"/>
  <c r="O206" i="4"/>
  <c r="Y132" i="4"/>
  <c r="Q206" i="4"/>
  <c r="BF132" i="4"/>
  <c r="CU206" i="4"/>
  <c r="DT206" i="4"/>
  <c r="U206" i="4"/>
  <c r="M132" i="4"/>
  <c r="AD132" i="4"/>
  <c r="DP206" i="4"/>
  <c r="AO132" i="4"/>
  <c r="AX132" i="4"/>
  <c r="DU206" i="4"/>
  <c r="L206" i="4"/>
  <c r="CR206" i="4"/>
  <c r="DB132" i="4"/>
  <c r="AM206" i="4"/>
  <c r="J132" i="4"/>
  <c r="AL132" i="4"/>
  <c r="CF206" i="4"/>
  <c r="BW132" i="4"/>
  <c r="BT206" i="4"/>
  <c r="V132" i="4"/>
  <c r="DB206" i="4"/>
  <c r="DR132" i="4"/>
  <c r="N206" i="4"/>
  <c r="DU132" i="4"/>
  <c r="DI132" i="4"/>
  <c r="X206" i="4"/>
  <c r="I132" i="4"/>
  <c r="AO206" i="4"/>
  <c r="AR132" i="4"/>
  <c r="CJ132" i="4"/>
  <c r="DE206" i="4"/>
  <c r="CZ206" i="4"/>
  <c r="CD132" i="4"/>
  <c r="T132" i="4"/>
  <c r="BC206" i="4"/>
  <c r="CD206" i="4"/>
  <c r="DG132" i="4"/>
  <c r="DY132" i="4"/>
  <c r="BQ132" i="4"/>
  <c r="DS206" i="4"/>
  <c r="CX206" i="4"/>
  <c r="AM132" i="4"/>
  <c r="BA132" i="4"/>
  <c r="R206" i="4"/>
  <c r="DY206" i="4"/>
  <c r="DH206" i="4"/>
  <c r="DK132" i="4"/>
  <c r="DH132" i="4"/>
  <c r="CE132" i="4"/>
  <c r="P206" i="4"/>
  <c r="I206" i="4"/>
  <c r="BI132" i="4"/>
  <c r="DF206" i="4"/>
  <c r="S206" i="4"/>
  <c r="BG132" i="4"/>
  <c r="AX206" i="4"/>
  <c r="BZ206" i="4"/>
  <c r="CS206" i="4"/>
  <c r="R132" i="4"/>
  <c r="M206" i="4"/>
  <c r="DL206" i="4"/>
  <c r="DX132" i="4"/>
  <c r="CM132" i="4"/>
  <c r="BE132" i="4"/>
  <c r="V206" i="4"/>
  <c r="AC206" i="4"/>
  <c r="BN132" i="4"/>
  <c r="BP206" i="4"/>
  <c r="BM206" i="4"/>
  <c r="T206" i="4"/>
  <c r="O132" i="4"/>
  <c r="AB132" i="4"/>
  <c r="BF206" i="4"/>
  <c r="AD206" i="4"/>
  <c r="AK132" i="4"/>
  <c r="Q132" i="4"/>
  <c r="CN206" i="4"/>
  <c r="CK206" i="4"/>
  <c r="AZ206" i="4"/>
  <c r="CV132" i="4"/>
  <c r="AP132" i="4"/>
  <c r="BR132" i="4"/>
  <c r="CB206" i="4"/>
  <c r="DC206" i="4"/>
  <c r="CK132" i="4"/>
  <c r="DC132" i="4"/>
  <c r="P132" i="4"/>
  <c r="BK206" i="4"/>
  <c r="DO206" i="4"/>
  <c r="AZ132" i="4"/>
  <c r="L132" i="4"/>
  <c r="AU6" i="4"/>
  <c r="N32" i="4"/>
  <c r="Q53" i="4"/>
  <c r="BF6" i="4"/>
  <c r="CN32" i="4"/>
  <c r="M32" i="4"/>
  <c r="CP53" i="4"/>
  <c r="AB53" i="4"/>
  <c r="BZ6" i="4"/>
  <c r="DM32" i="4"/>
  <c r="BM53" i="4"/>
  <c r="AH6" i="4"/>
  <c r="DL32" i="4"/>
  <c r="BI32" i="4"/>
  <c r="DN53" i="4"/>
  <c r="BL53" i="4"/>
  <c r="AN53" i="4"/>
  <c r="DT6" i="4"/>
  <c r="DH6" i="4"/>
  <c r="CV6" i="4"/>
  <c r="CJ6" i="4"/>
  <c r="BX6" i="4"/>
  <c r="BE6" i="4"/>
  <c r="AS6" i="4"/>
  <c r="AG6" i="4"/>
  <c r="U6" i="4"/>
  <c r="DW32" i="4"/>
  <c r="DK32" i="4"/>
  <c r="CY32" i="4"/>
  <c r="CM32" i="4"/>
  <c r="CA32" i="4"/>
  <c r="BH32" i="4"/>
  <c r="AV32" i="4"/>
  <c r="AJ32" i="4"/>
  <c r="X32" i="4"/>
  <c r="L32" i="4"/>
  <c r="DY53" i="4"/>
  <c r="DM53" i="4"/>
  <c r="DA53" i="4"/>
  <c r="CO53" i="4"/>
  <c r="CC53" i="4"/>
  <c r="BK53" i="4"/>
  <c r="AY53" i="4"/>
  <c r="AM53" i="4"/>
  <c r="AA53" i="4"/>
  <c r="O53" i="4"/>
  <c r="BG6" i="4"/>
  <c r="BJ32" i="4"/>
  <c r="CE53" i="4"/>
  <c r="AT6" i="4"/>
  <c r="CB32" i="4"/>
  <c r="DB53" i="4"/>
  <c r="AZ53" i="4"/>
  <c r="DS6" i="4"/>
  <c r="DG6" i="4"/>
  <c r="CU6" i="4"/>
  <c r="CI6" i="4"/>
  <c r="BW6" i="4"/>
  <c r="BD6" i="4"/>
  <c r="AR6" i="4"/>
  <c r="AF6" i="4"/>
  <c r="T6" i="4"/>
  <c r="DV32" i="4"/>
  <c r="DJ32" i="4"/>
  <c r="CX32" i="4"/>
  <c r="CL32" i="4"/>
  <c r="BZ32" i="4"/>
  <c r="BG32" i="4"/>
  <c r="AU32" i="4"/>
  <c r="AI32" i="4"/>
  <c r="W32" i="4"/>
  <c r="K32" i="4"/>
  <c r="DX53" i="4"/>
  <c r="DL53" i="4"/>
  <c r="CZ53" i="4"/>
  <c r="CN53" i="4"/>
  <c r="CB53" i="4"/>
  <c r="BJ53" i="4"/>
  <c r="AX53" i="4"/>
  <c r="AL53" i="4"/>
  <c r="Z53" i="4"/>
  <c r="N53" i="4"/>
  <c r="DV6" i="4"/>
  <c r="AL32" i="4"/>
  <c r="AC53" i="4"/>
  <c r="DU6" i="4"/>
  <c r="V6" i="4"/>
  <c r="CZ32" i="4"/>
  <c r="Y32" i="4"/>
  <c r="CD53" i="4"/>
  <c r="P53" i="4"/>
  <c r="DR6" i="4"/>
  <c r="DF6" i="4"/>
  <c r="CT6" i="4"/>
  <c r="CH6" i="4"/>
  <c r="BV6" i="4"/>
  <c r="BC6" i="4"/>
  <c r="AQ6" i="4"/>
  <c r="AE6" i="4"/>
  <c r="S6" i="4"/>
  <c r="DU32" i="4"/>
  <c r="DI32" i="4"/>
  <c r="CW32" i="4"/>
  <c r="CK32" i="4"/>
  <c r="BY32" i="4"/>
  <c r="BF32" i="4"/>
  <c r="AT32" i="4"/>
  <c r="AH32" i="4"/>
  <c r="V32" i="4"/>
  <c r="J32" i="4"/>
  <c r="M53" i="4"/>
  <c r="DW53" i="4"/>
  <c r="DK53" i="4"/>
  <c r="CY53" i="4"/>
  <c r="CM53" i="4"/>
  <c r="CA53" i="4"/>
  <c r="BI53" i="4"/>
  <c r="AW53" i="4"/>
  <c r="AK53" i="4"/>
  <c r="Y53" i="4"/>
  <c r="L53" i="4"/>
  <c r="CL6" i="4"/>
  <c r="CC32" i="4"/>
  <c r="DC53" i="4"/>
  <c r="BY6" i="4"/>
  <c r="DX32" i="4"/>
  <c r="AW32" i="4"/>
  <c r="H6" i="4"/>
  <c r="DQ6" i="4"/>
  <c r="DE6" i="4"/>
  <c r="CS6" i="4"/>
  <c r="CG6" i="4"/>
  <c r="BN6" i="4"/>
  <c r="BB6" i="4"/>
  <c r="AP6" i="4"/>
  <c r="AD6" i="4"/>
  <c r="R6" i="4"/>
  <c r="DT32" i="4"/>
  <c r="DH32" i="4"/>
  <c r="CV32" i="4"/>
  <c r="CJ32" i="4"/>
  <c r="BX32" i="4"/>
  <c r="BE32" i="4"/>
  <c r="AS32" i="4"/>
  <c r="AG32" i="4"/>
  <c r="U32" i="4"/>
  <c r="I32" i="4"/>
  <c r="DV53" i="4"/>
  <c r="DJ53" i="4"/>
  <c r="CX53" i="4"/>
  <c r="CL53" i="4"/>
  <c r="BZ53" i="4"/>
  <c r="BH53" i="4"/>
  <c r="AV53" i="4"/>
  <c r="AJ53" i="4"/>
  <c r="X53" i="4"/>
  <c r="K53" i="4"/>
  <c r="AI6" i="4"/>
  <c r="Z32" i="4"/>
  <c r="CQ53" i="4"/>
  <c r="CK6" i="4"/>
  <c r="AK32" i="4"/>
  <c r="DP6" i="4"/>
  <c r="DD6" i="4"/>
  <c r="CR6" i="4"/>
  <c r="CF6" i="4"/>
  <c r="BM6" i="4"/>
  <c r="BA6" i="4"/>
  <c r="AO6" i="4"/>
  <c r="AC6" i="4"/>
  <c r="Q6" i="4"/>
  <c r="DS32" i="4"/>
  <c r="DG32" i="4"/>
  <c r="CU32" i="4"/>
  <c r="CI32" i="4"/>
  <c r="BW32" i="4"/>
  <c r="BD32" i="4"/>
  <c r="AR32" i="4"/>
  <c r="AF32" i="4"/>
  <c r="T32" i="4"/>
  <c r="DY32" i="4"/>
  <c r="DU53" i="4"/>
  <c r="DI53" i="4"/>
  <c r="CW53" i="4"/>
  <c r="CK53" i="4"/>
  <c r="BY53" i="4"/>
  <c r="BG53" i="4"/>
  <c r="AU53" i="4"/>
  <c r="AI53" i="4"/>
  <c r="W53" i="4"/>
  <c r="J53" i="4"/>
  <c r="AX32" i="4"/>
  <c r="DO53" i="4"/>
  <c r="BO6" i="4"/>
  <c r="CE6" i="4"/>
  <c r="P6" i="4"/>
  <c r="DR32" i="4"/>
  <c r="DF32" i="4"/>
  <c r="CT32" i="4"/>
  <c r="CH32" i="4"/>
  <c r="BO32" i="4"/>
  <c r="BC32" i="4"/>
  <c r="AQ32" i="4"/>
  <c r="AE32" i="4"/>
  <c r="S32" i="4"/>
  <c r="H32" i="4"/>
  <c r="DT53" i="4"/>
  <c r="DH53" i="4"/>
  <c r="CV53" i="4"/>
  <c r="CJ53" i="4"/>
  <c r="BX53" i="4"/>
  <c r="BF53" i="4"/>
  <c r="AT53" i="4"/>
  <c r="AH53" i="4"/>
  <c r="V53" i="4"/>
  <c r="I53" i="4"/>
  <c r="K6" i="4"/>
  <c r="J6" i="4"/>
  <c r="DO6" i="4"/>
  <c r="AZ6" i="4"/>
  <c r="DN6" i="4"/>
  <c r="DB6" i="4"/>
  <c r="CP6" i="4"/>
  <c r="CD6" i="4"/>
  <c r="BK6" i="4"/>
  <c r="AY6" i="4"/>
  <c r="AM6" i="4"/>
  <c r="AA6" i="4"/>
  <c r="O6" i="4"/>
  <c r="DQ32" i="4"/>
  <c r="DE32" i="4"/>
  <c r="CS32" i="4"/>
  <c r="CG32" i="4"/>
  <c r="BN32" i="4"/>
  <c r="BB32" i="4"/>
  <c r="AP32" i="4"/>
  <c r="AD32" i="4"/>
  <c r="R32" i="4"/>
  <c r="DS53" i="4"/>
  <c r="DG53" i="4"/>
  <c r="CU53" i="4"/>
  <c r="CI53" i="4"/>
  <c r="BW53" i="4"/>
  <c r="BE53" i="4"/>
  <c r="AS53" i="4"/>
  <c r="AG53" i="4"/>
  <c r="U53" i="4"/>
  <c r="CX6" i="4"/>
  <c r="DA32" i="4"/>
  <c r="BA53" i="4"/>
  <c r="CW6" i="4"/>
  <c r="CQ6" i="4"/>
  <c r="AN6" i="4"/>
  <c r="DY6" i="4"/>
  <c r="DM6" i="4"/>
  <c r="DA6" i="4"/>
  <c r="CO6" i="4"/>
  <c r="CC6" i="4"/>
  <c r="BJ6" i="4"/>
  <c r="AX6" i="4"/>
  <c r="AL6" i="4"/>
  <c r="Z6" i="4"/>
  <c r="N6" i="4"/>
  <c r="DP32" i="4"/>
  <c r="DD32" i="4"/>
  <c r="CR32" i="4"/>
  <c r="CF32" i="4"/>
  <c r="BM32" i="4"/>
  <c r="BA32" i="4"/>
  <c r="AO32" i="4"/>
  <c r="AC32" i="4"/>
  <c r="Q32" i="4"/>
  <c r="H53" i="4"/>
  <c r="DR53" i="4"/>
  <c r="DF53" i="4"/>
  <c r="CT53" i="4"/>
  <c r="CH53" i="4"/>
  <c r="BV53" i="4"/>
  <c r="BD53" i="4"/>
  <c r="AR53" i="4"/>
  <c r="AF53" i="4"/>
  <c r="T53" i="4"/>
  <c r="BV32" i="4"/>
  <c r="W6" i="4"/>
  <c r="CO32" i="4"/>
  <c r="AO53" i="4"/>
  <c r="DI6" i="4"/>
  <c r="DC6" i="4"/>
  <c r="BL6" i="4"/>
  <c r="AB6" i="4"/>
  <c r="DX6" i="4"/>
  <c r="DL6" i="4"/>
  <c r="CZ6" i="4"/>
  <c r="CN6" i="4"/>
  <c r="CB6" i="4"/>
  <c r="BI6" i="4"/>
  <c r="AW6" i="4"/>
  <c r="AK6" i="4"/>
  <c r="Y6" i="4"/>
  <c r="M6" i="4"/>
  <c r="DO32" i="4"/>
  <c r="DC32" i="4"/>
  <c r="CQ32" i="4"/>
  <c r="CE32" i="4"/>
  <c r="BL32" i="4"/>
  <c r="AZ32" i="4"/>
  <c r="AN32" i="4"/>
  <c r="AB32" i="4"/>
  <c r="P32" i="4"/>
  <c r="DQ53" i="4"/>
  <c r="DE53" i="4"/>
  <c r="CS53" i="4"/>
  <c r="CG53" i="4"/>
  <c r="BO53" i="4"/>
  <c r="BC53" i="4"/>
  <c r="AQ53" i="4"/>
  <c r="AE53" i="4"/>
  <c r="S53" i="4"/>
  <c r="DJ6" i="4"/>
  <c r="DW6" i="4"/>
  <c r="DK6" i="4"/>
  <c r="CY6" i="4"/>
  <c r="CM6" i="4"/>
  <c r="CA6" i="4"/>
  <c r="BH6" i="4"/>
  <c r="AV6" i="4"/>
  <c r="AJ6" i="4"/>
  <c r="X6" i="4"/>
  <c r="L6" i="4"/>
  <c r="DN32" i="4"/>
  <c r="DB32" i="4"/>
  <c r="CP32" i="4"/>
  <c r="CD32" i="4"/>
  <c r="BK32" i="4"/>
  <c r="AY32" i="4"/>
  <c r="AM32" i="4"/>
  <c r="AA32" i="4"/>
  <c r="O32" i="4"/>
  <c r="DP53" i="4"/>
  <c r="DD53" i="4"/>
  <c r="CR53" i="4"/>
  <c r="CF53" i="4"/>
  <c r="BN53" i="4"/>
  <c r="BB53" i="4"/>
  <c r="AP53" i="4"/>
  <c r="AD53" i="4"/>
  <c r="R53" i="4"/>
  <c r="BT37" i="4"/>
  <c r="BS37" i="4"/>
  <c r="BR37" i="4"/>
  <c r="BU37" i="4"/>
  <c r="EB3" i="4" a="1"/>
  <c r="EG3" i="4" a="1"/>
  <c r="EE3" i="4" a="1"/>
  <c r="EH3" i="4" a="1"/>
  <c r="EC3" i="4" a="1"/>
  <c r="ED3" i="4" a="1"/>
  <c r="EM3" i="4" a="1"/>
  <c r="EF3" i="4" a="1"/>
  <c r="EJ3" i="4" a="1"/>
  <c r="EP3" i="4" a="1"/>
  <c r="EL3" i="4" a="1"/>
  <c r="EI3" i="4" a="1"/>
  <c r="EK3" i="4" a="1"/>
  <c r="EN3" i="4" a="1"/>
  <c r="U3" i="4" a="1"/>
  <c r="BG3" i="4" a="1"/>
  <c r="CS3" i="4" a="1"/>
  <c r="Z3" i="4" a="1"/>
  <c r="CL3" i="4" a="1"/>
  <c r="CM3" i="4" a="1"/>
  <c r="W3" i="4" a="1"/>
  <c r="AH3" i="4" a="1"/>
  <c r="CQ3" i="4" a="1"/>
  <c r="AD3" i="4" a="1"/>
  <c r="AX3" i="4" a="1"/>
  <c r="BC3" i="4" a="1"/>
  <c r="AA3" i="4" a="1"/>
  <c r="AQ3" i="4" a="1"/>
  <c r="DJ3" i="4" a="1"/>
  <c r="BH3" i="4" a="1"/>
  <c r="BI3" i="4" a="1"/>
  <c r="Q3" i="4" a="1"/>
  <c r="AB3" i="4" a="1"/>
  <c r="BX3" i="4" a="1"/>
  <c r="DN3" i="4" a="1"/>
  <c r="K3" i="4" a="1"/>
  <c r="I3" i="4" a="1"/>
  <c r="DL3" i="4" a="1"/>
  <c r="AK3" i="4" a="1"/>
  <c r="AN3" i="4" a="1"/>
  <c r="AL3" i="4" a="1"/>
  <c r="BF3" i="4" a="1"/>
  <c r="BA3" i="4" a="1"/>
  <c r="DV3" i="4" a="1"/>
  <c r="Y3" i="4" a="1"/>
  <c r="J3" i="4" a="1"/>
  <c r="DG3" i="4" a="1"/>
  <c r="DD3" i="4" a="1"/>
  <c r="BW3" i="4" a="1"/>
  <c r="DI3" i="4" a="1"/>
  <c r="DB3" i="4" a="1"/>
  <c r="BJ3" i="4" a="1"/>
  <c r="DP3" i="4" a="1"/>
  <c r="BY3" i="4" a="1"/>
  <c r="BE3" i="4" a="1"/>
  <c r="V3" i="4" a="1"/>
  <c r="CH3" i="4" a="1"/>
  <c r="CX3" i="4" a="1"/>
  <c r="O3" i="4" a="1"/>
  <c r="AU3" i="4" a="1"/>
  <c r="CC3" i="4" a="1"/>
  <c r="AM3" i="4" a="1"/>
  <c r="CJ3" i="4" a="1"/>
  <c r="BL3" i="4" a="1"/>
  <c r="AY3" i="4" a="1"/>
  <c r="DM3" i="4" a="1"/>
  <c r="CZ3" i="4" a="1"/>
  <c r="CI3" i="4" a="1"/>
  <c r="DF3" i="4" a="1"/>
  <c r="DE3" i="4" a="1"/>
  <c r="BN3" i="4" a="1"/>
  <c r="DQ3" i="4" a="1"/>
  <c r="AZ3" i="4" a="1"/>
  <c r="H3" i="4" a="1"/>
  <c r="CP3" i="4" a="1"/>
  <c r="CD3" i="4" a="1"/>
  <c r="AW3" i="4" a="1"/>
  <c r="CK3" i="4" a="1"/>
  <c r="T3" i="4" a="1"/>
  <c r="CV3" i="4" a="1"/>
  <c r="DW3" i="4" a="1"/>
  <c r="AT3" i="4" a="1"/>
  <c r="BM3" i="4" a="1"/>
  <c r="DH3" i="4" a="1"/>
  <c r="AJ3" i="4" a="1"/>
  <c r="M3" i="4" a="1"/>
  <c r="BD3" i="4" a="1"/>
  <c r="CT3" i="4" a="1"/>
  <c r="BK3" i="4" a="1"/>
  <c r="S3" i="4" a="1"/>
  <c r="CW3" i="4" a="1"/>
  <c r="DA3" i="4" a="1"/>
  <c r="AC3" i="4" a="1"/>
  <c r="DR3" i="4" a="1"/>
  <c r="AG3" i="4" a="1"/>
  <c r="AE3" i="4" a="1"/>
  <c r="DC3" i="4" a="1"/>
  <c r="AP3" i="4" a="1"/>
  <c r="CN3" i="4" a="1"/>
  <c r="CE3" i="4" a="1"/>
  <c r="CY3" i="4" a="1"/>
  <c r="R3" i="4" a="1"/>
  <c r="BV3" i="4" a="1"/>
  <c r="AV3" i="4" a="1"/>
  <c r="AR3" i="4" a="1"/>
  <c r="CF3" i="4" a="1"/>
  <c r="CG3" i="4" a="1"/>
  <c r="DT3" i="4" a="1"/>
  <c r="X3" i="4" a="1"/>
  <c r="DU3" i="4" a="1"/>
  <c r="DO3" i="4" a="1"/>
  <c r="CR3" i="4" a="1"/>
  <c r="BB3" i="4" a="1"/>
  <c r="DY3" i="4" a="1"/>
  <c r="AS3" i="4" a="1"/>
  <c r="BO3" i="4" a="1"/>
  <c r="N3" i="4" a="1"/>
  <c r="DX3" i="4" a="1"/>
  <c r="CU3" i="4" a="1"/>
  <c r="DS3" i="4" a="1"/>
  <c r="BZ3" i="4" a="1"/>
  <c r="L3" i="4" a="1"/>
  <c r="DK3" i="4" a="1"/>
  <c r="P3" i="4" a="1"/>
  <c r="AF3" i="4" a="1"/>
  <c r="CB3" i="4" a="1"/>
  <c r="AO3" i="4" a="1"/>
  <c r="CO3" i="4" a="1"/>
  <c r="CA3" i="4" a="1"/>
  <c r="AI3" i="4" a="1"/>
  <c r="U3" i="4" l="1"/>
  <c r="U4" i="4" s="1"/>
  <c r="H3" i="4"/>
  <c r="EF3" i="4"/>
  <c r="X3" i="4"/>
  <c r="DC3" i="4"/>
  <c r="DW3" i="4"/>
  <c r="AL3" i="4"/>
  <c r="AO3" i="4"/>
  <c r="AH3" i="4"/>
  <c r="BH3" i="4"/>
  <c r="AM3" i="4"/>
  <c r="BW3" i="4"/>
  <c r="BZ3" i="4"/>
  <c r="BB3" i="4"/>
  <c r="EE3" i="4"/>
  <c r="BF3" i="4"/>
  <c r="EH3" i="4"/>
  <c r="AK3" i="4"/>
  <c r="CZ3" i="4"/>
  <c r="BK3" i="4"/>
  <c r="BN3" i="4"/>
  <c r="CG3" i="4"/>
  <c r="CU3" i="4"/>
  <c r="BX3" i="4"/>
  <c r="J3" i="4"/>
  <c r="CX3" i="4"/>
  <c r="AW3" i="4"/>
  <c r="DL3" i="4"/>
  <c r="AZ3" i="4"/>
  <c r="CC3" i="4"/>
  <c r="AB3" i="4"/>
  <c r="EG3" i="4"/>
  <c r="S3" i="4"/>
  <c r="CH3" i="4"/>
  <c r="I3" i="4"/>
  <c r="CD3" i="4"/>
  <c r="O3" i="4"/>
  <c r="BE3" i="4"/>
  <c r="AP3" i="4"/>
  <c r="BC3" i="4"/>
  <c r="DR3" i="4"/>
  <c r="EI3" i="4"/>
  <c r="Y3" i="4"/>
  <c r="CN3" i="4"/>
  <c r="AY3" i="4"/>
  <c r="CF3" i="4"/>
  <c r="CS3" i="4"/>
  <c r="DG3" i="4"/>
  <c r="CJ3" i="4"/>
  <c r="W3" i="4"/>
  <c r="DJ3" i="4"/>
  <c r="BI3" i="4"/>
  <c r="AC3" i="4"/>
  <c r="DX3" i="4"/>
  <c r="DB3" i="4"/>
  <c r="CO3" i="4"/>
  <c r="CP3" i="4"/>
  <c r="EC3" i="4"/>
  <c r="BD3" i="4"/>
  <c r="K3" i="4"/>
  <c r="DN3" i="4"/>
  <c r="BV3" i="4"/>
  <c r="CK3" i="4"/>
  <c r="Q3" i="4"/>
  <c r="AG3" i="4"/>
  <c r="CW3" i="4"/>
  <c r="AJ3" i="4"/>
  <c r="EK3" i="4"/>
  <c r="AX3" i="4"/>
  <c r="L3" i="4"/>
  <c r="BM3" i="4"/>
  <c r="AT3" i="4"/>
  <c r="DO3" i="4"/>
  <c r="BO3" i="4"/>
  <c r="CL3" i="4"/>
  <c r="CR3" i="4"/>
  <c r="DE3" i="4"/>
  <c r="T3" i="4"/>
  <c r="DS3" i="4"/>
  <c r="CV3" i="4"/>
  <c r="AI3" i="4"/>
  <c r="CQ3" i="4"/>
  <c r="DV3" i="4"/>
  <c r="CA3" i="4"/>
  <c r="EL3" i="4"/>
  <c r="DA3" i="4"/>
  <c r="EN3" i="4"/>
  <c r="DK3" i="4"/>
  <c r="Z3" i="4"/>
  <c r="EP3" i="4"/>
  <c r="AD3" i="4"/>
  <c r="AQ3" i="4"/>
  <c r="DF3" i="4"/>
  <c r="DU3" i="4"/>
  <c r="CB3" i="4"/>
  <c r="CI3" i="4"/>
  <c r="DD3" i="4"/>
  <c r="DQ3" i="4"/>
  <c r="AF3" i="4"/>
  <c r="BA3" i="4"/>
  <c r="DH3" i="4"/>
  <c r="AU3" i="4"/>
  <c r="EJ3" i="4"/>
  <c r="CM3" i="4"/>
  <c r="DM3" i="4"/>
  <c r="AN3" i="4"/>
  <c r="BY3" i="4"/>
  <c r="EM3" i="4"/>
  <c r="DP3" i="4"/>
  <c r="ED3" i="4"/>
  <c r="AR3" i="4"/>
  <c r="EB3" i="4"/>
  <c r="DT3" i="4"/>
  <c r="BG3" i="4"/>
  <c r="CY3" i="4"/>
  <c r="N3" i="4"/>
  <c r="CE3" i="4"/>
  <c r="DY3" i="4"/>
  <c r="BL3" i="4"/>
  <c r="P3" i="4"/>
  <c r="R3" i="4"/>
  <c r="AE3" i="4"/>
  <c r="CT3" i="4"/>
  <c r="AS3" i="4"/>
  <c r="V3" i="4"/>
  <c r="DI3" i="4"/>
  <c r="AV3" i="4"/>
  <c r="M3" i="4"/>
  <c r="BJ3" i="4"/>
  <c r="AA3" i="4"/>
  <c r="BU112" i="4"/>
  <c r="BT112" i="4"/>
  <c r="BR112" i="4"/>
  <c r="BS112" i="4"/>
  <c r="BP112" i="4"/>
  <c r="BQ112" i="4"/>
  <c r="F112" i="4" l="1"/>
  <c r="BP2" i="4"/>
  <c r="BQ2" i="4"/>
  <c r="BR2" i="4"/>
  <c r="BS2" i="4"/>
  <c r="BT2" i="4"/>
  <c r="BU2" i="4"/>
  <c r="BQ54" i="4" l="1"/>
  <c r="BT72" i="4"/>
  <c r="BP85" i="4"/>
  <c r="BQ72" i="4"/>
  <c r="BU42" i="4"/>
  <c r="BS85" i="4"/>
  <c r="BS72" i="4"/>
  <c r="BQ85" i="4"/>
  <c r="BT54" i="4"/>
  <c r="BR57" i="4"/>
  <c r="BS57" i="4"/>
  <c r="BP72" i="4"/>
  <c r="BP57" i="4"/>
  <c r="BT57" i="4"/>
  <c r="BP54" i="4"/>
  <c r="BU57" i="4"/>
  <c r="BT25" i="4"/>
  <c r="BS21" i="4"/>
  <c r="BQ57" i="4"/>
  <c r="BR85" i="4"/>
  <c r="BR72" i="4"/>
  <c r="BU85" i="4"/>
  <c r="BQ21" i="4"/>
  <c r="BR42" i="4"/>
  <c r="BS54" i="4"/>
  <c r="BR25" i="4"/>
  <c r="BS25" i="4"/>
  <c r="BR21" i="4"/>
  <c r="BU21" i="4"/>
  <c r="BS42" i="4"/>
  <c r="BT42" i="4"/>
  <c r="BU25" i="4"/>
  <c r="BT21" i="4"/>
  <c r="BQ25" i="4"/>
  <c r="BQ42" i="4"/>
  <c r="BR54" i="4"/>
  <c r="BP42" i="4"/>
  <c r="BR53" i="4" a="1"/>
  <c r="BQ53" i="4" a="1"/>
  <c r="BS53" i="4" a="1"/>
  <c r="BU53" i="4" a="1"/>
  <c r="BR32" i="4" a="1"/>
  <c r="BQ32" i="4" a="1"/>
  <c r="BP32" i="4" a="1"/>
  <c r="BT53" i="4" a="1"/>
  <c r="BP53" i="4" a="1"/>
  <c r="BS32" i="4" a="1"/>
  <c r="BU32" i="4" a="1"/>
  <c r="BT32" i="4" a="1"/>
  <c r="BR6" i="4" a="1"/>
  <c r="BS6" i="4" a="1"/>
  <c r="BT6" i="4" a="1"/>
  <c r="BQ6" i="4" a="1"/>
  <c r="BU6" i="4" a="1"/>
  <c r="BR32" i="4" l="1"/>
  <c r="BQ32" i="4"/>
  <c r="BS32" i="4"/>
  <c r="BQ6" i="4"/>
  <c r="BU53" i="4"/>
  <c r="BU6" i="4"/>
  <c r="BR53" i="4"/>
  <c r="BQ53" i="4"/>
  <c r="BS53" i="4"/>
  <c r="BT32" i="4"/>
  <c r="BT6" i="4"/>
  <c r="BP53" i="4"/>
  <c r="BR6" i="4"/>
  <c r="BT53" i="4"/>
  <c r="BU32" i="4"/>
  <c r="BS6" i="4"/>
  <c r="BP32" i="4"/>
  <c r="F264" i="4"/>
  <c r="F263" i="4" s="1"/>
  <c r="F21" i="4"/>
  <c r="D5" i="3" s="1"/>
  <c r="F33" i="4"/>
  <c r="BT3" i="4" a="1"/>
  <c r="BR3" i="4" a="1"/>
  <c r="BS3" i="4" a="1"/>
  <c r="BU3" i="4" a="1"/>
  <c r="BP3" i="4" a="1"/>
  <c r="BQ3" i="4" a="1"/>
  <c r="BP3" i="4" l="1"/>
  <c r="BQ3" i="4"/>
  <c r="BT3" i="4"/>
  <c r="BS3" i="4"/>
  <c r="BR3" i="4"/>
  <c r="BU3" i="4"/>
  <c r="D3" i="3"/>
  <c r="D30" i="3"/>
  <c r="D31" i="3" s="1"/>
  <c r="AA2" i="4"/>
  <c r="Z2" i="4"/>
  <c r="C21" i="3"/>
  <c r="C22" i="3"/>
  <c r="C16" i="3"/>
  <c r="C17" i="3"/>
  <c r="C23" i="3"/>
  <c r="C19" i="3"/>
  <c r="C8" i="3"/>
  <c r="C9" i="3"/>
  <c r="C11" i="3"/>
  <c r="C12" i="3"/>
  <c r="C13" i="3"/>
  <c r="C14" i="3"/>
  <c r="C3" i="3"/>
  <c r="C4" i="3"/>
  <c r="C5" i="3"/>
  <c r="C6" i="3"/>
  <c r="D16" i="3"/>
  <c r="H2" i="4"/>
  <c r="G3" i="4" l="1"/>
  <c r="D8" i="6"/>
  <c r="H4" i="4"/>
  <c r="X2" i="4"/>
  <c r="Y2" i="4"/>
  <c r="W2" i="4" l="1"/>
  <c r="F42" i="4" l="1"/>
  <c r="DK2" i="4"/>
  <c r="DL2" i="4"/>
  <c r="DM2" i="4"/>
  <c r="DN2" i="4"/>
  <c r="DO2" i="4"/>
  <c r="DJ2" i="4"/>
  <c r="DE2" i="4"/>
  <c r="DF2" i="4"/>
  <c r="DG2" i="4"/>
  <c r="DH2" i="4"/>
  <c r="DI2" i="4"/>
  <c r="DD2" i="4"/>
  <c r="CY2" i="4"/>
  <c r="CZ2" i="4"/>
  <c r="DA2" i="4"/>
  <c r="DB2" i="4"/>
  <c r="DC2" i="4"/>
  <c r="CX2" i="4"/>
  <c r="CR2" i="4"/>
  <c r="CS2" i="4"/>
  <c r="CT2" i="4"/>
  <c r="CU2" i="4"/>
  <c r="CV2" i="4"/>
  <c r="CW2" i="4"/>
  <c r="CQ2" i="4"/>
  <c r="C4" i="6"/>
  <c r="C5" i="6"/>
  <c r="C6" i="6"/>
  <c r="C7" i="6"/>
  <c r="E2" i="6"/>
  <c r="D2" i="6"/>
  <c r="F133" i="4"/>
  <c r="CK2" i="4"/>
  <c r="CL2" i="4"/>
  <c r="CM2" i="4"/>
  <c r="CN2" i="4"/>
  <c r="CO2" i="4"/>
  <c r="CP2" i="4"/>
  <c r="CJ2" i="4"/>
  <c r="CD2" i="4"/>
  <c r="CE2" i="4"/>
  <c r="CF2" i="4"/>
  <c r="CG2" i="4"/>
  <c r="CH2" i="4"/>
  <c r="CI2" i="4"/>
  <c r="CC2" i="4"/>
  <c r="BO2" i="4"/>
  <c r="BW2" i="4"/>
  <c r="BX2" i="4"/>
  <c r="BY2" i="4"/>
  <c r="BZ2" i="4"/>
  <c r="CA2" i="4"/>
  <c r="CB2" i="4"/>
  <c r="BI2" i="4"/>
  <c r="BJ2" i="4"/>
  <c r="BK2" i="4"/>
  <c r="BL2" i="4"/>
  <c r="BM2" i="4"/>
  <c r="BN2" i="4"/>
  <c r="BH2" i="4"/>
  <c r="BB2" i="4"/>
  <c r="BC2" i="4"/>
  <c r="BD2" i="4"/>
  <c r="BE2" i="4"/>
  <c r="BF2" i="4"/>
  <c r="BG2" i="4"/>
  <c r="BA2" i="4"/>
  <c r="AU2" i="4"/>
  <c r="AV2" i="4"/>
  <c r="AW2" i="4"/>
  <c r="AX2" i="4"/>
  <c r="AY2" i="4"/>
  <c r="AZ2" i="4"/>
  <c r="AT2" i="4"/>
  <c r="AN2" i="4"/>
  <c r="AO2" i="4"/>
  <c r="AP2" i="4"/>
  <c r="AQ2" i="4"/>
  <c r="AR2" i="4"/>
  <c r="AS2" i="4"/>
  <c r="AM2" i="4"/>
  <c r="S2" i="4"/>
  <c r="T2" i="4"/>
  <c r="U2" i="4"/>
  <c r="V2" i="4"/>
  <c r="R2" i="4"/>
  <c r="AH2" i="4"/>
  <c r="AI2" i="4"/>
  <c r="AJ2" i="4"/>
  <c r="AK2" i="4"/>
  <c r="AL2" i="4"/>
  <c r="AG2" i="4"/>
  <c r="AC2" i="4"/>
  <c r="AD2" i="4"/>
  <c r="AE2" i="4"/>
  <c r="AF2" i="4"/>
  <c r="AB2" i="4"/>
  <c r="O2" i="4"/>
  <c r="P2" i="4"/>
  <c r="Q2" i="4"/>
  <c r="N2" i="4"/>
  <c r="I2" i="4"/>
  <c r="J2" i="4"/>
  <c r="K2" i="4"/>
  <c r="L2" i="4"/>
  <c r="M2" i="4"/>
  <c r="DQ2" i="4"/>
  <c r="DR2" i="4"/>
  <c r="DS2" i="4"/>
  <c r="DT2" i="4"/>
  <c r="DP2" i="4"/>
  <c r="G266" i="4" l="1"/>
  <c r="G274" i="4"/>
  <c r="G261" i="4"/>
  <c r="G265" i="4"/>
  <c r="G267" i="4"/>
  <c r="G275" i="4"/>
  <c r="G208" i="4"/>
  <c r="G268" i="4"/>
  <c r="G276" i="4"/>
  <c r="G221" i="4"/>
  <c r="G246" i="4"/>
  <c r="G269" i="4"/>
  <c r="G258" i="4"/>
  <c r="G196" i="4"/>
  <c r="G270" i="4"/>
  <c r="G257" i="4"/>
  <c r="G205" i="4"/>
  <c r="G199" i="4"/>
  <c r="G271" i="4"/>
  <c r="G260" i="4"/>
  <c r="G256" i="4"/>
  <c r="G272" i="4"/>
  <c r="G259" i="4"/>
  <c r="G203" i="4"/>
  <c r="G233" i="4"/>
  <c r="G273" i="4"/>
  <c r="G262" i="4"/>
  <c r="G69" i="4"/>
  <c r="G70" i="4"/>
  <c r="G77" i="4"/>
  <c r="G116" i="4"/>
  <c r="G28" i="4"/>
  <c r="G65" i="4"/>
  <c r="G44" i="4"/>
  <c r="G121" i="4"/>
  <c r="G87" i="4"/>
  <c r="G79" i="4"/>
  <c r="G243" i="4"/>
  <c r="G47" i="4"/>
  <c r="G48" i="4"/>
  <c r="G61" i="4"/>
  <c r="G18" i="4"/>
  <c r="G29" i="4"/>
  <c r="G41" i="4"/>
  <c r="G99" i="4"/>
  <c r="G177" i="4"/>
  <c r="G130" i="4"/>
  <c r="G222" i="4"/>
  <c r="G10" i="4"/>
  <c r="G35" i="4"/>
  <c r="G71" i="4"/>
  <c r="G238" i="4"/>
  <c r="G247" i="4"/>
  <c r="G19" i="4"/>
  <c r="G30" i="4"/>
  <c r="G83" i="4"/>
  <c r="G109" i="4"/>
  <c r="G16" i="4"/>
  <c r="G211" i="4"/>
  <c r="G234" i="4"/>
  <c r="G11" i="4"/>
  <c r="G49" i="4"/>
  <c r="G227" i="4"/>
  <c r="G239" i="4"/>
  <c r="G248" i="4"/>
  <c r="G20" i="4"/>
  <c r="G67" i="4"/>
  <c r="G193" i="4"/>
  <c r="G58" i="4"/>
  <c r="G73" i="4"/>
  <c r="G223" i="4"/>
  <c r="G235" i="4"/>
  <c r="G36" i="4"/>
  <c r="G134" i="4"/>
  <c r="G228" i="4"/>
  <c r="G240" i="4"/>
  <c r="G249" i="4"/>
  <c r="G105" i="4"/>
  <c r="G39" i="4"/>
  <c r="G204" i="4"/>
  <c r="G38" i="4"/>
  <c r="G212" i="4"/>
  <c r="G224" i="4"/>
  <c r="G22" i="4"/>
  <c r="G217" i="4"/>
  <c r="G229" i="4"/>
  <c r="G241" i="4"/>
  <c r="G13" i="4"/>
  <c r="G142" i="4"/>
  <c r="G91" i="4"/>
  <c r="G24" i="4"/>
  <c r="G126" i="4"/>
  <c r="G213" i="4"/>
  <c r="G12" i="4"/>
  <c r="G197" i="4"/>
  <c r="G209" i="4"/>
  <c r="G172" i="4"/>
  <c r="G17" i="4"/>
  <c r="G210" i="4"/>
  <c r="G138" i="4"/>
  <c r="G236" i="4"/>
  <c r="G55" i="4"/>
  <c r="G163" i="4"/>
  <c r="G84" i="4"/>
  <c r="G200" i="4"/>
  <c r="G23" i="4"/>
  <c r="G168" i="4"/>
  <c r="G191" i="4"/>
  <c r="G8" i="4"/>
  <c r="G92" i="4"/>
  <c r="G185" i="4"/>
  <c r="G214" i="4"/>
  <c r="G190" i="4"/>
  <c r="G86" i="4"/>
  <c r="G117" i="4"/>
  <c r="G194" i="4"/>
  <c r="G164" i="4"/>
  <c r="G202" i="4"/>
  <c r="G137" i="4"/>
  <c r="G156" i="4"/>
  <c r="G169" i="4"/>
  <c r="G180" i="4"/>
  <c r="G40" i="4"/>
  <c r="G188" i="4"/>
  <c r="G183" i="4"/>
  <c r="G45" i="4"/>
  <c r="G173" i="4"/>
  <c r="G174" i="4"/>
  <c r="G186" i="4"/>
  <c r="G114" i="4"/>
  <c r="G143" i="4"/>
  <c r="G179" i="4"/>
  <c r="G158" i="4"/>
  <c r="G15" i="4"/>
  <c r="G135" i="4"/>
  <c r="G62" i="4"/>
  <c r="G147" i="4"/>
  <c r="G151" i="4"/>
  <c r="G152" i="4"/>
  <c r="G165" i="4"/>
  <c r="G59" i="4"/>
  <c r="G118" i="4"/>
  <c r="G157" i="4"/>
  <c r="G145" i="4"/>
  <c r="G245" i="4"/>
  <c r="G50" i="4"/>
  <c r="G9" i="4"/>
  <c r="G27" i="4"/>
  <c r="G161" i="4"/>
  <c r="G139" i="4"/>
  <c r="G175" i="4"/>
  <c r="G34" i="4"/>
  <c r="G110" i="4"/>
  <c r="G144" i="4"/>
  <c r="G128" i="4"/>
  <c r="G198" i="4"/>
  <c r="G26" i="4"/>
  <c r="G104" i="4"/>
  <c r="G215" i="4"/>
  <c r="G148" i="4"/>
  <c r="G149" i="4"/>
  <c r="G153" i="4"/>
  <c r="G106" i="4"/>
  <c r="G127" i="4"/>
  <c r="G120" i="4"/>
  <c r="G182" i="4"/>
  <c r="G78" i="4"/>
  <c r="G46" i="4"/>
  <c r="G131" i="4"/>
  <c r="G124" i="4"/>
  <c r="G140" i="4"/>
  <c r="G187" i="4"/>
  <c r="G93" i="4"/>
  <c r="G119" i="4"/>
  <c r="G98" i="4"/>
  <c r="G192" i="4"/>
  <c r="G242" i="4"/>
  <c r="G237" i="4"/>
  <c r="G123" i="4"/>
  <c r="G102" i="4"/>
  <c r="G115" i="4"/>
  <c r="G166" i="4"/>
  <c r="G80" i="4"/>
  <c r="G111" i="4"/>
  <c r="G108" i="4"/>
  <c r="G171" i="4"/>
  <c r="G155" i="4"/>
  <c r="G101" i="4"/>
  <c r="G89" i="4"/>
  <c r="G113" i="4"/>
  <c r="G176" i="4"/>
  <c r="G64" i="4"/>
  <c r="G107" i="4"/>
  <c r="G95" i="4"/>
  <c r="G159" i="4"/>
  <c r="G68" i="4"/>
  <c r="G74" i="4"/>
  <c r="G88" i="4"/>
  <c r="G76" i="4"/>
  <c r="G103" i="4"/>
  <c r="G154" i="4"/>
  <c r="G56" i="4"/>
  <c r="G94" i="4"/>
  <c r="G82" i="4"/>
  <c r="G146" i="4"/>
  <c r="G51" i="4"/>
  <c r="G63" i="4"/>
  <c r="G75" i="4"/>
  <c r="G60" i="4"/>
  <c r="G90" i="4"/>
  <c r="G141" i="4"/>
  <c r="G52" i="4"/>
  <c r="G81" i="4"/>
  <c r="G66" i="4"/>
  <c r="G129" i="4"/>
  <c r="G226" i="4"/>
  <c r="G160" i="4"/>
  <c r="G189" i="4"/>
  <c r="G181" i="4"/>
  <c r="G122" i="4"/>
  <c r="G150" i="4"/>
  <c r="G201" i="4"/>
  <c r="G225" i="4"/>
  <c r="G43" i="4"/>
  <c r="G97" i="4"/>
  <c r="G100" i="4"/>
  <c r="G184" i="4"/>
  <c r="G216" i="4"/>
  <c r="G178" i="4"/>
  <c r="G170" i="4"/>
  <c r="G31" i="4"/>
  <c r="G167" i="4"/>
  <c r="G252" i="4"/>
  <c r="E16" i="3"/>
  <c r="G254" i="4"/>
  <c r="G230" i="4"/>
  <c r="G220" i="4"/>
  <c r="G251" i="4"/>
  <c r="G253" i="4"/>
  <c r="G250" i="4"/>
  <c r="F195" i="4"/>
  <c r="F207" i="4"/>
  <c r="D24" i="3" s="1"/>
  <c r="F125" i="4"/>
  <c r="F255" i="4"/>
  <c r="F136" i="4"/>
  <c r="D20" i="3" s="1"/>
  <c r="D9" i="3"/>
  <c r="F37" i="4"/>
  <c r="D4" i="3"/>
  <c r="F25" i="4"/>
  <c r="F85" i="4"/>
  <c r="F54" i="4"/>
  <c r="D11" i="3" s="1"/>
  <c r="F72" i="4"/>
  <c r="D13" i="3" s="1"/>
  <c r="F57" i="4"/>
  <c r="D12" i="3" s="1"/>
  <c r="F32" i="4" a="1"/>
  <c r="F6" i="4" a="1"/>
  <c r="G7" i="4" l="1"/>
  <c r="G219" i="4"/>
  <c r="G244" i="4"/>
  <c r="E25" i="3"/>
  <c r="G231" i="4"/>
  <c r="F32" i="4"/>
  <c r="F6" i="4"/>
  <c r="G264" i="4"/>
  <c r="G263" i="4" s="1"/>
  <c r="D6" i="3"/>
  <c r="D7" i="3" s="1"/>
  <c r="G195" i="4"/>
  <c r="G112" i="4"/>
  <c r="G125" i="4"/>
  <c r="G207" i="4"/>
  <c r="E24" i="3" s="1"/>
  <c r="G14" i="4"/>
  <c r="G255" i="4"/>
  <c r="G133" i="4"/>
  <c r="G136" i="4"/>
  <c r="E20" i="3" s="1"/>
  <c r="D19" i="3"/>
  <c r="D14" i="3"/>
  <c r="G21" i="4"/>
  <c r="E5" i="3" s="1"/>
  <c r="G33" i="4"/>
  <c r="G42" i="4"/>
  <c r="G25" i="4"/>
  <c r="G85" i="4"/>
  <c r="G54" i="4"/>
  <c r="E11" i="3" s="1"/>
  <c r="G57" i="4"/>
  <c r="E12" i="3" s="1"/>
  <c r="G72" i="4"/>
  <c r="E13" i="3" s="1"/>
  <c r="G218" i="4" a="1"/>
  <c r="G6" i="4" a="1"/>
  <c r="G218" i="4" l="1"/>
  <c r="E27" i="3"/>
  <c r="E26" i="3"/>
  <c r="G6" i="4"/>
  <c r="E3" i="3"/>
  <c r="E4" i="3"/>
  <c r="E30" i="3"/>
  <c r="E31" i="3" s="1"/>
  <c r="E9" i="3"/>
  <c r="E14" i="3"/>
  <c r="G37" i="4"/>
  <c r="E6" i="3"/>
  <c r="E19" i="3"/>
  <c r="G206" i="4" a="1"/>
  <c r="G32" i="4" a="1"/>
  <c r="G206" i="4" l="1"/>
  <c r="G32" i="4"/>
  <c r="F162" i="4"/>
  <c r="G162" i="4"/>
  <c r="G132" i="4" a="1"/>
  <c r="F132" i="4" a="1"/>
  <c r="F132" i="4" l="1"/>
  <c r="G132" i="4"/>
  <c r="D17" i="3"/>
  <c r="E17" i="3"/>
  <c r="F96" i="4"/>
  <c r="G96" i="4"/>
  <c r="G53" i="4" a="1"/>
  <c r="F53" i="4" a="1"/>
  <c r="F53" i="4" l="1"/>
  <c r="G53" i="4"/>
  <c r="E15" i="3"/>
  <c r="E18" i="3" s="1"/>
  <c r="D15" i="3"/>
  <c r="D18" i="3" s="1"/>
  <c r="H13" i="3"/>
  <c r="I20" i="3"/>
  <c r="H9" i="3"/>
  <c r="H4" i="3"/>
  <c r="H14" i="3"/>
  <c r="H6" i="3"/>
  <c r="H23" i="3"/>
  <c r="H11" i="3"/>
  <c r="H17" i="3"/>
  <c r="H12" i="3"/>
  <c r="H16" i="3" l="1"/>
  <c r="H20" i="3"/>
  <c r="H5" i="3" l="1"/>
  <c r="I15" i="3" l="1"/>
  <c r="H8" i="3" l="1"/>
  <c r="H15" i="3" l="1"/>
  <c r="I8" i="6" l="1"/>
  <c r="D8" i="3" l="1"/>
  <c r="D10" i="3" s="1"/>
  <c r="E8" i="3" l="1"/>
  <c r="E10" i="3" s="1"/>
  <c r="H3" i="3" l="1"/>
  <c r="I10" i="3" l="1"/>
  <c r="H10" i="3"/>
  <c r="E21" i="3" l="1"/>
  <c r="H21" i="3" l="1"/>
  <c r="H29" i="3"/>
  <c r="I29" i="3" l="1"/>
  <c r="H22" i="3"/>
  <c r="D5" i="6"/>
  <c r="I5" i="6"/>
  <c r="H5" i="6"/>
  <c r="I6" i="6"/>
  <c r="H3" i="6"/>
  <c r="G3" i="6"/>
  <c r="I3" i="6"/>
  <c r="I7" i="6"/>
  <c r="G5" i="6"/>
  <c r="G10" i="6"/>
  <c r="H9" i="6"/>
  <c r="I9" i="6"/>
  <c r="I4" i="6"/>
  <c r="G4" i="6"/>
  <c r="H4" i="6"/>
  <c r="D22" i="3" l="1"/>
  <c r="D28" i="3"/>
  <c r="D29" i="3" s="1"/>
  <c r="E28" i="3"/>
  <c r="E29" i="3" s="1"/>
  <c r="E22" i="3" l="1"/>
  <c r="E23" i="3" s="1"/>
  <c r="AA4" i="4" l="1"/>
  <c r="CH4" i="4" l="1"/>
  <c r="N4" i="4" l="1"/>
  <c r="CL4" i="4" l="1"/>
  <c r="DE4" i="4" l="1"/>
  <c r="BP4" i="4" l="1"/>
  <c r="CQ4" i="4" l="1"/>
  <c r="AS4" i="4" l="1"/>
  <c r="DH4" i="4" l="1"/>
  <c r="AY4" i="4" l="1"/>
  <c r="DL4" i="4" l="1"/>
  <c r="EL4" i="4" l="1"/>
  <c r="BF4" i="4" l="1"/>
  <c r="CU4" i="4" l="1"/>
  <c r="DY4" i="4" l="1"/>
  <c r="S4" i="4" l="1"/>
  <c r="CC4" i="4" l="1"/>
  <c r="AO4" i="4" l="1"/>
  <c r="BU4" i="4" l="1"/>
  <c r="Y4" i="4" l="1"/>
  <c r="DD4" i="4" l="1"/>
  <c r="BT4" i="4" l="1"/>
  <c r="Z4" i="4" l="1"/>
  <c r="CM4" i="4" l="1"/>
  <c r="CO4" i="4" l="1"/>
  <c r="AB4" i="4" l="1"/>
  <c r="AX4" i="4" l="1"/>
  <c r="CF4" i="4" l="1"/>
  <c r="AC4" i="4" l="1"/>
  <c r="CT4" i="4" l="1"/>
  <c r="AW4" i="4" l="1"/>
  <c r="BB4" i="4" l="1"/>
  <c r="DJ4" i="4" l="1"/>
  <c r="X4" i="4" l="1"/>
  <c r="BW4" i="4" l="1"/>
  <c r="DX4" i="4" l="1"/>
  <c r="P4" i="4" l="1"/>
  <c r="AF4" i="4" l="1"/>
  <c r="EM4" i="4" l="1"/>
  <c r="DA4" i="4" l="1"/>
  <c r="DP4" i="4" l="1"/>
  <c r="BH4" i="4" l="1"/>
  <c r="AJ4" i="4" l="1"/>
  <c r="DB4" i="4" l="1"/>
  <c r="AT4" i="4" l="1"/>
  <c r="CJ4" i="4" l="1"/>
  <c r="EH4" i="4" l="1"/>
  <c r="BI4" i="4" l="1"/>
  <c r="CY4" i="4" l="1"/>
  <c r="BD4" i="4" l="1"/>
  <c r="DF4" i="4" l="1"/>
  <c r="BE4" i="4" l="1"/>
  <c r="CD4" i="4" l="1"/>
  <c r="AR4" i="4" l="1"/>
  <c r="EO4" i="4" l="1"/>
  <c r="EN4" i="4"/>
  <c r="AK4" i="4" l="1"/>
  <c r="EI4" i="4" l="1"/>
  <c r="BN4" i="4" l="1"/>
  <c r="CK4" i="4" l="1"/>
  <c r="BY4" i="4" l="1"/>
  <c r="CA4" i="4" l="1"/>
  <c r="CI4" i="4" l="1"/>
  <c r="BM4" i="4" l="1"/>
  <c r="BO4" i="4" l="1"/>
  <c r="M4" i="4" l="1"/>
  <c r="CW4" i="4" l="1"/>
  <c r="BL4" i="4" l="1"/>
  <c r="DO4" i="4" l="1"/>
  <c r="DS4" i="4" l="1"/>
  <c r="I4" i="4" l="1"/>
  <c r="DV4" i="4" l="1"/>
  <c r="DC4" i="4" l="1"/>
  <c r="BG4" i="4" l="1"/>
  <c r="DT4" i="4" l="1"/>
  <c r="BQ4" i="4" l="1"/>
  <c r="BS4" i="4" l="1"/>
  <c r="DQ4" i="4" l="1"/>
  <c r="AM4" i="4" l="1"/>
  <c r="O4" i="4" l="1"/>
  <c r="AL4" i="4" l="1"/>
  <c r="BA4" i="4" l="1"/>
  <c r="CN4" i="4" l="1"/>
  <c r="DM4" i="4" l="1"/>
  <c r="CV4" i="4" l="1"/>
  <c r="AE4" i="4" l="1"/>
  <c r="AQ4" i="4" l="1"/>
  <c r="V4" i="4" l="1"/>
  <c r="CP4" i="4" l="1"/>
  <c r="CB4" i="4" l="1"/>
  <c r="W4" i="4" l="1"/>
  <c r="AV4" i="4" l="1"/>
  <c r="Q4" i="4" l="1"/>
  <c r="BR4" i="4" l="1"/>
  <c r="L4" i="4" l="1"/>
  <c r="BZ4" i="4" l="1"/>
  <c r="CR4" i="4" l="1"/>
  <c r="R4" i="4" l="1"/>
  <c r="BV4" i="4" l="1"/>
  <c r="DR4" i="4" l="1"/>
  <c r="BK4" i="4" l="1"/>
  <c r="DK4" i="4" l="1"/>
  <c r="AU4" i="4" l="1"/>
  <c r="DN4" i="4" l="1"/>
  <c r="CG4" i="4" l="1"/>
  <c r="AP4" i="4" l="1"/>
  <c r="EJ4" i="4" l="1"/>
  <c r="AZ4" i="4" l="1"/>
  <c r="CZ4" i="4" l="1"/>
  <c r="DG4" i="4" l="1"/>
  <c r="DU4" i="4" l="1"/>
  <c r="K4" i="4" l="1"/>
  <c r="DW4" i="4" l="1"/>
  <c r="EP4" i="4"/>
  <c r="J4" i="4" l="1"/>
  <c r="BX4" i="4" l="1"/>
  <c r="DI4" i="4" l="1"/>
  <c r="E35" i="3" s="1"/>
  <c r="AN4" i="4" l="1"/>
  <c r="AG4" i="4" l="1"/>
  <c r="AI4" i="4" l="1"/>
  <c r="AH4" i="4" l="1"/>
  <c r="EK4" i="4" l="1"/>
  <c r="E34" i="3" s="1"/>
  <c r="CX4" i="4" l="1"/>
  <c r="BC4" i="4" l="1"/>
  <c r="CS4" i="4" l="1"/>
  <c r="BJ4" i="4" l="1"/>
  <c r="AD4" i="4" l="1"/>
  <c r="E36" i="3"/>
  <c r="E7" i="3" s="1"/>
  <c r="E3" i="6" s="1"/>
  <c r="E37" i="3" l="1"/>
  <c r="E11" i="6" s="1"/>
  <c r="D4" i="6"/>
  <c r="CE4" i="4" l="1"/>
  <c r="T4" i="4" l="1"/>
  <c r="G4" i="4" s="1"/>
  <c r="E6" i="6" l="1"/>
  <c r="D3" i="6" l="1"/>
  <c r="D21" i="3" l="1"/>
  <c r="D23" i="3" s="1"/>
  <c r="F206" i="4" a="1"/>
  <c r="F206" i="4" l="1"/>
  <c r="D6" i="6"/>
  <c r="D32" i="3" a="1"/>
  <c r="D32" i="3" l="1"/>
  <c r="G29" i="3" s="1"/>
  <c r="D7" i="6"/>
  <c r="D9" i="6" s="1"/>
  <c r="G18" i="3" l="1"/>
  <c r="G12" i="3"/>
  <c r="G15" i="3"/>
  <c r="G17" i="3"/>
  <c r="G24" i="3"/>
  <c r="G4" i="3"/>
  <c r="G22" i="3"/>
  <c r="G14" i="3"/>
  <c r="G8" i="3"/>
  <c r="G3" i="3"/>
  <c r="G9" i="3"/>
  <c r="G16" i="3"/>
  <c r="G30" i="3"/>
  <c r="G11" i="3"/>
  <c r="G7" i="3"/>
  <c r="G5" i="3"/>
  <c r="G20" i="3"/>
  <c r="G28" i="3"/>
  <c r="G6" i="3"/>
  <c r="G10" i="3"/>
  <c r="G19" i="3"/>
  <c r="G13" i="3"/>
  <c r="G31" i="3"/>
  <c r="G21" i="3"/>
  <c r="G23" i="3"/>
  <c r="E9" i="6"/>
  <c r="E13" i="6" s="1"/>
  <c r="E32" i="3" a="1"/>
  <c r="E32" i="3" l="1"/>
  <c r="G32" i="3" s="1"/>
  <c r="I32" i="3" l="1"/>
  <c r="E3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<sst xmlns="http://schemas.openxmlformats.org/spreadsheetml/2006/main" count="1402" uniqueCount="970">
  <si>
    <t>EST COA</t>
  </si>
  <si>
    <t>DESCRIPTION</t>
  </si>
  <si>
    <t>LEVELS</t>
  </si>
  <si>
    <t>PEP</t>
  </si>
  <si>
    <t>PROJECT ADMIN</t>
  </si>
  <si>
    <t>Project Meetings &amp; Minutes</t>
  </si>
  <si>
    <t>Cost Track &amp; Reports</t>
  </si>
  <si>
    <t>Project Man-Hour Track &amp; Reporting</t>
  </si>
  <si>
    <t>Basis Of Estimate</t>
  </si>
  <si>
    <t>Schedule Updating &amp; Reports</t>
  </si>
  <si>
    <t>Master Project Schedule</t>
  </si>
  <si>
    <t>Engineering Deliverables List</t>
  </si>
  <si>
    <t>Specifications Index</t>
  </si>
  <si>
    <t>Plot Plan Strategy</t>
  </si>
  <si>
    <t>Approval Of All Discipline Drawings</t>
  </si>
  <si>
    <t>Mechanical Suppliers' Drawings</t>
  </si>
  <si>
    <t>Electrical Suppliers' Drawings</t>
  </si>
  <si>
    <t>PROJECT DOCUMENT CONTROL</t>
  </si>
  <si>
    <t>Client Documents Filing</t>
  </si>
  <si>
    <t>Transmittals</t>
  </si>
  <si>
    <t>Suppliers Drawing Review</t>
  </si>
  <si>
    <t>Project Filing</t>
  </si>
  <si>
    <t>PROJECT REGULATORY</t>
  </si>
  <si>
    <t>Regulatory Applications</t>
  </si>
  <si>
    <t>Permit Requirements</t>
  </si>
  <si>
    <t>Line List</t>
  </si>
  <si>
    <t>Data Sheets Equipment</t>
  </si>
  <si>
    <t>Data Sheets Instruments</t>
  </si>
  <si>
    <t>Heat And Material Balance</t>
  </si>
  <si>
    <t>Specialty Item List</t>
  </si>
  <si>
    <t>ELECTRICAL ENGINEERING</t>
  </si>
  <si>
    <t>Electrical Specifications</t>
  </si>
  <si>
    <t>Electrical Equipment List</t>
  </si>
  <si>
    <t>Electrical Load List</t>
  </si>
  <si>
    <t>Electrical Calculations</t>
  </si>
  <si>
    <t>Tray And Raceway Calculations</t>
  </si>
  <si>
    <t>Electrical Data Sheets</t>
  </si>
  <si>
    <t>Instrument Index</t>
  </si>
  <si>
    <t>PSV List</t>
  </si>
  <si>
    <t>Control Valve List</t>
  </si>
  <si>
    <t>Design Calculations / Documents</t>
  </si>
  <si>
    <t>Instrument Drawings</t>
  </si>
  <si>
    <t>Supplier Drawings Review</t>
  </si>
  <si>
    <t>Controls Block Diagram</t>
  </si>
  <si>
    <t>List / Indexes</t>
  </si>
  <si>
    <t>Control Philosophy</t>
  </si>
  <si>
    <t>CSA ENGINEERING</t>
  </si>
  <si>
    <t>Building Lists</t>
  </si>
  <si>
    <t>Earthwork Design</t>
  </si>
  <si>
    <t>Piling / Foundation Design</t>
  </si>
  <si>
    <t>Structural Design</t>
  </si>
  <si>
    <t>PLC Software</t>
  </si>
  <si>
    <t>HMI Software</t>
  </si>
  <si>
    <t>Server Software</t>
  </si>
  <si>
    <t>System Optimization</t>
  </si>
  <si>
    <t>Process Schematics</t>
  </si>
  <si>
    <t>BFD</t>
  </si>
  <si>
    <t>PFD</t>
  </si>
  <si>
    <t>UFD</t>
  </si>
  <si>
    <t>P&amp;ID'S</t>
  </si>
  <si>
    <t>Piping Plan</t>
  </si>
  <si>
    <t>Piping Drawing Index</t>
  </si>
  <si>
    <t>Piping Key Plan</t>
  </si>
  <si>
    <t>Piping Specifications</t>
  </si>
  <si>
    <t>Plot Plan</t>
  </si>
  <si>
    <t>Equipment Layout</t>
  </si>
  <si>
    <t>Piping 3D Model</t>
  </si>
  <si>
    <t>Piping Isometric Drawings</t>
  </si>
  <si>
    <t>Tie-In List</t>
  </si>
  <si>
    <t>Typical Installation Details</t>
  </si>
  <si>
    <t>Area Classification Drawings</t>
  </si>
  <si>
    <t>Grounding Details</t>
  </si>
  <si>
    <t>Standards, Notes &amp; Details</t>
  </si>
  <si>
    <t>Single Line Diagrams (SLD)</t>
  </si>
  <si>
    <t>Electrical Schematics</t>
  </si>
  <si>
    <t>Electrical Equipment Layout</t>
  </si>
  <si>
    <t>Electrical Building Layout</t>
  </si>
  <si>
    <t>Tray , Grounding, Power Layout</t>
  </si>
  <si>
    <t>MCC Layout</t>
  </si>
  <si>
    <t>Raceway And Cable Tray Layout</t>
  </si>
  <si>
    <t>Electrical Heat Trace</t>
  </si>
  <si>
    <t>Supplier Design Details</t>
  </si>
  <si>
    <t>Installation Details</t>
  </si>
  <si>
    <t>Instrumentation Drawings</t>
  </si>
  <si>
    <t>Systems Architecture Schematics</t>
  </si>
  <si>
    <t>CSA DRAFTING</t>
  </si>
  <si>
    <t>Lists - Indexes - Keys</t>
  </si>
  <si>
    <t>Earthwork - Grading Design - Maps</t>
  </si>
  <si>
    <t>Structural 3D Model</t>
  </si>
  <si>
    <t>Structural Drawings</t>
  </si>
  <si>
    <t>Standard And Typical Details</t>
  </si>
  <si>
    <t xml:space="preserve">Overall Block Diagram </t>
  </si>
  <si>
    <t>Network Topology Drawings</t>
  </si>
  <si>
    <t>System Architecture Layout</t>
  </si>
  <si>
    <t>System Communication Layout</t>
  </si>
  <si>
    <t>Instrument Loop Drawings</t>
  </si>
  <si>
    <t>I/O List</t>
  </si>
  <si>
    <t>Architecture Details</t>
  </si>
  <si>
    <t>Q'ty</t>
  </si>
  <si>
    <t>Units</t>
  </si>
  <si>
    <t>hr</t>
  </si>
  <si>
    <t>SOW Verification Check</t>
  </si>
  <si>
    <t>Sizing - Equipment</t>
  </si>
  <si>
    <t>Sizing - Line Sizing /Hydraulic</t>
  </si>
  <si>
    <t>Overpressure Risk Assessment (ORA)</t>
  </si>
  <si>
    <t>PSV Sizing Calculation</t>
  </si>
  <si>
    <t>Process Operation Manuals</t>
  </si>
  <si>
    <t>Suppliers Datasheets Review</t>
  </si>
  <si>
    <t>Mechanical Calculations</t>
  </si>
  <si>
    <t>Mechanical  Specifications</t>
  </si>
  <si>
    <t>HVAC System Design</t>
  </si>
  <si>
    <t>Piping Calculations</t>
  </si>
  <si>
    <t>Client Mechanical Specifications</t>
  </si>
  <si>
    <t>Mechanical Equipment List</t>
  </si>
  <si>
    <t>Stress FEA Analysis</t>
  </si>
  <si>
    <t>Drafting/Design Standards</t>
  </si>
  <si>
    <t>3D Model -  30%</t>
  </si>
  <si>
    <t>3D Model -  60%</t>
  </si>
  <si>
    <t>3D Model -  90%</t>
  </si>
  <si>
    <t>3D Model -  100%</t>
  </si>
  <si>
    <t>Heat Tracing Layouts</t>
  </si>
  <si>
    <t>Valve Material Take-Off(MTO)</t>
  </si>
  <si>
    <t>Project Closeout</t>
  </si>
  <si>
    <t>DBM</t>
  </si>
  <si>
    <t>Project Initiated (PIF)</t>
  </si>
  <si>
    <t>Site Visit Report</t>
  </si>
  <si>
    <t>% CEP Eng</t>
  </si>
  <si>
    <t>Air Fares</t>
  </si>
  <si>
    <t>Auto Rental</t>
  </si>
  <si>
    <t>Auto Mileage</t>
  </si>
  <si>
    <t>Meals</t>
  </si>
  <si>
    <t>Misc. Travel Expenses</t>
  </si>
  <si>
    <t>Courier</t>
  </si>
  <si>
    <t>Each</t>
  </si>
  <si>
    <t>Compliance And QA</t>
  </si>
  <si>
    <t>$</t>
  </si>
  <si>
    <t>Blended Rate</t>
  </si>
  <si>
    <t>% of TEC</t>
  </si>
  <si>
    <t>Accommodations</t>
  </si>
  <si>
    <t>Cable, Bus, Duct sizing</t>
  </si>
  <si>
    <t>Vendor's Design Details</t>
  </si>
  <si>
    <t>% SUB/Task  Total</t>
  </si>
  <si>
    <t>SUB/Total</t>
  </si>
  <si>
    <t>DRAFTING GENERAL</t>
  </si>
  <si>
    <t>COST PER RESOURCE</t>
  </si>
  <si>
    <t>Piping Demolition Drawings</t>
  </si>
  <si>
    <t>CSA Demolition Drawings</t>
  </si>
  <si>
    <t>Level Subcode</t>
  </si>
  <si>
    <t>Discipline</t>
  </si>
  <si>
    <t>NA</t>
  </si>
  <si>
    <t>30-3030</t>
  </si>
  <si>
    <t>30-3050</t>
  </si>
  <si>
    <t>CATCH SERVICES</t>
  </si>
  <si>
    <t>60</t>
  </si>
  <si>
    <t>Canadian Dollard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</si>
  <si>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</si>
  <si>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</si>
  <si>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</si>
  <si>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</si>
  <si>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</si>
  <si>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</si>
  <si>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</si>
  <si>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</si>
  <si>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Trainee (TRN)</t>
  </si>
  <si>
    <t>Junior (JR)</t>
  </si>
  <si>
    <t>Intermediate (INT)</t>
  </si>
  <si>
    <t>Senior (SR)</t>
  </si>
  <si>
    <t>Lead (LD)</t>
  </si>
  <si>
    <t>Specialist (SP)</t>
  </si>
  <si>
    <t>Subject Mater Expert (SME)</t>
  </si>
  <si>
    <t>Insurance Specialist</t>
  </si>
  <si>
    <t>Admin (AD)</t>
  </si>
  <si>
    <t>Document Control (DC)</t>
  </si>
  <si>
    <t>Project Controls (PC)</t>
  </si>
  <si>
    <t>Engineering (ENG)</t>
  </si>
  <si>
    <t>Technologist (TECH)</t>
  </si>
  <si>
    <t>Drafting (DRF)</t>
  </si>
  <si>
    <t>Supply Chain (SCM)</t>
  </si>
  <si>
    <t>Project Coordinator (PCO)</t>
  </si>
  <si>
    <t>Project Engineering (PE)</t>
  </si>
  <si>
    <t>Field Engineer (FE)</t>
  </si>
  <si>
    <t>Home Office Construction Management (HOCM)</t>
  </si>
  <si>
    <t>Project Manager (PM)</t>
  </si>
  <si>
    <t>Notes:</t>
  </si>
  <si>
    <t xml:space="preserve">All rates provided will be re-evaluated on an annual basis or as market conditions necessitate. </t>
  </si>
  <si>
    <t>Thirty (30) days written notice will be provided for any applicable rate adjustments.</t>
  </si>
  <si>
    <t>Rates provided are exclusive of any travel, living or mobilization/demobilizations costs.</t>
  </si>
  <si>
    <t xml:space="preserve"> Rates provided are exclusive of any applicable taxes/VAT, duties or tariffs.</t>
  </si>
  <si>
    <t>Rates are per hour with 0.5 hour being the smallest increment.</t>
  </si>
  <si>
    <t>Rate Multipliers:</t>
  </si>
  <si>
    <t xml:space="preserve">Overtime (Only applicable when client requests overtime to be worked) - 1.3x </t>
  </si>
  <si>
    <t xml:space="preserve">A Location Uplift for client site-based activities may be required for on-site services greater than a week or spanning </t>
  </si>
  <si>
    <t>over a weekend.</t>
  </si>
  <si>
    <t>Uplift will be negotiated prior to travel and dependant on location based on published uplift for travel and hardship</t>
  </si>
  <si>
    <t>Suppliments:</t>
  </si>
  <si>
    <t>Expences and Travel:</t>
  </si>
  <si>
    <t>ETAP</t>
  </si>
  <si>
    <t>Expences Cost +</t>
  </si>
  <si>
    <t>SmartPlan</t>
  </si>
  <si>
    <t>Vehicle Usage / km</t>
  </si>
  <si>
    <t>Pathloss</t>
  </si>
  <si>
    <t>Direct and Mat cost +</t>
  </si>
  <si>
    <t>Unisim</t>
  </si>
  <si>
    <t>3rd Party Consulting cost +</t>
  </si>
  <si>
    <t>Other specialised cost +</t>
  </si>
  <si>
    <t>Courier services at cost</t>
  </si>
  <si>
    <t>Printing in house</t>
  </si>
  <si>
    <t>No Charge</t>
  </si>
  <si>
    <t>ENGINEERING</t>
  </si>
  <si>
    <t>lot</t>
  </si>
  <si>
    <t>PROJECT MANAGEMENT</t>
  </si>
  <si>
    <t>HAZOP Meeting And Log</t>
  </si>
  <si>
    <t>HAZOP Changes And Closeout</t>
  </si>
  <si>
    <t>DRAFTING &amp; MODELLING</t>
  </si>
  <si>
    <t>Anchor / Guide / Shoe Details</t>
  </si>
  <si>
    <t>Piping &amp; Fittings MTO</t>
  </si>
  <si>
    <t>EI&amp;C Demolition Drawings</t>
  </si>
  <si>
    <t>Foundation  - Piles &amp; Concrete</t>
  </si>
  <si>
    <t>Building Architectural</t>
  </si>
  <si>
    <t>Complete SPI Database - Verify</t>
  </si>
  <si>
    <t>Procurement Strategy</t>
  </si>
  <si>
    <t>Supplier Lists / Pre-Qualifications</t>
  </si>
  <si>
    <t>Contracts Strategy</t>
  </si>
  <si>
    <t>Supplier Expediting / Documentation</t>
  </si>
  <si>
    <t>Inspection Planning / Assignment</t>
  </si>
  <si>
    <t>Contracts Transportation</t>
  </si>
  <si>
    <t>Invoicing</t>
  </si>
  <si>
    <t>Man Hours</t>
  </si>
  <si>
    <t>Cost</t>
  </si>
  <si>
    <t>Date</t>
  </si>
  <si>
    <t>Revision</t>
  </si>
  <si>
    <t>Rev Description</t>
  </si>
  <si>
    <t>STD-2024</t>
  </si>
  <si>
    <t>Table STD-2024 Applicable Rates and Charges</t>
  </si>
  <si>
    <t>V1.1</t>
  </si>
  <si>
    <t>hrs</t>
  </si>
  <si>
    <t>EPCM COST</t>
  </si>
  <si>
    <t>TOTAL ENGINEERING COST (TEC)</t>
  </si>
  <si>
    <t>% TPC</t>
  </si>
  <si>
    <t>Rates</t>
  </si>
  <si>
    <t>Issued for Engineer Procure Install and Commission Estimates (EPIC)</t>
  </si>
  <si>
    <t>Shutdown Key</t>
  </si>
  <si>
    <t>Industry</t>
  </si>
  <si>
    <t>Complexity</t>
  </si>
  <si>
    <t>FEED</t>
  </si>
  <si>
    <t>Oil</t>
  </si>
  <si>
    <t>New Tech</t>
  </si>
  <si>
    <t>DED</t>
  </si>
  <si>
    <t>Gas</t>
  </si>
  <si>
    <t>New Client</t>
  </si>
  <si>
    <t>CON</t>
  </si>
  <si>
    <t>Hydrogen</t>
  </si>
  <si>
    <t>Standard</t>
  </si>
  <si>
    <t>CSU</t>
  </si>
  <si>
    <t>Renewable</t>
  </si>
  <si>
    <t>Power Generation</t>
  </si>
  <si>
    <t>Method</t>
  </si>
  <si>
    <t>Power Distribution</t>
  </si>
  <si>
    <t>Timesheet</t>
  </si>
  <si>
    <t>MTO</t>
  </si>
  <si>
    <t>Judgement</t>
  </si>
  <si>
    <t>Parameter</t>
  </si>
  <si>
    <t>Analog</t>
  </si>
  <si>
    <t>Vendor Meetings</t>
  </si>
  <si>
    <t>Client Weekly Reports</t>
  </si>
  <si>
    <t>V1.2</t>
  </si>
  <si>
    <t>V1.3</t>
  </si>
  <si>
    <t>Code Correction for 8 Quality and 9 HSE sections</t>
  </si>
  <si>
    <t>Code correction for 7 C&amp;SU for Core</t>
  </si>
  <si>
    <t>Activity code #30-3306 deleted as it was a incorrect duplicate</t>
  </si>
  <si>
    <t>V1.4</t>
  </si>
  <si>
    <t>Stick Files</t>
  </si>
  <si>
    <t>V1.5</t>
  </si>
  <si>
    <t>ME Data Sheets</t>
  </si>
  <si>
    <t>CSA Specifications</t>
  </si>
  <si>
    <t>DG As Buits</t>
  </si>
  <si>
    <t>ED Material Take-Offs</t>
  </si>
  <si>
    <t>CSA Material Take-Offs</t>
  </si>
  <si>
    <t>CSA As-Builts</t>
  </si>
  <si>
    <t>Updated duplicate descriptions of activity codes and renamed by dicipline</t>
  </si>
  <si>
    <t>V1.6</t>
  </si>
  <si>
    <t>Added new "40-4320 Junction Box" code</t>
  </si>
  <si>
    <t>Junction Box</t>
  </si>
  <si>
    <t>Rate</t>
  </si>
  <si>
    <t>Arc Flash Labels (per Lable)</t>
  </si>
  <si>
    <t>Arc Flash setup</t>
  </si>
  <si>
    <t>Electrical Drawing Index</t>
  </si>
  <si>
    <t>Project:</t>
  </si>
  <si>
    <t>Hardware Installation</t>
  </si>
  <si>
    <t>Software Configuration</t>
  </si>
  <si>
    <t>Network Setup</t>
  </si>
  <si>
    <t>Testing &amp; Troubleshooting</t>
  </si>
  <si>
    <t>Integration With Building Systems</t>
  </si>
  <si>
    <t>Calibration &amp; Fine Tuning</t>
  </si>
  <si>
    <t>Safety Testing</t>
  </si>
  <si>
    <t>User Training</t>
  </si>
  <si>
    <t>Performance Verification</t>
  </si>
  <si>
    <t>Acceptance &amp; Handover</t>
  </si>
  <si>
    <t>Maintenance &amp; Support</t>
  </si>
  <si>
    <t>Hrs</t>
  </si>
  <si>
    <t>COA</t>
  </si>
  <si>
    <t>Description</t>
  </si>
  <si>
    <t>TCA Eng EIT</t>
  </si>
  <si>
    <t>TCA Eng JR</t>
  </si>
  <si>
    <t>TCA Eng INT</t>
  </si>
  <si>
    <t>TCA Eng SR</t>
  </si>
  <si>
    <t>TCA Eng LD</t>
  </si>
  <si>
    <t>TCA Eng SP</t>
  </si>
  <si>
    <t>TCA Eng SME</t>
  </si>
  <si>
    <t>ETech TRN</t>
  </si>
  <si>
    <t>ETech JR</t>
  </si>
  <si>
    <t>ETech INT</t>
  </si>
  <si>
    <t>ETech SR</t>
  </si>
  <si>
    <t>ETech SP</t>
  </si>
  <si>
    <t>ETech SME</t>
  </si>
  <si>
    <t>ICTech TRN</t>
  </si>
  <si>
    <t>ICTech JR</t>
  </si>
  <si>
    <t>ICTech INT</t>
  </si>
  <si>
    <t>ICTech SR</t>
  </si>
  <si>
    <t>ICTech LD</t>
  </si>
  <si>
    <t>ICTech SP</t>
  </si>
  <si>
    <t>ICTech SME</t>
  </si>
  <si>
    <t>TCATech TRN</t>
  </si>
  <si>
    <t>TCATech JR</t>
  </si>
  <si>
    <t>TCATech INT</t>
  </si>
  <si>
    <t>TCATech SR</t>
  </si>
  <si>
    <t>TCATech LD</t>
  </si>
  <si>
    <t>TCATech SP</t>
  </si>
  <si>
    <t>TCATech SME</t>
  </si>
  <si>
    <t>PPDrf  TRN</t>
  </si>
  <si>
    <t>PPDrf  JR</t>
  </si>
  <si>
    <t>PPDrf  INT</t>
  </si>
  <si>
    <t>PPDrf  SR</t>
  </si>
  <si>
    <t>PPDrf  LD</t>
  </si>
  <si>
    <t>PPDrf  SP</t>
  </si>
  <si>
    <t>EICTDrf  TRN</t>
  </si>
  <si>
    <t>EICTDrf  JR</t>
  </si>
  <si>
    <t>EICTDrf  INT</t>
  </si>
  <si>
    <t>EICTDrf  SR</t>
  </si>
  <si>
    <t>EICTDrf  LD</t>
  </si>
  <si>
    <t>EICTDrf  SP</t>
  </si>
  <si>
    <t>CSADrf  TRN</t>
  </si>
  <si>
    <t>CSADrf  JR</t>
  </si>
  <si>
    <t>CSADrf  INT</t>
  </si>
  <si>
    <t>CSADrf  SR</t>
  </si>
  <si>
    <t>CSADrf  LD</t>
  </si>
  <si>
    <t>CSADrf  SP</t>
  </si>
  <si>
    <t>SC Proc TRN</t>
  </si>
  <si>
    <t>SC Proc JR</t>
  </si>
  <si>
    <t>SC Proc INT</t>
  </si>
  <si>
    <t>SC Proc SR</t>
  </si>
  <si>
    <t>SC Proc LD</t>
  </si>
  <si>
    <t>SC Cont TRN</t>
  </si>
  <si>
    <t>SC Cont JR</t>
  </si>
  <si>
    <t>SC Cont INT</t>
  </si>
  <si>
    <t>SC Cont SR</t>
  </si>
  <si>
    <t>SC Cont LD</t>
  </si>
  <si>
    <t>PM JR</t>
  </si>
  <si>
    <t>PM INT</t>
  </si>
  <si>
    <t>PM SR</t>
  </si>
  <si>
    <t>PM LD</t>
  </si>
  <si>
    <t>PM SP</t>
  </si>
  <si>
    <t>PM SME</t>
  </si>
  <si>
    <t>AD TRN</t>
  </si>
  <si>
    <t>AD JR</t>
  </si>
  <si>
    <t>AD INT</t>
  </si>
  <si>
    <t>AD SR</t>
  </si>
  <si>
    <t>PE JR</t>
  </si>
  <si>
    <t>PE INT</t>
  </si>
  <si>
    <t>PE SR</t>
  </si>
  <si>
    <t>PE LD</t>
  </si>
  <si>
    <t>PCO TRN</t>
  </si>
  <si>
    <t>PCO JR</t>
  </si>
  <si>
    <t>PCO INT</t>
  </si>
  <si>
    <t>PCO SR</t>
  </si>
  <si>
    <t>PCO LD</t>
  </si>
  <si>
    <t>PC TRN</t>
  </si>
  <si>
    <t>PC JR</t>
  </si>
  <si>
    <t>PC INT</t>
  </si>
  <si>
    <t>PC SR</t>
  </si>
  <si>
    <t>PC LD</t>
  </si>
  <si>
    <t>PC SP</t>
  </si>
  <si>
    <t>DC TRN</t>
  </si>
  <si>
    <t>DC JR</t>
  </si>
  <si>
    <t>DC INT</t>
  </si>
  <si>
    <t>DC SR</t>
  </si>
  <si>
    <t>DC LD</t>
  </si>
  <si>
    <t>PrEng EIT</t>
  </si>
  <si>
    <t>PrEng JR</t>
  </si>
  <si>
    <t>PrEng INT</t>
  </si>
  <si>
    <t>PrEng SR</t>
  </si>
  <si>
    <t>PrEng LD</t>
  </si>
  <si>
    <t>PrEng SP</t>
  </si>
  <si>
    <t>PrEng SME</t>
  </si>
  <si>
    <t>MEng EIT</t>
  </si>
  <si>
    <t>MEng JR</t>
  </si>
  <si>
    <t>MEng INT</t>
  </si>
  <si>
    <t>MEng SR</t>
  </si>
  <si>
    <t>MEng LD</t>
  </si>
  <si>
    <t>MEng SP</t>
  </si>
  <si>
    <t>MEng SME</t>
  </si>
  <si>
    <t>EEng EIT</t>
  </si>
  <si>
    <t>EEng JR</t>
  </si>
  <si>
    <t>EEng INT</t>
  </si>
  <si>
    <t>EEng SR</t>
  </si>
  <si>
    <t>EEng LD</t>
  </si>
  <si>
    <t>EEng SP</t>
  </si>
  <si>
    <t>EEng SME</t>
  </si>
  <si>
    <t>ETech LD</t>
  </si>
  <si>
    <t>PROJECT OPERATIONS</t>
  </si>
  <si>
    <t>Site Visit  and Travel Activity</t>
  </si>
  <si>
    <t>Project Estimate</t>
  </si>
  <si>
    <t>ICE Specifications</t>
  </si>
  <si>
    <t>ICE Data Sheets</t>
  </si>
  <si>
    <t>EE Studies and Reports</t>
  </si>
  <si>
    <t>Process Simulations</t>
  </si>
  <si>
    <t xml:space="preserve">Process Calculation </t>
  </si>
  <si>
    <t>ICE Studies and Report</t>
  </si>
  <si>
    <t>Control System Configuration</t>
  </si>
  <si>
    <t>Logistic Studies</t>
  </si>
  <si>
    <t>Procurement Status Reports</t>
  </si>
  <si>
    <t>Inspection Reports</t>
  </si>
  <si>
    <t>18.1 Airfares</t>
  </si>
  <si>
    <t>18.2 Auto Rental</t>
  </si>
  <si>
    <t>18.3 Auto Mileage</t>
  </si>
  <si>
    <t>18.4 Accommodations</t>
  </si>
  <si>
    <t>18.5 Meals</t>
  </si>
  <si>
    <t>18.6 Misc. Travel Expenses</t>
  </si>
  <si>
    <t>17.3 Arc Flash per Label</t>
  </si>
  <si>
    <t>17.5 Pathloss</t>
  </si>
  <si>
    <t>17.6 Unisim</t>
  </si>
  <si>
    <t>17.7 TCA Bundle</t>
  </si>
  <si>
    <t>17.4 SmartPlant</t>
  </si>
  <si>
    <t>TCA Equipment List</t>
  </si>
  <si>
    <t>TCA Equipment Specifications</t>
  </si>
  <si>
    <t>TCA Equipment Datasheets</t>
  </si>
  <si>
    <t>TCA On Site Plan</t>
  </si>
  <si>
    <t>EICT DRAFTING</t>
  </si>
  <si>
    <t>PP DRAFTING</t>
  </si>
  <si>
    <t>DCS Software</t>
  </si>
  <si>
    <t>RTU Software</t>
  </si>
  <si>
    <t>SCADA Software</t>
  </si>
  <si>
    <t>Mechanical Valve List</t>
  </si>
  <si>
    <t>PP As-Builts</t>
  </si>
  <si>
    <t>Electrical Schedules</t>
  </si>
  <si>
    <t>Arc Flash Labels (per Label)</t>
  </si>
  <si>
    <t>Controls Drawings</t>
  </si>
  <si>
    <t>Electrical As-Builts</t>
  </si>
  <si>
    <t>Instrumentation MTO</t>
  </si>
  <si>
    <t>Instrumentation As-Builts</t>
  </si>
  <si>
    <t>ENGINEERING MANAGEMENT</t>
  </si>
  <si>
    <t>Client Procedures Training</t>
  </si>
  <si>
    <t>Cycles</t>
  </si>
  <si>
    <t>12</t>
  </si>
  <si>
    <t>1</t>
  </si>
  <si>
    <t>21</t>
  </si>
  <si>
    <t>18.7 Courier</t>
  </si>
  <si>
    <t>ICEng EIT</t>
  </si>
  <si>
    <t>ICEng JR</t>
  </si>
  <si>
    <t>ICEng INT</t>
  </si>
  <si>
    <t>ICEng SR</t>
  </si>
  <si>
    <t>ICEng LD</t>
  </si>
  <si>
    <t>ICEng SP</t>
  </si>
  <si>
    <t>ICEng SME</t>
  </si>
  <si>
    <t>CSAEng EIT</t>
  </si>
  <si>
    <t>CSAEng JR</t>
  </si>
  <si>
    <t>CSAEng INT</t>
  </si>
  <si>
    <t>CSAEng SR</t>
  </si>
  <si>
    <t>CSAEng LD</t>
  </si>
  <si>
    <t>CSAEng SP</t>
  </si>
  <si>
    <t>CSAEng SME</t>
  </si>
  <si>
    <t>V1.7</t>
  </si>
  <si>
    <t>V1.8</t>
  </si>
  <si>
    <t>V1.9</t>
  </si>
  <si>
    <t>11</t>
  </si>
  <si>
    <t>19.41 TPSC PP Model</t>
  </si>
  <si>
    <t>19.35 TPSC TCA Programming</t>
  </si>
  <si>
    <t>19.36 TPSC CSA</t>
  </si>
  <si>
    <t>19.32 TPSC Mech Stress</t>
  </si>
  <si>
    <t>PROJECT COORDINATION</t>
  </si>
  <si>
    <t>EWP Squad Check</t>
  </si>
  <si>
    <t>Client Progress Reports</t>
  </si>
  <si>
    <t>PROJECT CONTROLS</t>
  </si>
  <si>
    <t>ME Studies and Report</t>
  </si>
  <si>
    <t>Process Studies and Report</t>
  </si>
  <si>
    <t>Client Electrical Specifications</t>
  </si>
  <si>
    <t>PROCESS ENGINEERING PACKAGE</t>
  </si>
  <si>
    <t>MECHANICAL ENGINEERING PACKAGE</t>
  </si>
  <si>
    <t>TCA Studies and Report</t>
  </si>
  <si>
    <t>TCA ENGINEERING PACKAGE</t>
  </si>
  <si>
    <t>IC ENGINEERING PACKAGE</t>
  </si>
  <si>
    <t>CSA Studies and Report</t>
  </si>
  <si>
    <t>SC GENERAL</t>
  </si>
  <si>
    <t>TCA  INTEGRATION CWP</t>
  </si>
  <si>
    <t>Quantity</t>
  </si>
  <si>
    <t>Category</t>
  </si>
  <si>
    <t>10</t>
  </si>
  <si>
    <t>1101</t>
  </si>
  <si>
    <t>1102</t>
  </si>
  <si>
    <t>1103</t>
  </si>
  <si>
    <t>1104</t>
  </si>
  <si>
    <t>1105</t>
  </si>
  <si>
    <t>1106</t>
  </si>
  <si>
    <t>1201</t>
  </si>
  <si>
    <t>1202</t>
  </si>
  <si>
    <t>1203</t>
  </si>
  <si>
    <t>1204</t>
  </si>
  <si>
    <t>1205</t>
  </si>
  <si>
    <t>1206</t>
  </si>
  <si>
    <t>13</t>
  </si>
  <si>
    <t>1301</t>
  </si>
  <si>
    <t>1302</t>
  </si>
  <si>
    <t>1303</t>
  </si>
  <si>
    <t>23</t>
  </si>
  <si>
    <t>2301</t>
  </si>
  <si>
    <t>2302</t>
  </si>
  <si>
    <t>2303</t>
  </si>
  <si>
    <t>2304</t>
  </si>
  <si>
    <t>2305</t>
  </si>
  <si>
    <t>2306</t>
  </si>
  <si>
    <t>20</t>
  </si>
  <si>
    <t>2101</t>
  </si>
  <si>
    <t>2102</t>
  </si>
  <si>
    <t>2103</t>
  </si>
  <si>
    <t>22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</si>
  <si>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</si>
  <si>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</si>
  <si>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</si>
  <si>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</si>
  <si>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</si>
  <si>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</si>
  <si>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</si>
  <si>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</si>
  <si>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</si>
  <si>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</si>
  <si>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30</t>
  </si>
  <si>
    <t>210</t>
  </si>
  <si>
    <t>301</t>
  </si>
  <si>
    <t>310</t>
  </si>
  <si>
    <t>320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</si>
  <si>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</si>
  <si>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</si>
  <si>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</si>
  <si>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</si>
  <si>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</si>
  <si>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</si>
  <si>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</si>
  <si>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</si>
  <si>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</si>
  <si>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</si>
  <si>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</si>
  <si>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</si>
  <si>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</si>
  <si>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</si>
  <si>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</si>
  <si>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</si>
  <si>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</si>
  <si>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</si>
  <si>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</si>
  <si>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</si>
  <si>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</si>
  <si>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</si>
  <si>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</si>
  <si>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</si>
  <si>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</si>
  <si>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</si>
  <si>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330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</si>
  <si>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</si>
  <si>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</si>
  <si>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</si>
  <si>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</si>
  <si>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</si>
  <si>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</si>
  <si>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</si>
  <si>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</si>
  <si>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</si>
  <si>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</si>
  <si>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340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</si>
  <si>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</si>
  <si>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</si>
  <si>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</si>
  <si>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</si>
  <si>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</si>
  <si>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</si>
  <si>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</si>
  <si>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</si>
  <si>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</si>
  <si>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</si>
  <si>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</si>
  <si>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</si>
  <si>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</si>
  <si>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</si>
  <si>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</si>
  <si>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350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</si>
  <si>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</si>
  <si>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</si>
  <si>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</si>
  <si>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</si>
  <si>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</si>
  <si>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</si>
  <si>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</si>
  <si>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</si>
  <si>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</si>
  <si>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</si>
  <si>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</si>
  <si>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</si>
  <si>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360</t>
  </si>
  <si>
    <t>3601</t>
  </si>
  <si>
    <t>3602</t>
  </si>
  <si>
    <t>3603</t>
  </si>
  <si>
    <t>3604</t>
  </si>
  <si>
    <t>3605</t>
  </si>
  <si>
    <t>3606</t>
  </si>
  <si>
    <t>40</t>
  </si>
  <si>
    <t>401</t>
  </si>
  <si>
    <t>4101</t>
  </si>
  <si>
    <t>4102</t>
  </si>
  <si>
    <t>410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</si>
  <si>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</si>
  <si>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</si>
  <si>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</si>
  <si>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</si>
  <si>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</si>
  <si>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</si>
  <si>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</si>
  <si>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</si>
  <si>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</si>
  <si>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</si>
  <si>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</si>
  <si>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</si>
  <si>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</si>
  <si>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</si>
  <si>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</si>
  <si>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</si>
  <si>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</si>
  <si>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</si>
  <si>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</si>
  <si>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</si>
  <si>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</si>
  <si>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</si>
  <si>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</si>
  <si>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420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</si>
  <si>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</si>
  <si>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</si>
  <si>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</si>
  <si>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</si>
  <si>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</si>
  <si>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</si>
  <si>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</si>
  <si>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</si>
  <si>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</si>
  <si>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</si>
  <si>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</si>
  <si>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</si>
  <si>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</si>
  <si>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</si>
  <si>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</si>
  <si>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</si>
  <si>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</si>
  <si>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</si>
  <si>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</si>
  <si>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</si>
  <si>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</si>
  <si>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</si>
  <si>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</si>
  <si>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</si>
  <si>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</si>
  <si>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</si>
  <si>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</si>
  <si>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</si>
  <si>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</si>
  <si>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</si>
  <si>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</si>
  <si>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</si>
  <si>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</si>
  <si>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</si>
  <si>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</si>
  <si>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</si>
  <si>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</si>
  <si>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</si>
  <si>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</si>
  <si>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</si>
  <si>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</si>
  <si>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</si>
  <si>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</si>
  <si>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50</t>
  </si>
  <si>
    <t>501</t>
  </si>
  <si>
    <t>510</t>
  </si>
  <si>
    <t>520</t>
  </si>
  <si>
    <t>5010</t>
  </si>
  <si>
    <t>5011</t>
  </si>
  <si>
    <t>5012</t>
  </si>
  <si>
    <t>5013</t>
  </si>
  <si>
    <t>5014</t>
  </si>
  <si>
    <t>5015</t>
  </si>
  <si>
    <t>5016</t>
  </si>
  <si>
    <t>5017</t>
  </si>
  <si>
    <t>610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</si>
  <si>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</si>
  <si>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</si>
  <si>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</si>
  <si>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</si>
  <si>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</si>
  <si>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</si>
  <si>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</si>
  <si>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</si>
  <si>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</si>
  <si>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</si>
  <si>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</si>
  <si>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</si>
  <si>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CONSTRUCTION WORK PACKAGES</t>
  </si>
  <si>
    <t>SUPPLY CHAIN MR PACKAGES</t>
  </si>
  <si>
    <t>SC PROCUREMENT MRP</t>
  </si>
  <si>
    <t>SC CONTRACTS CWP</t>
  </si>
  <si>
    <t>5018</t>
  </si>
  <si>
    <t>5019</t>
  </si>
  <si>
    <t>Mechanical CWP</t>
  </si>
  <si>
    <t>Structural CWP</t>
  </si>
  <si>
    <t>Civil CWP</t>
  </si>
  <si>
    <t>Electrical CWP</t>
  </si>
  <si>
    <t>I&amp;C CWP</t>
  </si>
  <si>
    <t>TCA CWP</t>
  </si>
  <si>
    <t>Miscellaneous</t>
  </si>
  <si>
    <t>2104</t>
  </si>
  <si>
    <t>Progress Reports</t>
  </si>
  <si>
    <t>PROJECT GENERAL</t>
  </si>
  <si>
    <t>C17</t>
  </si>
  <si>
    <t>C19</t>
  </si>
  <si>
    <t>THIRD PARTY SUBCONTRACT</t>
  </si>
  <si>
    <t>PROJECT OPERATION</t>
  </si>
  <si>
    <t>17.2 ETAP</t>
  </si>
  <si>
    <t>Drawing Request</t>
  </si>
  <si>
    <t>511</t>
  </si>
  <si>
    <t>Mechanical MRP</t>
  </si>
  <si>
    <t>5111</t>
  </si>
  <si>
    <t>Mechanical MRP  Vessels</t>
  </si>
  <si>
    <t>5112</t>
  </si>
  <si>
    <t>Mechanical MRP Columns</t>
  </si>
  <si>
    <t>5113</t>
  </si>
  <si>
    <t>Mechanical MRP Tanks</t>
  </si>
  <si>
    <t>5114</t>
  </si>
  <si>
    <t>Mechanical MRP Exchangers</t>
  </si>
  <si>
    <t>5115</t>
  </si>
  <si>
    <t>Mechanical MRP Boilers &amp; Fired Heaters</t>
  </si>
  <si>
    <t>5116</t>
  </si>
  <si>
    <t>Mechanical MRP Compressors &amp; Drivers</t>
  </si>
  <si>
    <t>5117</t>
  </si>
  <si>
    <t>Mechanical MRP HVAC</t>
  </si>
  <si>
    <t>5118</t>
  </si>
  <si>
    <t>Mechanical MRP Pumps &amp; Drivers</t>
  </si>
  <si>
    <t>5119</t>
  </si>
  <si>
    <t>Mechanical MRP Packaged Equipment</t>
  </si>
  <si>
    <t>513</t>
  </si>
  <si>
    <t>Electrical MRP</t>
  </si>
  <si>
    <t>5131</t>
  </si>
  <si>
    <t>Electrical MRP Cable Trays, Conduits</t>
  </si>
  <si>
    <t>5132</t>
  </si>
  <si>
    <t>Electrical MRP Transformers</t>
  </si>
  <si>
    <t>5133</t>
  </si>
  <si>
    <t>Electrical MRP Panels</t>
  </si>
  <si>
    <t>5134</t>
  </si>
  <si>
    <t>Electrical MRP Devices</t>
  </si>
  <si>
    <t>5135</t>
  </si>
  <si>
    <t>Electrical MRP HT Control Panel</t>
  </si>
  <si>
    <t>5136</t>
  </si>
  <si>
    <t>Electrical MRP UPS</t>
  </si>
  <si>
    <t>5137</t>
  </si>
  <si>
    <t>Electrical MRP MCC</t>
  </si>
  <si>
    <t>5138</t>
  </si>
  <si>
    <t>Electrical MRP Switchboards</t>
  </si>
  <si>
    <t>5139</t>
  </si>
  <si>
    <t>Electrical MRP Wires and Cables</t>
  </si>
  <si>
    <t>5140</t>
  </si>
  <si>
    <t>Electrical MRP Lighting Fixtures, Poles</t>
  </si>
  <si>
    <t>5141</t>
  </si>
  <si>
    <t>Electrical MRP Grounding Cathodic Protection</t>
  </si>
  <si>
    <t>5142</t>
  </si>
  <si>
    <t>Electrical MRP Substations and OH Distribution</t>
  </si>
  <si>
    <t>515</t>
  </si>
  <si>
    <t>5151</t>
  </si>
  <si>
    <t>I&amp;C MRP Communication Systems</t>
  </si>
  <si>
    <t>5152</t>
  </si>
  <si>
    <t>I&amp;C MRP Detection Systems</t>
  </si>
  <si>
    <t>5153</t>
  </si>
  <si>
    <t>I&amp;C MRP Testing  Systems</t>
  </si>
  <si>
    <t>TCA MRP HMI</t>
  </si>
  <si>
    <t>TCA MRP Computers</t>
  </si>
  <si>
    <t>TCA MRP Antennas</t>
  </si>
  <si>
    <t>TCA MRP DCS</t>
  </si>
  <si>
    <t>TCA MRP PLC</t>
  </si>
  <si>
    <t>TCA MRP SCADA</t>
  </si>
  <si>
    <t>TCA MRP ESD</t>
  </si>
  <si>
    <t>Internal Weekly Reports</t>
  </si>
  <si>
    <t>Client Requirements List</t>
  </si>
  <si>
    <t>Engineering QA/RAIL</t>
  </si>
  <si>
    <t>5120</t>
  </si>
  <si>
    <t>Mechanical MRP Pipe Fittings</t>
  </si>
  <si>
    <t>5121</t>
  </si>
  <si>
    <t>Mechanical MRP Specialty Items</t>
  </si>
  <si>
    <t>PE EIT</t>
  </si>
  <si>
    <t>Project Phase</t>
  </si>
  <si>
    <t>ICT MRP</t>
  </si>
  <si>
    <t>5154</t>
  </si>
  <si>
    <t>5155</t>
  </si>
  <si>
    <t>5156</t>
  </si>
  <si>
    <t>5157</t>
  </si>
  <si>
    <t>5158</t>
  </si>
  <si>
    <t>5159</t>
  </si>
  <si>
    <t>5160</t>
  </si>
  <si>
    <t>Cell Color</t>
  </si>
  <si>
    <t>COA review Electrical</t>
  </si>
  <si>
    <t>COA review Mechanical</t>
  </si>
  <si>
    <t xml:space="preserve">Annual COA review.  </t>
  </si>
  <si>
    <t>Levels</t>
  </si>
  <si>
    <t>L1</t>
  </si>
  <si>
    <t>L2</t>
  </si>
  <si>
    <t>L3</t>
  </si>
  <si>
    <t>L4</t>
  </si>
  <si>
    <t>L5</t>
  </si>
  <si>
    <t>L6</t>
  </si>
  <si>
    <t xml:space="preserve">l7 </t>
  </si>
  <si>
    <t>L8</t>
  </si>
  <si>
    <t>RsCod</t>
  </si>
  <si>
    <t>Short</t>
  </si>
  <si>
    <t>TRN</t>
  </si>
  <si>
    <t>JR</t>
  </si>
  <si>
    <t>INT</t>
  </si>
  <si>
    <t>SR</t>
  </si>
  <si>
    <t>LD</t>
  </si>
  <si>
    <t>SP</t>
  </si>
  <si>
    <t>SME</t>
  </si>
  <si>
    <t>FIN</t>
  </si>
  <si>
    <t>Admin</t>
  </si>
  <si>
    <t>AD</t>
  </si>
  <si>
    <t>Document Controller</t>
  </si>
  <si>
    <t>DC</t>
  </si>
  <si>
    <t>Project Manager</t>
  </si>
  <si>
    <t xml:space="preserve">PM </t>
  </si>
  <si>
    <t>Project Engineer</t>
  </si>
  <si>
    <t>PE</t>
  </si>
  <si>
    <t>Project Coordinator</t>
  </si>
  <si>
    <t>PCO</t>
  </si>
  <si>
    <t>Project Controller</t>
  </si>
  <si>
    <t>PC</t>
  </si>
  <si>
    <t>Process Engineer</t>
  </si>
  <si>
    <t>PEng</t>
  </si>
  <si>
    <t>Mechanical Engineer</t>
  </si>
  <si>
    <t>MEng</t>
  </si>
  <si>
    <t>32T</t>
  </si>
  <si>
    <t>Mechanical Technologist</t>
  </si>
  <si>
    <t>MTech</t>
  </si>
  <si>
    <t>Electrical Engineer</t>
  </si>
  <si>
    <t>EEng</t>
  </si>
  <si>
    <t>33T</t>
  </si>
  <si>
    <t>Electrical Technologist</t>
  </si>
  <si>
    <t>ETech</t>
  </si>
  <si>
    <t>Instrumentation Engineer</t>
  </si>
  <si>
    <t>ICEng</t>
  </si>
  <si>
    <t>34T</t>
  </si>
  <si>
    <t>Instrumentation Technologist</t>
  </si>
  <si>
    <t>ICTech</t>
  </si>
  <si>
    <t>35</t>
  </si>
  <si>
    <t>Telecom and Automation Engineer</t>
  </si>
  <si>
    <t>TCAEng</t>
  </si>
  <si>
    <t>35T</t>
  </si>
  <si>
    <t>Telecom and Automation Technologist</t>
  </si>
  <si>
    <t>TCATech</t>
  </si>
  <si>
    <t>36</t>
  </si>
  <si>
    <t>Civil, Structural, Architectural Engineer</t>
  </si>
  <si>
    <t>CSAEng</t>
  </si>
  <si>
    <t>Process and Piping Drafter</t>
  </si>
  <si>
    <t>PPDrf</t>
  </si>
  <si>
    <t>Electrical, IC and TCA Drafter</t>
  </si>
  <si>
    <t>EICTDrf</t>
  </si>
  <si>
    <t>Civil, Structural &amp; Architectural Drafter</t>
  </si>
  <si>
    <t>CSADrf</t>
  </si>
  <si>
    <t>Supply Chain Procurement</t>
  </si>
  <si>
    <t>SCProc</t>
  </si>
  <si>
    <t>52</t>
  </si>
  <si>
    <t>Supply Chain Contracts</t>
  </si>
  <si>
    <t>SCCont</t>
  </si>
  <si>
    <t>61</t>
  </si>
  <si>
    <t>Construction Manager</t>
  </si>
  <si>
    <t>CM</t>
  </si>
  <si>
    <t>62</t>
  </si>
  <si>
    <t>Field Engineer</t>
  </si>
  <si>
    <t>FEng</t>
  </si>
  <si>
    <t>Cost Accounts</t>
  </si>
  <si>
    <t>Material Accounts Handling Costs</t>
  </si>
  <si>
    <t>MAT +</t>
  </si>
  <si>
    <t>In Training</t>
  </si>
  <si>
    <t>Software Support Costs</t>
  </si>
  <si>
    <t>SSC</t>
  </si>
  <si>
    <t xml:space="preserve">@ cost  </t>
  </si>
  <si>
    <t>EIT</t>
  </si>
  <si>
    <t>Eng in Training</t>
  </si>
  <si>
    <t>Site Visits Costs</t>
  </si>
  <si>
    <t>SVC</t>
  </si>
  <si>
    <t>Junior</t>
  </si>
  <si>
    <t>Third Party Sub-Contractor</t>
  </si>
  <si>
    <t>3P S-C</t>
  </si>
  <si>
    <t>Intermediate</t>
  </si>
  <si>
    <t>Senior</t>
  </si>
  <si>
    <t>17</t>
  </si>
  <si>
    <t>Lead</t>
  </si>
  <si>
    <t>17.1</t>
  </si>
  <si>
    <t>ETAP Model Setup</t>
  </si>
  <si>
    <t>ETAP SU</t>
  </si>
  <si>
    <t>Specialist</t>
  </si>
  <si>
    <t>17.2</t>
  </si>
  <si>
    <t>ETAP use per hr</t>
  </si>
  <si>
    <t>Subject Matter Specialist</t>
  </si>
  <si>
    <t>17.3</t>
  </si>
  <si>
    <t>AFL</t>
  </si>
  <si>
    <t>Forensic Investigator</t>
  </si>
  <si>
    <t>17.4</t>
  </si>
  <si>
    <t>SmartPlan / hr</t>
  </si>
  <si>
    <t>17.5</t>
  </si>
  <si>
    <t>Pathloss / hr</t>
  </si>
  <si>
    <t>17.6</t>
  </si>
  <si>
    <t>Unisim / hr</t>
  </si>
  <si>
    <t>17.7</t>
  </si>
  <si>
    <t>Network/ Telecom Bundle / hr</t>
  </si>
  <si>
    <t>Many</t>
  </si>
  <si>
    <t>17.8</t>
  </si>
  <si>
    <t>@Risk Simulations / hr</t>
  </si>
  <si>
    <t>@Risk</t>
  </si>
  <si>
    <t>17.9</t>
  </si>
  <si>
    <t>18</t>
  </si>
  <si>
    <t>Site Visit Cost</t>
  </si>
  <si>
    <t>Cost + %</t>
  </si>
  <si>
    <t>19</t>
  </si>
  <si>
    <t>3P Subcontract</t>
  </si>
  <si>
    <t xml:space="preserve">19.1 </t>
  </si>
  <si>
    <t>19.2</t>
  </si>
  <si>
    <t>Mechanical Engineering</t>
  </si>
  <si>
    <t>Process Engineering</t>
  </si>
  <si>
    <t>19.3</t>
  </si>
  <si>
    <t>Electrical Engineeirng</t>
  </si>
  <si>
    <t>19.4</t>
  </si>
  <si>
    <t>IC Engineeirng</t>
  </si>
  <si>
    <t>19.5</t>
  </si>
  <si>
    <t>REIMBURSABLE COST</t>
  </si>
  <si>
    <t>C18</t>
  </si>
  <si>
    <t>SPECIALTY SOFTWARE COST</t>
  </si>
  <si>
    <t>N/A</t>
  </si>
  <si>
    <t>TOTAL PROJECT COST</t>
  </si>
  <si>
    <t>TOTAL REIMBURSABLE COST</t>
  </si>
  <si>
    <t>SSC Costs (Specialized Software)</t>
  </si>
  <si>
    <t>COST LINE</t>
  </si>
  <si>
    <t xml:space="preserve"> </t>
  </si>
  <si>
    <t>TOTAL CATCH COST</t>
  </si>
  <si>
    <t xml:space="preserve">SUPPLY CHAIN </t>
  </si>
  <si>
    <t>SUPPLY CHAIN</t>
  </si>
  <si>
    <t>521</t>
  </si>
  <si>
    <t>522</t>
  </si>
  <si>
    <t>523</t>
  </si>
  <si>
    <t>524</t>
  </si>
  <si>
    <t>525</t>
  </si>
  <si>
    <t>526</t>
  </si>
  <si>
    <t>527</t>
  </si>
  <si>
    <t>ENGINEERING COST</t>
  </si>
  <si>
    <t>M EQUP</t>
  </si>
  <si>
    <t>E EQUIP</t>
  </si>
  <si>
    <t>IC EQUIP</t>
  </si>
  <si>
    <t>LSD</t>
  </si>
  <si>
    <t>PROV/STATE</t>
  </si>
  <si>
    <t>Biweekly Meetings?</t>
  </si>
  <si>
    <t>Duration</t>
  </si>
  <si>
    <t>Project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</si>
</sst>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  <numFmt numFmtId="165" formatCode="&quot;$&quot;#,##0.00"/>
    <numFmt numFmtId="166" formatCode="0.0"/>
    <numFmt numFmtId="167" formatCode="#,##0.0"/>
    <numFmt numFmtId="168" formatCode="#,##0.0_ ;\-#,##0.0\ "/>
  </numFmts>
  <fonts count="22" x14ac:knownFonts="1">
    <font>
      <sz val="11"/>
      <color theme="1"/>
      <name val="Cambria"/>
      <family val="2"/>
    </font>
    <font>
      <sz val="10"/>
      <color theme="1"/>
      <name val="Cambria"/>
      <family val="2"/>
    </font>
    <font>
      <sz val="11"/>
      <color theme="1"/>
      <name val="Cambria"/>
      <family val="2"/>
    </font>
    <font>
      <sz val="10"/>
      <name val="Arial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theme="1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0"/>
      <color theme="1"/>
      <name val="Cambria"/>
      <family val="1"/>
    </font>
    <font>
      <b/>
      <sz val="11"/>
      <color rgb="FFFFFF00"/>
      <name val="Cambria"/>
      <family val="1"/>
    </font>
    <font>
      <sz val="8"/>
      <name val="Cambria"/>
      <family val="2"/>
    </font>
    <font>
      <sz val="9"/>
      <name val="Verdana"/>
      <family val="2"/>
    </font>
    <font>
      <b/>
      <sz val="11"/>
      <name val="Cambria"/>
      <family val="1"/>
    </font>
    <font>
      <sz val="11"/>
      <color rgb="FF000000"/>
      <name val="Cambria"/>
      <family val="1"/>
    </font>
    <font>
      <sz val="10"/>
      <color rgb="FFFFFF00"/>
      <name val="Cambria"/>
      <family val="1"/>
    </font>
    <font>
      <b/>
      <sz val="12"/>
      <color rgb="FFFFFF00"/>
      <name val="Cambria"/>
      <family val="1"/>
    </font>
    <font>
      <sz val="11"/>
      <color rgb="FF630811"/>
      <name val="Cambria"/>
      <family val="2"/>
    </font>
    <font>
      <sz val="11"/>
      <color theme="0"/>
      <name val="Cambria"/>
      <family val="2"/>
    </font>
    <font>
      <sz val="10"/>
      <color theme="1"/>
      <name val="Cambria"/>
      <family val="2"/>
    </font>
    <font>
      <sz val="10"/>
      <color rgb="FF006100"/>
      <name val="Cambria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812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3081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0" fontId="7" fillId="0" borderId="0"/>
    <xf numFmtId="9" fontId="2" fillId="0" borderId="0" applyFont="0" applyFill="0" applyBorder="0" applyAlignment="0" applyProtection="0"/>
    <xf numFmtId="0" fontId="13" fillId="0" borderId="0"/>
    <xf numFmtId="0" fontId="3" fillId="0" borderId="0"/>
    <xf numFmtId="0" fontId="3" fillId="0" borderId="0"/>
    <xf numFmtId="0" fontId="20" fillId="0" borderId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1" fillId="23" borderId="0" applyNumberFormat="0" applyBorder="0" applyAlignment="0" applyProtection="0"/>
  </cellStyleXfs>
  <cellXfs count="241">
    <xf numFmtId="0" fontId="0" fillId="0" borderId="0" xfId="0"/>
    <xf numFmtId="0" fontId="9" fillId="9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49" fontId="4" fillId="0" borderId="0" xfId="4" applyNumberFormat="1" applyFont="1" applyAlignment="1" applyProtection="1">
      <alignment horizontal="left" vertical="center"/>
      <protection hidden="1"/>
    </xf>
    <xf numFmtId="1" fontId="10" fillId="0" borderId="4" xfId="1" applyNumberFormat="1" applyFont="1" applyFill="1" applyBorder="1" applyAlignment="1" applyProtection="1">
      <alignment horizontal="center" vertical="center"/>
    </xf>
    <xf numFmtId="164" fontId="11" fillId="10" borderId="6" xfId="2" applyNumberFormat="1" applyFont="1" applyFill="1" applyBorder="1" applyAlignment="1" applyProtection="1">
      <alignment horizontal="center" vertical="center"/>
    </xf>
    <xf numFmtId="0" fontId="9" fillId="13" borderId="0" xfId="0" applyFont="1" applyFill="1" applyAlignment="1">
      <alignment vertical="center"/>
    </xf>
    <xf numFmtId="9" fontId="5" fillId="13" borderId="0" xfId="3" applyFont="1" applyFill="1" applyAlignment="1">
      <alignment vertical="center"/>
    </xf>
    <xf numFmtId="44" fontId="11" fillId="10" borderId="6" xfId="2" applyFont="1" applyFill="1" applyBorder="1" applyAlignment="1" applyProtection="1">
      <alignment horizontal="center" vertical="center"/>
    </xf>
    <xf numFmtId="0" fontId="9" fillId="14" borderId="0" xfId="0" applyFont="1" applyFill="1" applyAlignment="1">
      <alignment vertical="center"/>
    </xf>
    <xf numFmtId="2" fontId="10" fillId="0" borderId="4" xfId="1" applyNumberFormat="1" applyFont="1" applyFill="1" applyBorder="1" applyAlignment="1" applyProtection="1">
      <alignment horizontal="center" vertical="center"/>
    </xf>
    <xf numFmtId="9" fontId="5" fillId="14" borderId="0" xfId="3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8" fillId="16" borderId="8" xfId="0" applyFont="1" applyFill="1" applyBorder="1" applyAlignment="1">
      <alignment horizontal="center" vertical="center" wrapText="1"/>
    </xf>
    <xf numFmtId="0" fontId="8" fillId="16" borderId="7" xfId="0" applyFont="1" applyFill="1" applyBorder="1" applyAlignment="1">
      <alignment horizontal="center" vertical="center" wrapText="1"/>
    </xf>
    <xf numFmtId="0" fontId="8" fillId="16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center"/>
    </xf>
    <xf numFmtId="44" fontId="0" fillId="0" borderId="1" xfId="2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Border="1"/>
    <xf numFmtId="0" fontId="0" fillId="0" borderId="12" xfId="0" applyBorder="1"/>
    <xf numFmtId="9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9" fontId="0" fillId="0" borderId="1" xfId="2" applyNumberFormat="1" applyFont="1" applyBorder="1" applyAlignment="1">
      <alignment vertical="center"/>
    </xf>
    <xf numFmtId="166" fontId="4" fillId="8" borderId="4" xfId="0" applyNumberFormat="1" applyFont="1" applyFill="1" applyBorder="1" applyAlignment="1" applyProtection="1">
      <alignment horizontal="center" vertical="center"/>
      <protection hidden="1"/>
    </xf>
    <xf numFmtId="2" fontId="6" fillId="7" borderId="4" xfId="0" applyNumberFormat="1" applyFont="1" applyFill="1" applyBorder="1" applyAlignment="1" applyProtection="1">
      <alignment horizontal="center" vertical="center"/>
      <protection hidden="1"/>
    </xf>
    <xf numFmtId="2" fontId="4" fillId="8" borderId="4" xfId="0" applyNumberFormat="1" applyFont="1" applyFill="1" applyBorder="1" applyAlignment="1" applyProtection="1">
      <alignment horizontal="center" vertical="center"/>
      <protection hidden="1"/>
    </xf>
    <xf numFmtId="2" fontId="6" fillId="7" borderId="4" xfId="0" applyNumberFormat="1" applyFont="1" applyFill="1" applyBorder="1" applyAlignment="1" applyProtection="1">
      <alignment horizontal="center" vertical="center"/>
      <protection locked="0"/>
    </xf>
    <xf numFmtId="166" fontId="4" fillId="8" borderId="4" xfId="0" applyNumberFormat="1" applyFont="1" applyFill="1" applyBorder="1" applyAlignment="1" applyProtection="1">
      <alignment vertical="center"/>
      <protection hidden="1"/>
    </xf>
    <xf numFmtId="2" fontId="4" fillId="8" borderId="4" xfId="0" applyNumberFormat="1" applyFont="1" applyFill="1" applyBorder="1" applyAlignment="1" applyProtection="1">
      <alignment vertical="center"/>
      <protection hidden="1"/>
    </xf>
    <xf numFmtId="49" fontId="4" fillId="0" borderId="0" xfId="4" applyNumberFormat="1" applyFont="1" applyAlignment="1" applyProtection="1">
      <alignment horizontal="center" vertical="center" textRotation="90" wrapText="1"/>
      <protection hidden="1"/>
    </xf>
    <xf numFmtId="44" fontId="4" fillId="0" borderId="4" xfId="2" applyFont="1" applyBorder="1" applyAlignment="1" applyProtection="1">
      <alignment horizontal="center" vertical="center"/>
      <protection hidden="1"/>
    </xf>
    <xf numFmtId="44" fontId="4" fillId="0" borderId="0" xfId="2" applyFont="1" applyAlignment="1" applyProtection="1">
      <alignment horizontal="center" vertical="center"/>
      <protection hidden="1"/>
    </xf>
    <xf numFmtId="2" fontId="4" fillId="0" borderId="0" xfId="4" applyNumberFormat="1" applyFont="1" applyAlignment="1" applyProtection="1">
      <alignment horizontal="center" vertical="center"/>
      <protection hidden="1"/>
    </xf>
    <xf numFmtId="2" fontId="4" fillId="0" borderId="0" xfId="4" applyNumberFormat="1" applyFont="1" applyAlignment="1" applyProtection="1">
      <alignment vertical="center"/>
      <protection hidden="1"/>
    </xf>
    <xf numFmtId="165" fontId="4" fillId="0" borderId="0" xfId="4" applyNumberFormat="1" applyFont="1" applyAlignment="1" applyProtection="1">
      <alignment horizontal="center" vertical="center"/>
      <protection hidden="1"/>
    </xf>
    <xf numFmtId="0" fontId="4" fillId="0" borderId="0" xfId="4" applyFont="1" applyAlignment="1" applyProtection="1">
      <alignment vertical="center"/>
      <protection hidden="1"/>
    </xf>
    <xf numFmtId="2" fontId="4" fillId="8" borderId="4" xfId="1" applyNumberFormat="1" applyFont="1" applyFill="1" applyBorder="1" applyAlignment="1" applyProtection="1">
      <alignment horizontal="center" vertical="center"/>
      <protection hidden="1"/>
    </xf>
    <xf numFmtId="165" fontId="4" fillId="8" borderId="4" xfId="4" applyNumberFormat="1" applyFont="1" applyFill="1" applyBorder="1" applyAlignment="1" applyProtection="1">
      <alignment horizontal="center" vertical="center"/>
      <protection hidden="1"/>
    </xf>
    <xf numFmtId="2" fontId="4" fillId="8" borderId="4" xfId="4" applyNumberFormat="1" applyFont="1" applyFill="1" applyBorder="1" applyAlignment="1" applyProtection="1">
      <alignment horizontal="center" vertical="center"/>
      <protection hidden="1"/>
    </xf>
    <xf numFmtId="165" fontId="4" fillId="3" borderId="4" xfId="4" applyNumberFormat="1" applyFont="1" applyFill="1" applyBorder="1" applyAlignment="1" applyProtection="1">
      <alignment horizontal="center" vertical="center"/>
      <protection locked="0"/>
    </xf>
    <xf numFmtId="4" fontId="4" fillId="0" borderId="4" xfId="4" applyNumberFormat="1" applyFont="1" applyBorder="1" applyAlignment="1" applyProtection="1">
      <alignment horizontal="center" vertical="center"/>
      <protection locked="0"/>
    </xf>
    <xf numFmtId="2" fontId="6" fillId="7" borderId="4" xfId="0" applyNumberFormat="1" applyFont="1" applyFill="1" applyBorder="1" applyAlignment="1" applyProtection="1">
      <alignment vertical="center"/>
      <protection hidden="1"/>
    </xf>
    <xf numFmtId="2" fontId="4" fillId="0" borderId="0" xfId="1" applyNumberFormat="1" applyFont="1" applyAlignment="1" applyProtection="1">
      <alignment horizontal="center" vertical="center"/>
      <protection hidden="1"/>
    </xf>
    <xf numFmtId="2" fontId="6" fillId="0" borderId="4" xfId="0" applyNumberFormat="1" applyFont="1" applyBorder="1" applyAlignment="1" applyProtection="1">
      <alignment horizontal="center" vertical="center"/>
      <protection locked="0"/>
    </xf>
    <xf numFmtId="0" fontId="9" fillId="9" borderId="2" xfId="0" applyFont="1" applyFill="1" applyBorder="1" applyAlignment="1">
      <alignment horizontal="center" vertical="center" wrapText="1"/>
    </xf>
    <xf numFmtId="2" fontId="4" fillId="3" borderId="4" xfId="1" applyNumberFormat="1" applyFont="1" applyFill="1" applyBorder="1" applyAlignment="1" applyProtection="1">
      <alignment horizontal="center" vertical="center"/>
      <protection hidden="1"/>
    </xf>
    <xf numFmtId="0" fontId="6" fillId="0" borderId="4" xfId="0" applyFont="1" applyBorder="1" applyAlignment="1" applyProtection="1">
      <alignment vertical="center"/>
      <protection hidden="1"/>
    </xf>
    <xf numFmtId="0" fontId="9" fillId="0" borderId="1" xfId="0" applyFont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3" xfId="2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3" xfId="0" applyNumberFormat="1" applyBorder="1" applyAlignment="1">
      <alignment horizontal="left" vertical="center"/>
    </xf>
    <xf numFmtId="49" fontId="6" fillId="0" borderId="13" xfId="7" applyNumberFormat="1" applyFont="1" applyBorder="1" applyAlignment="1">
      <alignment vertical="center"/>
    </xf>
    <xf numFmtId="49" fontId="6" fillId="0" borderId="13" xfId="5" applyNumberFormat="1" applyFont="1" applyBorder="1" applyAlignment="1">
      <alignment vertical="center"/>
    </xf>
    <xf numFmtId="49" fontId="6" fillId="0" borderId="13" xfId="5" applyNumberFormat="1" applyFont="1" applyBorder="1" applyAlignment="1">
      <alignment vertical="center" wrapText="1"/>
    </xf>
    <xf numFmtId="49" fontId="6" fillId="0" borderId="0" xfId="0" applyNumberFormat="1" applyFont="1" applyAlignment="1">
      <alignment horizontal="center" vertical="center"/>
    </xf>
    <xf numFmtId="0" fontId="17" fillId="10" borderId="10" xfId="0" applyFont="1" applyFill="1" applyBorder="1" applyAlignment="1">
      <alignment vertical="center"/>
    </xf>
    <xf numFmtId="2" fontId="17" fillId="10" borderId="10" xfId="2" applyNumberFormat="1" applyFont="1" applyFill="1" applyBorder="1" applyAlignment="1" applyProtection="1">
      <alignment horizontal="center" vertical="center"/>
    </xf>
    <xf numFmtId="165" fontId="17" fillId="10" borderId="10" xfId="2" applyNumberFormat="1" applyFont="1" applyFill="1" applyBorder="1" applyAlignment="1" applyProtection="1">
      <alignment horizontal="center" vertical="center"/>
    </xf>
    <xf numFmtId="0" fontId="17" fillId="10" borderId="11" xfId="0" applyFont="1" applyFill="1" applyBorder="1" applyAlignment="1">
      <alignment vertical="center"/>
    </xf>
    <xf numFmtId="164" fontId="17" fillId="10" borderId="10" xfId="2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Alignment="1">
      <alignment vertical="center"/>
    </xf>
    <xf numFmtId="165" fontId="0" fillId="0" borderId="0" xfId="2" applyNumberFormat="1" applyFont="1" applyAlignment="1">
      <alignment horizontal="center" vertical="center"/>
    </xf>
    <xf numFmtId="165" fontId="9" fillId="9" borderId="2" xfId="0" applyNumberFormat="1" applyFont="1" applyFill="1" applyBorder="1" applyAlignment="1">
      <alignment horizontal="center" vertical="center"/>
    </xf>
    <xf numFmtId="9" fontId="5" fillId="0" borderId="0" xfId="3" applyFont="1" applyAlignment="1">
      <alignment vertical="center"/>
    </xf>
    <xf numFmtId="9" fontId="16" fillId="0" borderId="0" xfId="3" applyFont="1" applyFill="1" applyAlignment="1">
      <alignment vertical="center"/>
    </xf>
    <xf numFmtId="9" fontId="0" fillId="0" borderId="0" xfId="3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49" fontId="9" fillId="9" borderId="3" xfId="0" applyNumberFormat="1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9" fontId="6" fillId="4" borderId="0" xfId="3" applyFont="1" applyFill="1" applyAlignment="1">
      <alignment horizontal="center" vertical="center"/>
    </xf>
    <xf numFmtId="9" fontId="6" fillId="14" borderId="0" xfId="3" applyFont="1" applyFill="1" applyAlignment="1">
      <alignment vertical="center"/>
    </xf>
    <xf numFmtId="1" fontId="6" fillId="0" borderId="4" xfId="0" applyNumberFormat="1" applyFont="1" applyBorder="1" applyAlignment="1">
      <alignment horizontal="center" vertical="center"/>
    </xf>
    <xf numFmtId="49" fontId="11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horizontal="center" vertical="center"/>
    </xf>
    <xf numFmtId="44" fontId="11" fillId="10" borderId="0" xfId="2" applyFont="1" applyFill="1" applyAlignment="1" applyProtection="1">
      <alignment horizontal="center" vertical="center"/>
      <protection locked="0"/>
    </xf>
    <xf numFmtId="49" fontId="4" fillId="0" borderId="0" xfId="4" applyNumberFormat="1" applyFont="1" applyAlignment="1" applyProtection="1">
      <alignment horizontal="center" vertical="center"/>
      <protection hidden="1"/>
    </xf>
    <xf numFmtId="2" fontId="4" fillId="0" borderId="4" xfId="4" applyNumberFormat="1" applyFont="1" applyBorder="1" applyAlignment="1" applyProtection="1">
      <alignment horizontal="center" vertical="center"/>
      <protection locked="0"/>
    </xf>
    <xf numFmtId="2" fontId="4" fillId="0" borderId="4" xfId="4" applyNumberFormat="1" applyFont="1" applyBorder="1" applyAlignment="1" applyProtection="1">
      <alignment horizontal="center" vertical="center"/>
      <protection hidden="1"/>
    </xf>
    <xf numFmtId="0" fontId="6" fillId="0" borderId="1" xfId="0" applyFont="1" applyBorder="1" applyAlignment="1">
      <alignment vertical="center"/>
    </xf>
    <xf numFmtId="0" fontId="6" fillId="0" borderId="5" xfId="0" applyFont="1" applyBorder="1" applyAlignment="1" applyProtection="1">
      <alignment vertical="center"/>
      <protection hidden="1"/>
    </xf>
    <xf numFmtId="49" fontId="6" fillId="0" borderId="4" xfId="4" applyNumberFormat="1" applyFont="1" applyBorder="1" applyAlignment="1" applyProtection="1">
      <alignment horizontal="center" vertical="center"/>
      <protection locked="0"/>
    </xf>
    <xf numFmtId="165" fontId="14" fillId="20" borderId="4" xfId="4" applyNumberFormat="1" applyFont="1" applyFill="1" applyBorder="1" applyAlignment="1" applyProtection="1">
      <alignment vertical="center" wrapText="1"/>
      <protection hidden="1"/>
    </xf>
    <xf numFmtId="44" fontId="4" fillId="20" borderId="4" xfId="2" applyFont="1" applyFill="1" applyBorder="1" applyAlignment="1" applyProtection="1">
      <alignment horizontal="center" vertical="center"/>
      <protection hidden="1"/>
    </xf>
    <xf numFmtId="165" fontId="4" fillId="20" borderId="4" xfId="1" applyNumberFormat="1" applyFont="1" applyFill="1" applyBorder="1" applyAlignment="1" applyProtection="1">
      <alignment horizontal="center" vertical="center" wrapText="1"/>
      <protection hidden="1"/>
    </xf>
    <xf numFmtId="2" fontId="4" fillId="0" borderId="1" xfId="4" applyNumberFormat="1" applyFont="1" applyBorder="1" applyAlignment="1" applyProtection="1">
      <alignment horizontal="center" vertical="center" wrapText="1"/>
      <protection hidden="1"/>
    </xf>
    <xf numFmtId="2" fontId="4" fillId="0" borderId="1" xfId="1" applyNumberFormat="1" applyFont="1" applyFill="1" applyBorder="1" applyAlignment="1" applyProtection="1">
      <alignment horizontal="center" vertical="center" wrapText="1"/>
      <protection hidden="1"/>
    </xf>
    <xf numFmtId="165" fontId="4" fillId="0" borderId="1" xfId="4" applyNumberFormat="1" applyFont="1" applyBorder="1" applyAlignment="1" applyProtection="1">
      <alignment horizontal="center" vertical="center" wrapText="1"/>
      <protection hidden="1"/>
    </xf>
    <xf numFmtId="49" fontId="4" fillId="11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2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8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4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9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7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5" borderId="1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0" borderId="4" xfId="0" applyNumberFormat="1" applyFont="1" applyBorder="1" applyAlignment="1" applyProtection="1">
      <alignment horizontal="center" vertical="center"/>
      <protection hidden="1"/>
    </xf>
    <xf numFmtId="165" fontId="4" fillId="0" borderId="4" xfId="4" applyNumberFormat="1" applyFont="1" applyBorder="1" applyAlignment="1" applyProtection="1">
      <alignment horizontal="center" vertical="center"/>
      <protection hidden="1"/>
    </xf>
    <xf numFmtId="2" fontId="4" fillId="18" borderId="4" xfId="4" applyNumberFormat="1" applyFont="1" applyFill="1" applyBorder="1" applyAlignment="1" applyProtection="1">
      <alignment horizontal="center" vertical="center" wrapText="1"/>
      <protection hidden="1"/>
    </xf>
    <xf numFmtId="165" fontId="4" fillId="0" borderId="4" xfId="4" applyNumberFormat="1" applyFont="1" applyBorder="1" applyAlignment="1" applyProtection="1">
      <alignment vertical="center" wrapText="1"/>
      <protection hidden="1"/>
    </xf>
    <xf numFmtId="44" fontId="4" fillId="0" borderId="4" xfId="2" applyFont="1" applyFill="1" applyBorder="1" applyAlignment="1" applyProtection="1">
      <alignment horizontal="center" vertical="center"/>
      <protection hidden="1"/>
    </xf>
    <xf numFmtId="165" fontId="4" fillId="0" borderId="4" xfId="2" applyNumberFormat="1" applyFont="1" applyFill="1" applyBorder="1" applyAlignment="1" applyProtection="1">
      <alignment horizontal="center" vertical="center"/>
      <protection hidden="1"/>
    </xf>
    <xf numFmtId="165" fontId="4" fillId="0" borderId="4" xfId="2" applyNumberFormat="1" applyFont="1" applyFill="1" applyBorder="1" applyAlignment="1" applyProtection="1">
      <alignment horizontal="center" vertical="center" wrapText="1"/>
      <protection hidden="1"/>
    </xf>
    <xf numFmtId="0" fontId="6" fillId="0" borderId="4" xfId="0" applyFont="1" applyBorder="1" applyAlignment="1">
      <alignment horizontal="left" vertical="center"/>
    </xf>
    <xf numFmtId="49" fontId="9" fillId="7" borderId="4" xfId="0" applyNumberFormat="1" applyFont="1" applyFill="1" applyBorder="1" applyAlignment="1">
      <alignment horizontal="center" vertical="center"/>
    </xf>
    <xf numFmtId="49" fontId="9" fillId="7" borderId="4" xfId="0" applyNumberFormat="1" applyFont="1" applyFill="1" applyBorder="1" applyAlignment="1">
      <alignment horizontal="left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2" fontId="4" fillId="20" borderId="4" xfId="1" applyNumberFormat="1" applyFont="1" applyFill="1" applyBorder="1" applyAlignment="1" applyProtection="1">
      <alignment horizontal="center" vertical="center" wrapText="1"/>
      <protection hidden="1"/>
    </xf>
    <xf numFmtId="49" fontId="9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49" fontId="4" fillId="12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21" borderId="14" xfId="4" applyNumberFormat="1" applyFont="1" applyFill="1" applyBorder="1" applyAlignment="1" applyProtection="1">
      <alignment horizontal="center" vertical="center" textRotation="90" wrapText="1"/>
      <protection hidden="1"/>
    </xf>
    <xf numFmtId="49" fontId="4" fillId="19" borderId="14" xfId="4" applyNumberFormat="1" applyFont="1" applyFill="1" applyBorder="1" applyAlignment="1" applyProtection="1">
      <alignment horizontal="center" vertical="center" textRotation="90" wrapText="1"/>
      <protection hidden="1"/>
    </xf>
    <xf numFmtId="2" fontId="4" fillId="0" borderId="4" xfId="1" applyNumberFormat="1" applyFont="1" applyFill="1" applyBorder="1" applyAlignment="1" applyProtection="1">
      <alignment horizontal="center" vertical="center"/>
      <protection hidden="1"/>
    </xf>
    <xf numFmtId="4" fontId="4" fillId="18" borderId="4" xfId="4" applyNumberFormat="1" applyFont="1" applyFill="1" applyBorder="1" applyAlignment="1" applyProtection="1">
      <alignment horizontal="center" vertical="center" wrapText="1"/>
      <protection hidden="1"/>
    </xf>
    <xf numFmtId="167" fontId="4" fillId="0" borderId="0" xfId="4" applyNumberFormat="1" applyFont="1" applyAlignment="1" applyProtection="1">
      <alignment horizontal="center" vertical="center"/>
      <protection hidden="1"/>
    </xf>
    <xf numFmtId="49" fontId="6" fillId="0" borderId="1" xfId="0" applyNumberFormat="1" applyFont="1" applyBorder="1" applyAlignment="1" applyProtection="1">
      <alignment horizontal="center"/>
      <protection hidden="1"/>
    </xf>
    <xf numFmtId="2" fontId="4" fillId="11" borderId="4" xfId="4" applyNumberFormat="1" applyFont="1" applyFill="1" applyBorder="1" applyAlignment="1" applyProtection="1">
      <alignment horizontal="center" vertical="center"/>
      <protection hidden="1"/>
    </xf>
    <xf numFmtId="49" fontId="6" fillId="0" borderId="3" xfId="0" applyNumberFormat="1" applyFont="1" applyBorder="1" applyAlignment="1" applyProtection="1">
      <alignment horizontal="center" vertical="center"/>
      <protection hidden="1"/>
    </xf>
    <xf numFmtId="2" fontId="4" fillId="0" borderId="3" xfId="4" applyNumberFormat="1" applyFont="1" applyBorder="1" applyAlignment="1" applyProtection="1">
      <alignment horizontal="center" vertical="center" wrapText="1"/>
      <protection hidden="1"/>
    </xf>
    <xf numFmtId="44" fontId="4" fillId="0" borderId="3" xfId="2" applyFont="1" applyFill="1" applyBorder="1" applyAlignment="1" applyProtection="1">
      <alignment horizontal="center" vertical="center"/>
      <protection hidden="1"/>
    </xf>
    <xf numFmtId="2" fontId="4" fillId="0" borderId="3" xfId="2" applyNumberFormat="1" applyFont="1" applyBorder="1" applyAlignment="1" applyProtection="1">
      <alignment horizontal="center" vertical="center"/>
      <protection hidden="1"/>
    </xf>
    <xf numFmtId="165" fontId="4" fillId="6" borderId="3" xfId="2" applyNumberFormat="1" applyFont="1" applyFill="1" applyBorder="1" applyAlignment="1" applyProtection="1">
      <alignment horizontal="center" vertical="center"/>
      <protection hidden="1"/>
    </xf>
    <xf numFmtId="2" fontId="4" fillId="0" borderId="3" xfId="4" applyNumberFormat="1" applyFont="1" applyBorder="1" applyAlignment="1" applyProtection="1">
      <alignment horizontal="center" vertical="center"/>
      <protection hidden="1"/>
    </xf>
    <xf numFmtId="49" fontId="4" fillId="0" borderId="4" xfId="2" applyNumberFormat="1" applyFont="1" applyBorder="1" applyAlignment="1" applyProtection="1">
      <alignment horizontal="center" vertical="center"/>
      <protection hidden="1"/>
    </xf>
    <xf numFmtId="49" fontId="6" fillId="0" borderId="4" xfId="0" applyNumberFormat="1" applyFont="1" applyBorder="1" applyAlignment="1" applyProtection="1">
      <alignment horizontal="center" vertical="center"/>
      <protection hidden="1"/>
    </xf>
    <xf numFmtId="49" fontId="6" fillId="20" borderId="4" xfId="0" applyNumberFormat="1" applyFont="1" applyFill="1" applyBorder="1" applyAlignment="1" applyProtection="1">
      <alignment horizontal="center" vertical="center"/>
      <protection hidden="1"/>
    </xf>
    <xf numFmtId="49" fontId="6" fillId="7" borderId="4" xfId="0" applyNumberFormat="1" applyFont="1" applyFill="1" applyBorder="1" applyAlignment="1" applyProtection="1">
      <alignment horizontal="center" vertical="center"/>
      <protection hidden="1"/>
    </xf>
    <xf numFmtId="49" fontId="4" fillId="8" borderId="4" xfId="0" applyNumberFormat="1" applyFont="1" applyFill="1" applyBorder="1" applyAlignment="1" applyProtection="1">
      <alignment horizontal="center" vertical="center"/>
      <protection hidden="1"/>
    </xf>
    <xf numFmtId="49" fontId="6" fillId="0" borderId="4" xfId="0" applyNumberFormat="1" applyFont="1" applyBorder="1" applyAlignment="1" applyProtection="1">
      <alignment horizontal="center"/>
      <protection hidden="1"/>
    </xf>
    <xf numFmtId="49" fontId="6" fillId="0" borderId="5" xfId="0" applyNumberFormat="1" applyFont="1" applyBorder="1" applyAlignment="1" applyProtection="1">
      <alignment horizontal="center" vertical="center"/>
      <protection hidden="1"/>
    </xf>
    <xf numFmtId="2" fontId="6" fillId="0" borderId="5" xfId="0" applyNumberFormat="1" applyFont="1" applyBorder="1" applyAlignment="1" applyProtection="1">
      <alignment horizontal="center" vertical="center"/>
      <protection locked="0"/>
    </xf>
    <xf numFmtId="4" fontId="4" fillId="0" borderId="5" xfId="4" applyNumberFormat="1" applyFont="1" applyBorder="1" applyAlignment="1" applyProtection="1">
      <alignment horizontal="center" vertical="center"/>
      <protection locked="0"/>
    </xf>
    <xf numFmtId="168" fontId="4" fillId="0" borderId="1" xfId="1" applyNumberFormat="1" applyFont="1" applyBorder="1" applyAlignment="1" applyProtection="1">
      <alignment horizontal="center" vertical="center" wrapText="1"/>
      <protection hidden="1"/>
    </xf>
    <xf numFmtId="168" fontId="4" fillId="0" borderId="3" xfId="1" applyNumberFormat="1" applyFont="1" applyBorder="1" applyAlignment="1" applyProtection="1">
      <alignment horizontal="center" vertical="center" wrapText="1"/>
      <protection hidden="1"/>
    </xf>
    <xf numFmtId="168" fontId="4" fillId="0" borderId="3" xfId="1" applyNumberFormat="1" applyFont="1" applyBorder="1" applyAlignment="1" applyProtection="1">
      <alignment horizontal="center" vertical="center"/>
      <protection hidden="1"/>
    </xf>
    <xf numFmtId="168" fontId="4" fillId="0" borderId="4" xfId="1" applyNumberFormat="1" applyFont="1" applyFill="1" applyBorder="1" applyAlignment="1" applyProtection="1">
      <alignment horizontal="center" vertical="center"/>
      <protection hidden="1"/>
    </xf>
    <xf numFmtId="168" fontId="6" fillId="0" borderId="4" xfId="1" applyNumberFormat="1" applyFont="1" applyBorder="1" applyAlignment="1" applyProtection="1">
      <alignment horizontal="center" vertical="center"/>
      <protection locked="0"/>
    </xf>
    <xf numFmtId="168" fontId="4" fillId="0" borderId="4" xfId="1" applyNumberFormat="1" applyFont="1" applyBorder="1" applyAlignment="1" applyProtection="1">
      <alignment horizontal="center" vertical="center" wrapText="1"/>
      <protection hidden="1"/>
    </xf>
    <xf numFmtId="168" fontId="14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4" fillId="20" borderId="4" xfId="1" applyNumberFormat="1" applyFont="1" applyFill="1" applyBorder="1" applyAlignment="1" applyProtection="1">
      <alignment horizontal="center" vertical="center" wrapText="1"/>
      <protection hidden="1"/>
    </xf>
    <xf numFmtId="168" fontId="6" fillId="7" borderId="4" xfId="1" applyNumberFormat="1" applyFont="1" applyFill="1" applyBorder="1" applyAlignment="1" applyProtection="1">
      <alignment horizontal="center" vertical="center"/>
      <protection hidden="1"/>
    </xf>
    <xf numFmtId="168" fontId="6" fillId="7" borderId="4" xfId="1" applyNumberFormat="1" applyFont="1" applyFill="1" applyBorder="1" applyAlignment="1" applyProtection="1">
      <alignment horizontal="center" vertical="center"/>
      <protection locked="0"/>
    </xf>
    <xf numFmtId="168" fontId="4" fillId="8" borderId="4" xfId="1" applyNumberFormat="1" applyFont="1" applyFill="1" applyBorder="1" applyAlignment="1" applyProtection="1">
      <alignment horizontal="center" vertical="center"/>
      <protection hidden="1"/>
    </xf>
    <xf numFmtId="168" fontId="6" fillId="0" borderId="4" xfId="1" applyNumberFormat="1" applyFont="1" applyBorder="1" applyAlignment="1" applyProtection="1">
      <alignment horizontal="center" vertical="center"/>
      <protection hidden="1"/>
    </xf>
    <xf numFmtId="168" fontId="6" fillId="0" borderId="5" xfId="1" applyNumberFormat="1" applyFont="1" applyBorder="1" applyAlignment="1" applyProtection="1">
      <alignment horizontal="center" vertical="center"/>
      <protection locked="0"/>
    </xf>
    <xf numFmtId="168" fontId="4" fillId="0" borderId="0" xfId="1" applyNumberFormat="1" applyFont="1" applyAlignment="1" applyProtection="1">
      <alignment horizontal="center" vertical="center"/>
      <protection hidden="1"/>
    </xf>
    <xf numFmtId="167" fontId="6" fillId="0" borderId="4" xfId="1" applyNumberFormat="1" applyFont="1" applyBorder="1" applyAlignment="1" applyProtection="1">
      <alignment horizontal="center" vertical="center"/>
      <protection hidden="1"/>
    </xf>
    <xf numFmtId="49" fontId="4" fillId="11" borderId="4" xfId="0" applyNumberFormat="1" applyFont="1" applyFill="1" applyBorder="1" applyAlignment="1" applyProtection="1">
      <alignment horizontal="center"/>
      <protection hidden="1"/>
    </xf>
    <xf numFmtId="166" fontId="4" fillId="11" borderId="4" xfId="0" applyNumberFormat="1" applyFont="1" applyFill="1" applyBorder="1" applyAlignment="1" applyProtection="1">
      <alignment vertical="center"/>
      <protection hidden="1"/>
    </xf>
    <xf numFmtId="2" fontId="6" fillId="11" borderId="4" xfId="0" applyNumberFormat="1" applyFont="1" applyFill="1" applyBorder="1" applyAlignment="1" applyProtection="1">
      <alignment horizontal="center" vertical="center"/>
      <protection locked="0"/>
    </xf>
    <xf numFmtId="168" fontId="6" fillId="11" borderId="4" xfId="1" applyNumberFormat="1" applyFont="1" applyFill="1" applyBorder="1" applyAlignment="1" applyProtection="1">
      <alignment horizontal="center" vertical="center"/>
      <protection hidden="1"/>
    </xf>
    <xf numFmtId="168" fontId="6" fillId="11" borderId="4" xfId="1" applyNumberFormat="1" applyFont="1" applyFill="1" applyBorder="1" applyAlignment="1" applyProtection="1">
      <alignment horizontal="center" vertical="center"/>
      <protection locked="0"/>
    </xf>
    <xf numFmtId="165" fontId="4" fillId="11" borderId="4" xfId="4" applyNumberFormat="1" applyFont="1" applyFill="1" applyBorder="1" applyAlignment="1" applyProtection="1">
      <alignment horizontal="center" vertical="center"/>
      <protection locked="0"/>
    </xf>
    <xf numFmtId="2" fontId="4" fillId="11" borderId="4" xfId="4" applyNumberFormat="1" applyFont="1" applyFill="1" applyBorder="1" applyAlignment="1" applyProtection="1">
      <alignment horizontal="center" vertical="center"/>
      <protection locked="0"/>
    </xf>
    <xf numFmtId="0" fontId="0" fillId="22" borderId="0" xfId="0" applyFill="1"/>
    <xf numFmtId="0" fontId="18" fillId="22" borderId="0" xfId="0" applyFont="1" applyFill="1"/>
    <xf numFmtId="0" fontId="19" fillId="22" borderId="0" xfId="0" applyFont="1" applyFill="1"/>
    <xf numFmtId="49" fontId="20" fillId="0" borderId="0" xfId="10" applyNumberFormat="1" applyAlignment="1">
      <alignment horizontal="center"/>
    </xf>
    <xf numFmtId="0" fontId="20" fillId="0" borderId="0" xfId="10"/>
    <xf numFmtId="49" fontId="20" fillId="0" borderId="0" xfId="10" applyNumberFormat="1"/>
    <xf numFmtId="44" fontId="0" fillId="0" borderId="0" xfId="11" applyFont="1"/>
    <xf numFmtId="9" fontId="0" fillId="0" borderId="0" xfId="12" applyFont="1"/>
    <xf numFmtId="44" fontId="6" fillId="0" borderId="0" xfId="2" applyFont="1" applyAlignment="1">
      <alignment horizontal="center" vertical="center"/>
    </xf>
    <xf numFmtId="44" fontId="9" fillId="9" borderId="3" xfId="2" applyFont="1" applyFill="1" applyBorder="1" applyAlignment="1">
      <alignment horizontal="center" vertical="center"/>
    </xf>
    <xf numFmtId="44" fontId="9" fillId="7" borderId="4" xfId="2" applyFont="1" applyFill="1" applyBorder="1" applyAlignment="1">
      <alignment horizontal="center" vertical="center"/>
    </xf>
    <xf numFmtId="44" fontId="6" fillId="0" borderId="4" xfId="2" applyFont="1" applyBorder="1" applyAlignment="1">
      <alignment horizontal="center" vertical="center"/>
    </xf>
    <xf numFmtId="44" fontId="11" fillId="10" borderId="0" xfId="2" applyFont="1" applyFill="1" applyAlignment="1">
      <alignment horizontal="center" vertical="center"/>
    </xf>
    <xf numFmtId="43" fontId="6" fillId="0" borderId="0" xfId="1" applyFont="1" applyAlignment="1">
      <alignment horizontal="center" vertical="center"/>
    </xf>
    <xf numFmtId="43" fontId="9" fillId="9" borderId="3" xfId="1" applyFont="1" applyFill="1" applyBorder="1" applyAlignment="1">
      <alignment horizontal="center" vertical="center"/>
    </xf>
    <xf numFmtId="43" fontId="9" fillId="7" borderId="4" xfId="1" applyFont="1" applyFill="1" applyBorder="1" applyAlignment="1">
      <alignment horizontal="center" vertical="center"/>
    </xf>
    <xf numFmtId="43" fontId="6" fillId="0" borderId="4" xfId="1" applyFont="1" applyBorder="1" applyAlignment="1">
      <alignment horizontal="center" vertical="center"/>
    </xf>
    <xf numFmtId="43" fontId="11" fillId="10" borderId="0" xfId="1" applyFont="1" applyFill="1" applyAlignment="1" applyProtection="1">
      <alignment horizontal="center" vertical="center"/>
      <protection locked="0"/>
    </xf>
    <xf numFmtId="44" fontId="9" fillId="18" borderId="0" xfId="2" applyFont="1" applyFill="1" applyAlignment="1">
      <alignment vertical="center"/>
    </xf>
    <xf numFmtId="44" fontId="6" fillId="0" borderId="0" xfId="2" applyFont="1" applyAlignment="1">
      <alignment vertical="center"/>
    </xf>
    <xf numFmtId="44" fontId="9" fillId="0" borderId="0" xfId="2" applyFont="1" applyAlignment="1">
      <alignment vertical="center"/>
    </xf>
    <xf numFmtId="44" fontId="6" fillId="18" borderId="0" xfId="2" applyFont="1" applyFill="1" applyAlignment="1">
      <alignment vertical="center"/>
    </xf>
    <xf numFmtId="9" fontId="20" fillId="0" borderId="0" xfId="10" applyNumberFormat="1"/>
    <xf numFmtId="166" fontId="4" fillId="0" borderId="4" xfId="0" applyNumberFormat="1" applyFont="1" applyBorder="1" applyAlignment="1" applyProtection="1">
      <alignment horizontal="left" vertical="center" indent="1"/>
      <protection hidden="1"/>
    </xf>
    <xf numFmtId="2" fontId="4" fillId="0" borderId="4" xfId="0" applyNumberFormat="1" applyFont="1" applyBorder="1" applyAlignment="1" applyProtection="1">
      <alignment horizontal="left" vertical="center" indent="1"/>
      <protection hidden="1"/>
    </xf>
    <xf numFmtId="44" fontId="6" fillId="0" borderId="4" xfId="2" applyFont="1" applyBorder="1" applyAlignment="1">
      <alignment vertical="center"/>
    </xf>
    <xf numFmtId="43" fontId="11" fillId="10" borderId="0" xfId="1" applyFont="1" applyFill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44" fontId="6" fillId="0" borderId="3" xfId="2" applyFont="1" applyBorder="1" applyAlignment="1">
      <alignment horizontal="center" vertical="center"/>
    </xf>
    <xf numFmtId="44" fontId="6" fillId="0" borderId="3" xfId="2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44" fontId="6" fillId="0" borderId="5" xfId="2" applyFont="1" applyBorder="1" applyAlignment="1">
      <alignment horizontal="center" vertical="center"/>
    </xf>
    <xf numFmtId="44" fontId="6" fillId="0" borderId="5" xfId="2" applyFont="1" applyBorder="1" applyAlignment="1">
      <alignment vertical="center"/>
    </xf>
    <xf numFmtId="43" fontId="11" fillId="10" borderId="0" xfId="0" applyNumberFormat="1" applyFont="1" applyFill="1" applyAlignment="1">
      <alignment vertical="center"/>
    </xf>
    <xf numFmtId="0" fontId="1" fillId="0" borderId="0" xfId="10" applyFont="1"/>
    <xf numFmtId="165" fontId="4" fillId="11" borderId="4" xfId="2" applyNumberFormat="1" applyFont="1" applyFill="1" applyBorder="1" applyAlignment="1" applyProtection="1">
      <alignment horizontal="center" vertical="center"/>
      <protection locked="0"/>
    </xf>
    <xf numFmtId="49" fontId="21" fillId="23" borderId="14" xfId="13" applyNumberFormat="1" applyBorder="1" applyAlignment="1" applyProtection="1">
      <alignment horizontal="center" vertical="center" textRotation="90" wrapText="1"/>
      <protection hidden="1"/>
    </xf>
    <xf numFmtId="165" fontId="21" fillId="23" borderId="3" xfId="13" applyNumberFormat="1" applyBorder="1" applyAlignment="1" applyProtection="1">
      <alignment horizontal="center" vertical="center"/>
      <protection hidden="1"/>
    </xf>
    <xf numFmtId="4" fontId="21" fillId="23" borderId="4" xfId="13" applyNumberFormat="1" applyBorder="1" applyAlignment="1" applyProtection="1">
      <alignment horizontal="center" vertical="center" wrapText="1"/>
      <protection hidden="1"/>
    </xf>
    <xf numFmtId="165" fontId="21" fillId="23" borderId="4" xfId="13" applyNumberFormat="1" applyBorder="1" applyAlignment="1" applyProtection="1">
      <alignment horizontal="center" vertical="center" wrapText="1"/>
      <protection hidden="1"/>
    </xf>
    <xf numFmtId="2" fontId="21" fillId="23" borderId="4" xfId="13" applyNumberFormat="1" applyBorder="1" applyAlignment="1" applyProtection="1">
      <alignment horizontal="center" vertical="center"/>
      <protection hidden="1"/>
    </xf>
    <xf numFmtId="4" fontId="21" fillId="23" borderId="4" xfId="13" applyNumberFormat="1" applyBorder="1" applyAlignment="1" applyProtection="1">
      <alignment horizontal="center" vertical="center"/>
      <protection locked="0"/>
    </xf>
    <xf numFmtId="165" fontId="21" fillId="23" borderId="4" xfId="13" applyNumberFormat="1" applyBorder="1" applyAlignment="1" applyProtection="1">
      <alignment horizontal="center" vertical="center"/>
      <protection hidden="1"/>
    </xf>
    <xf numFmtId="2" fontId="21" fillId="23" borderId="4" xfId="13" applyNumberFormat="1" applyBorder="1" applyAlignment="1" applyProtection="1">
      <alignment horizontal="center" vertical="center"/>
      <protection locked="0"/>
    </xf>
    <xf numFmtId="4" fontId="21" fillId="23" borderId="5" xfId="13" applyNumberFormat="1" applyBorder="1" applyAlignment="1" applyProtection="1">
      <alignment horizontal="center" vertical="center"/>
      <protection locked="0"/>
    </xf>
    <xf numFmtId="164" fontId="11" fillId="10" borderId="0" xfId="2" applyNumberFormat="1" applyFont="1" applyFill="1" applyAlignment="1">
      <alignment horizontal="center" vertical="center" wrapText="1"/>
    </xf>
    <xf numFmtId="0" fontId="11" fillId="10" borderId="0" xfId="0" applyFont="1" applyFill="1"/>
    <xf numFmtId="165" fontId="11" fillId="10" borderId="0" xfId="2" applyNumberFormat="1" applyFont="1" applyFill="1" applyAlignment="1">
      <alignment horizontal="center" vertical="center"/>
    </xf>
    <xf numFmtId="165" fontId="11" fillId="10" borderId="0" xfId="1" applyNumberFormat="1" applyFont="1" applyFill="1" applyAlignment="1">
      <alignment horizontal="center" vertical="center"/>
    </xf>
    <xf numFmtId="49" fontId="4" fillId="0" borderId="4" xfId="0" applyNumberFormat="1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22" borderId="0" xfId="0" quotePrefix="1" applyFill="1"/>
    <xf numFmtId="0" fontId="6" fillId="0" borderId="4" xfId="1" applyNumberFormat="1" applyFont="1" applyBorder="1" applyAlignment="1" applyProtection="1">
      <alignment horizontal="center" vertical="center"/>
      <protection hidden="1"/>
    </xf>
    <xf numFmtId="2" fontId="4" fillId="24" borderId="0" xfId="4" applyNumberFormat="1" applyFont="1" applyFill="1" applyAlignment="1" applyProtection="1">
      <alignment horizontal="center" vertical="center"/>
      <protection hidden="1"/>
    </xf>
    <xf numFmtId="2" fontId="6" fillId="24" borderId="0" xfId="0" applyNumberFormat="1" applyFont="1" applyFill="1" applyAlignment="1" applyProtection="1">
      <alignment horizontal="center" vertical="center"/>
      <protection hidden="1"/>
    </xf>
    <xf numFmtId="49" fontId="4" fillId="24" borderId="0" xfId="4" applyNumberFormat="1" applyFont="1" applyFill="1" applyAlignment="1" applyProtection="1">
      <alignment horizontal="center" vertical="center" textRotation="90" wrapText="1"/>
      <protection hidden="1"/>
    </xf>
    <xf numFmtId="165" fontId="4" fillId="24" borderId="0" xfId="4" applyNumberFormat="1" applyFont="1" applyFill="1" applyAlignment="1" applyProtection="1">
      <alignment horizontal="center" vertical="center"/>
      <protection hidden="1"/>
    </xf>
    <xf numFmtId="2" fontId="4" fillId="24" borderId="0" xfId="4" applyNumberFormat="1" applyFont="1" applyFill="1" applyAlignment="1" applyProtection="1">
      <alignment horizontal="center" vertical="center"/>
      <protection locked="0"/>
    </xf>
    <xf numFmtId="4" fontId="4" fillId="18" borderId="15" xfId="4" applyNumberFormat="1" applyFont="1" applyFill="1" applyBorder="1" applyAlignment="1" applyProtection="1">
      <alignment horizontal="center" vertical="center" wrapText="1"/>
      <protection hidden="1"/>
    </xf>
    <xf numFmtId="165" fontId="4" fillId="0" borderId="1" xfId="2" applyNumberFormat="1" applyFont="1" applyFill="1" applyBorder="1" applyAlignment="1" applyProtection="1">
      <alignment horizontal="center" vertical="center" wrapText="1"/>
      <protection hidden="1"/>
    </xf>
    <xf numFmtId="2" fontId="4" fillId="0" borderId="16" xfId="4" applyNumberFormat="1" applyFont="1" applyBorder="1" applyAlignment="1" applyProtection="1">
      <alignment horizontal="center" vertical="center"/>
      <protection hidden="1"/>
    </xf>
    <xf numFmtId="4" fontId="4" fillId="18" borderId="17" xfId="4" applyNumberFormat="1" applyFont="1" applyFill="1" applyBorder="1" applyAlignment="1" applyProtection="1">
      <alignment horizontal="center" vertical="center" wrapText="1"/>
      <protection hidden="1"/>
    </xf>
    <xf numFmtId="165" fontId="4" fillId="0" borderId="12" xfId="2" applyNumberFormat="1" applyFont="1" applyFill="1" applyBorder="1" applyAlignment="1" applyProtection="1">
      <alignment horizontal="center" vertical="center" wrapText="1"/>
      <protection hidden="1"/>
    </xf>
  </cellXfs>
  <cellStyles count="14">
    <cellStyle name="Comma" xfId="1" builtinId="3"/>
    <cellStyle name="Currency" xfId="2" builtinId="4"/>
    <cellStyle name="Currency 2" xfId="11" xr:uid="{B912124C-DFFC-4812-BF94-384508EE6A45}"/>
    <cellStyle name="Good" xfId="13" builtinId="26"/>
    <cellStyle name="Normal" xfId="0" builtinId="0"/>
    <cellStyle name="Normal 13" xfId="8" xr:uid="{D2FFFA42-06D8-45CE-A3C4-30135F8AE7E4}"/>
    <cellStyle name="Normal 2" xfId="9" xr:uid="{27E725ED-E502-4489-9EB6-0F0FEC147E27}"/>
    <cellStyle name="Normal 2 2" xfId="5" xr:uid="{0A431593-2858-4545-AD48-55764D85D728}"/>
    <cellStyle name="Normal 2 2 2" xfId="7" xr:uid="{75CF5721-BB02-46AE-A905-D433B00CDD66}"/>
    <cellStyle name="Normal 3" xfId="10" xr:uid="{8AE259CD-92D6-43EA-ADAB-9EED89FF21EC}"/>
    <cellStyle name="Normal 3 2" xfId="4" xr:uid="{BC934EA3-0331-418F-B7C8-3C6E4DE637B4}"/>
    <cellStyle name="Percent" xfId="3" builtinId="5"/>
    <cellStyle name="Percent 2" xfId="6" xr:uid="{27E286A5-E5ED-42D3-9E4F-C28E7E29CFCF}"/>
    <cellStyle name="Percent 3" xfId="12" xr:uid="{76BDF02D-F690-4045-B005-871FC54A409F}"/>
  </cellStyles>
  <dxfs count="1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168" formatCode="#,##0.0_ ;\-#,##0.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mbria"/>
        <family val="1"/>
        <scheme val="none"/>
      </font>
      <numFmt numFmtId="30" formatCode="@"/>
      <alignment horizontal="center" vertical="center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165" formatCode="&quot;$&quot;#,##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mbria"/>
        <family val="1"/>
        <scheme val="none"/>
      </font>
      <fill>
        <patternFill patternType="solid">
          <fgColor indexed="64"/>
          <bgColor rgb="FF78121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DE9B645B-4CAF-45FA-B407-6AA77FF428D8}"/>
  </tableStyles>
  <colors>
    <mruColors>
      <color rgb="FF630811"/>
      <color rgb="FFD2F0D2"/>
      <color rgb="FFFFBC9B"/>
      <color rgb="FFCCFFFF"/>
      <color rgb="FFCCFFCC"/>
      <color rgb="FFCDC800"/>
      <color rgb="FFFF6010"/>
      <color rgb="FF008200"/>
      <color rgb="FFE5FFE5"/>
      <color rgb="FFFFD6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73.emf"/><Relationship Id="rId21" Type="http://schemas.openxmlformats.org/officeDocument/2006/relationships/image" Target="../media/image169.emf"/><Relationship Id="rId42" Type="http://schemas.openxmlformats.org/officeDocument/2006/relationships/image" Target="../media/image148.emf"/><Relationship Id="rId47" Type="http://schemas.openxmlformats.org/officeDocument/2006/relationships/image" Target="../media/image143.emf"/><Relationship Id="rId63" Type="http://schemas.openxmlformats.org/officeDocument/2006/relationships/image" Target="../media/image127.emf"/><Relationship Id="rId68" Type="http://schemas.openxmlformats.org/officeDocument/2006/relationships/image" Target="../media/image122.emf"/><Relationship Id="rId84" Type="http://schemas.openxmlformats.org/officeDocument/2006/relationships/image" Target="../media/image106.emf"/><Relationship Id="rId89" Type="http://schemas.openxmlformats.org/officeDocument/2006/relationships/image" Target="../media/image101.emf"/><Relationship Id="rId112" Type="http://schemas.openxmlformats.org/officeDocument/2006/relationships/image" Target="../media/image78.emf"/><Relationship Id="rId133" Type="http://schemas.openxmlformats.org/officeDocument/2006/relationships/image" Target="../media/image57.emf"/><Relationship Id="rId138" Type="http://schemas.openxmlformats.org/officeDocument/2006/relationships/image" Target="../media/image52.emf"/><Relationship Id="rId154" Type="http://schemas.openxmlformats.org/officeDocument/2006/relationships/image" Target="../media/image36.emf"/><Relationship Id="rId159" Type="http://schemas.openxmlformats.org/officeDocument/2006/relationships/image" Target="../media/image31.emf"/><Relationship Id="rId175" Type="http://schemas.openxmlformats.org/officeDocument/2006/relationships/image" Target="../media/image15.emf"/><Relationship Id="rId170" Type="http://schemas.openxmlformats.org/officeDocument/2006/relationships/image" Target="../media/image20.emf"/><Relationship Id="rId191" Type="http://schemas.openxmlformats.org/officeDocument/2006/relationships/image" Target="../media/image191.emf"/><Relationship Id="rId196" Type="http://schemas.openxmlformats.org/officeDocument/2006/relationships/image" Target="../media/image196.emf"/><Relationship Id="rId16" Type="http://schemas.openxmlformats.org/officeDocument/2006/relationships/image" Target="../media/image174.emf"/><Relationship Id="rId107" Type="http://schemas.openxmlformats.org/officeDocument/2006/relationships/image" Target="../media/image83.emf"/><Relationship Id="rId11" Type="http://schemas.openxmlformats.org/officeDocument/2006/relationships/image" Target="../media/image179.emf"/><Relationship Id="rId32" Type="http://schemas.openxmlformats.org/officeDocument/2006/relationships/image" Target="../media/image158.emf"/><Relationship Id="rId37" Type="http://schemas.openxmlformats.org/officeDocument/2006/relationships/image" Target="../media/image153.emf"/><Relationship Id="rId53" Type="http://schemas.openxmlformats.org/officeDocument/2006/relationships/image" Target="../media/image137.emf"/><Relationship Id="rId58" Type="http://schemas.openxmlformats.org/officeDocument/2006/relationships/image" Target="../media/image132.emf"/><Relationship Id="rId74" Type="http://schemas.openxmlformats.org/officeDocument/2006/relationships/image" Target="../media/image116.emf"/><Relationship Id="rId79" Type="http://schemas.openxmlformats.org/officeDocument/2006/relationships/image" Target="../media/image111.emf"/><Relationship Id="rId102" Type="http://schemas.openxmlformats.org/officeDocument/2006/relationships/image" Target="../media/image88.emf"/><Relationship Id="rId123" Type="http://schemas.openxmlformats.org/officeDocument/2006/relationships/image" Target="../media/image67.emf"/><Relationship Id="rId128" Type="http://schemas.openxmlformats.org/officeDocument/2006/relationships/image" Target="../media/image62.emf"/><Relationship Id="rId144" Type="http://schemas.openxmlformats.org/officeDocument/2006/relationships/image" Target="../media/image46.emf"/><Relationship Id="rId149" Type="http://schemas.openxmlformats.org/officeDocument/2006/relationships/image" Target="../media/image41.emf"/><Relationship Id="rId5" Type="http://schemas.openxmlformats.org/officeDocument/2006/relationships/image" Target="../media/image185.emf"/><Relationship Id="rId90" Type="http://schemas.openxmlformats.org/officeDocument/2006/relationships/image" Target="../media/image100.emf"/><Relationship Id="rId95" Type="http://schemas.openxmlformats.org/officeDocument/2006/relationships/image" Target="../media/image95.emf"/><Relationship Id="rId160" Type="http://schemas.openxmlformats.org/officeDocument/2006/relationships/image" Target="../media/image30.emf"/><Relationship Id="rId165" Type="http://schemas.openxmlformats.org/officeDocument/2006/relationships/image" Target="../media/image25.emf"/><Relationship Id="rId181" Type="http://schemas.openxmlformats.org/officeDocument/2006/relationships/image" Target="../media/image9.emf"/><Relationship Id="rId186" Type="http://schemas.openxmlformats.org/officeDocument/2006/relationships/image" Target="../media/image4.emf"/><Relationship Id="rId22" Type="http://schemas.openxmlformats.org/officeDocument/2006/relationships/image" Target="../media/image168.emf"/><Relationship Id="rId27" Type="http://schemas.openxmlformats.org/officeDocument/2006/relationships/image" Target="../media/image163.emf"/><Relationship Id="rId43" Type="http://schemas.openxmlformats.org/officeDocument/2006/relationships/image" Target="../media/image147.emf"/><Relationship Id="rId48" Type="http://schemas.openxmlformats.org/officeDocument/2006/relationships/image" Target="../media/image142.emf"/><Relationship Id="rId64" Type="http://schemas.openxmlformats.org/officeDocument/2006/relationships/image" Target="../media/image126.emf"/><Relationship Id="rId69" Type="http://schemas.openxmlformats.org/officeDocument/2006/relationships/image" Target="../media/image121.emf"/><Relationship Id="rId113" Type="http://schemas.openxmlformats.org/officeDocument/2006/relationships/image" Target="../media/image77.emf"/><Relationship Id="rId118" Type="http://schemas.openxmlformats.org/officeDocument/2006/relationships/image" Target="../media/image72.emf"/><Relationship Id="rId134" Type="http://schemas.openxmlformats.org/officeDocument/2006/relationships/image" Target="../media/image56.emf"/><Relationship Id="rId139" Type="http://schemas.openxmlformats.org/officeDocument/2006/relationships/image" Target="../media/image51.emf"/><Relationship Id="rId80" Type="http://schemas.openxmlformats.org/officeDocument/2006/relationships/image" Target="../media/image110.emf"/><Relationship Id="rId85" Type="http://schemas.openxmlformats.org/officeDocument/2006/relationships/image" Target="../media/image105.emf"/><Relationship Id="rId150" Type="http://schemas.openxmlformats.org/officeDocument/2006/relationships/image" Target="../media/image40.emf"/><Relationship Id="rId155" Type="http://schemas.openxmlformats.org/officeDocument/2006/relationships/image" Target="../media/image35.emf"/><Relationship Id="rId171" Type="http://schemas.openxmlformats.org/officeDocument/2006/relationships/image" Target="../media/image19.emf"/><Relationship Id="rId176" Type="http://schemas.openxmlformats.org/officeDocument/2006/relationships/image" Target="../media/image14.emf"/><Relationship Id="rId192" Type="http://schemas.openxmlformats.org/officeDocument/2006/relationships/image" Target="../media/image192.emf"/><Relationship Id="rId197" Type="http://schemas.openxmlformats.org/officeDocument/2006/relationships/image" Target="../media/image197.emf"/><Relationship Id="rId12" Type="http://schemas.openxmlformats.org/officeDocument/2006/relationships/image" Target="../media/image178.emf"/><Relationship Id="rId17" Type="http://schemas.openxmlformats.org/officeDocument/2006/relationships/image" Target="../media/image173.emf"/><Relationship Id="rId33" Type="http://schemas.openxmlformats.org/officeDocument/2006/relationships/image" Target="../media/image157.emf"/><Relationship Id="rId38" Type="http://schemas.openxmlformats.org/officeDocument/2006/relationships/image" Target="../media/image152.emf"/><Relationship Id="rId59" Type="http://schemas.openxmlformats.org/officeDocument/2006/relationships/image" Target="../media/image131.emf"/><Relationship Id="rId103" Type="http://schemas.openxmlformats.org/officeDocument/2006/relationships/image" Target="../media/image87.emf"/><Relationship Id="rId108" Type="http://schemas.openxmlformats.org/officeDocument/2006/relationships/image" Target="../media/image82.emf"/><Relationship Id="rId124" Type="http://schemas.openxmlformats.org/officeDocument/2006/relationships/image" Target="../media/image66.emf"/><Relationship Id="rId129" Type="http://schemas.openxmlformats.org/officeDocument/2006/relationships/image" Target="../media/image61.emf"/><Relationship Id="rId54" Type="http://schemas.openxmlformats.org/officeDocument/2006/relationships/image" Target="../media/image136.emf"/><Relationship Id="rId70" Type="http://schemas.openxmlformats.org/officeDocument/2006/relationships/image" Target="../media/image120.emf"/><Relationship Id="rId75" Type="http://schemas.openxmlformats.org/officeDocument/2006/relationships/image" Target="../media/image115.emf"/><Relationship Id="rId91" Type="http://schemas.openxmlformats.org/officeDocument/2006/relationships/image" Target="../media/image99.emf"/><Relationship Id="rId96" Type="http://schemas.openxmlformats.org/officeDocument/2006/relationships/image" Target="../media/image94.emf"/><Relationship Id="rId140" Type="http://schemas.openxmlformats.org/officeDocument/2006/relationships/image" Target="../media/image50.emf"/><Relationship Id="rId145" Type="http://schemas.openxmlformats.org/officeDocument/2006/relationships/image" Target="../media/image45.emf"/><Relationship Id="rId161" Type="http://schemas.openxmlformats.org/officeDocument/2006/relationships/image" Target="../media/image29.emf"/><Relationship Id="rId166" Type="http://schemas.openxmlformats.org/officeDocument/2006/relationships/image" Target="../media/image24.emf"/><Relationship Id="rId182" Type="http://schemas.openxmlformats.org/officeDocument/2006/relationships/image" Target="../media/image8.emf"/><Relationship Id="rId187" Type="http://schemas.openxmlformats.org/officeDocument/2006/relationships/image" Target="../media/image3.emf"/><Relationship Id="rId1" Type="http://schemas.openxmlformats.org/officeDocument/2006/relationships/image" Target="../media/image189.emf"/><Relationship Id="rId6" Type="http://schemas.openxmlformats.org/officeDocument/2006/relationships/image" Target="../media/image184.emf"/><Relationship Id="rId23" Type="http://schemas.openxmlformats.org/officeDocument/2006/relationships/image" Target="../media/image167.emf"/><Relationship Id="rId28" Type="http://schemas.openxmlformats.org/officeDocument/2006/relationships/image" Target="../media/image162.emf"/><Relationship Id="rId49" Type="http://schemas.openxmlformats.org/officeDocument/2006/relationships/image" Target="../media/image141.emf"/><Relationship Id="rId114" Type="http://schemas.openxmlformats.org/officeDocument/2006/relationships/image" Target="../media/image76.emf"/><Relationship Id="rId119" Type="http://schemas.openxmlformats.org/officeDocument/2006/relationships/image" Target="../media/image71.emf"/><Relationship Id="rId44" Type="http://schemas.openxmlformats.org/officeDocument/2006/relationships/image" Target="../media/image146.emf"/><Relationship Id="rId60" Type="http://schemas.openxmlformats.org/officeDocument/2006/relationships/image" Target="../media/image130.emf"/><Relationship Id="rId65" Type="http://schemas.openxmlformats.org/officeDocument/2006/relationships/image" Target="../media/image125.emf"/><Relationship Id="rId81" Type="http://schemas.openxmlformats.org/officeDocument/2006/relationships/image" Target="../media/image109.emf"/><Relationship Id="rId86" Type="http://schemas.openxmlformats.org/officeDocument/2006/relationships/image" Target="../media/image104.emf"/><Relationship Id="rId130" Type="http://schemas.openxmlformats.org/officeDocument/2006/relationships/image" Target="../media/image60.emf"/><Relationship Id="rId135" Type="http://schemas.openxmlformats.org/officeDocument/2006/relationships/image" Target="../media/image55.emf"/><Relationship Id="rId151" Type="http://schemas.openxmlformats.org/officeDocument/2006/relationships/image" Target="../media/image39.emf"/><Relationship Id="rId156" Type="http://schemas.openxmlformats.org/officeDocument/2006/relationships/image" Target="../media/image34.emf"/><Relationship Id="rId177" Type="http://schemas.openxmlformats.org/officeDocument/2006/relationships/image" Target="../media/image13.emf"/><Relationship Id="rId172" Type="http://schemas.openxmlformats.org/officeDocument/2006/relationships/image" Target="../media/image18.emf"/><Relationship Id="rId193" Type="http://schemas.openxmlformats.org/officeDocument/2006/relationships/image" Target="../media/image193.emf"/><Relationship Id="rId13" Type="http://schemas.openxmlformats.org/officeDocument/2006/relationships/image" Target="../media/image177.emf"/><Relationship Id="rId18" Type="http://schemas.openxmlformats.org/officeDocument/2006/relationships/image" Target="../media/image172.emf"/><Relationship Id="rId39" Type="http://schemas.openxmlformats.org/officeDocument/2006/relationships/image" Target="../media/image151.emf"/><Relationship Id="rId109" Type="http://schemas.openxmlformats.org/officeDocument/2006/relationships/image" Target="../media/image81.emf"/><Relationship Id="rId34" Type="http://schemas.openxmlformats.org/officeDocument/2006/relationships/image" Target="../media/image156.emf"/><Relationship Id="rId50" Type="http://schemas.openxmlformats.org/officeDocument/2006/relationships/image" Target="../media/image140.emf"/><Relationship Id="rId55" Type="http://schemas.openxmlformats.org/officeDocument/2006/relationships/image" Target="../media/image135.emf"/><Relationship Id="rId76" Type="http://schemas.openxmlformats.org/officeDocument/2006/relationships/image" Target="../media/image114.emf"/><Relationship Id="rId97" Type="http://schemas.openxmlformats.org/officeDocument/2006/relationships/image" Target="../media/image93.emf"/><Relationship Id="rId104" Type="http://schemas.openxmlformats.org/officeDocument/2006/relationships/image" Target="../media/image86.emf"/><Relationship Id="rId120" Type="http://schemas.openxmlformats.org/officeDocument/2006/relationships/image" Target="../media/image70.emf"/><Relationship Id="rId125" Type="http://schemas.openxmlformats.org/officeDocument/2006/relationships/image" Target="../media/image65.emf"/><Relationship Id="rId141" Type="http://schemas.openxmlformats.org/officeDocument/2006/relationships/image" Target="../media/image49.emf"/><Relationship Id="rId146" Type="http://schemas.openxmlformats.org/officeDocument/2006/relationships/image" Target="../media/image44.emf"/><Relationship Id="rId167" Type="http://schemas.openxmlformats.org/officeDocument/2006/relationships/image" Target="../media/image23.emf"/><Relationship Id="rId188" Type="http://schemas.openxmlformats.org/officeDocument/2006/relationships/image" Target="../media/image2.emf"/><Relationship Id="rId7" Type="http://schemas.openxmlformats.org/officeDocument/2006/relationships/image" Target="../media/image183.emf"/><Relationship Id="rId71" Type="http://schemas.openxmlformats.org/officeDocument/2006/relationships/image" Target="../media/image119.emf"/><Relationship Id="rId92" Type="http://schemas.openxmlformats.org/officeDocument/2006/relationships/image" Target="../media/image98.emf"/><Relationship Id="rId162" Type="http://schemas.openxmlformats.org/officeDocument/2006/relationships/image" Target="../media/image28.emf"/><Relationship Id="rId183" Type="http://schemas.openxmlformats.org/officeDocument/2006/relationships/image" Target="../media/image7.emf"/><Relationship Id="rId2" Type="http://schemas.openxmlformats.org/officeDocument/2006/relationships/image" Target="../media/image188.emf"/><Relationship Id="rId29" Type="http://schemas.openxmlformats.org/officeDocument/2006/relationships/image" Target="../media/image161.emf"/><Relationship Id="rId24" Type="http://schemas.openxmlformats.org/officeDocument/2006/relationships/image" Target="../media/image166.emf"/><Relationship Id="rId40" Type="http://schemas.openxmlformats.org/officeDocument/2006/relationships/image" Target="../media/image150.emf"/><Relationship Id="rId45" Type="http://schemas.openxmlformats.org/officeDocument/2006/relationships/image" Target="../media/image145.emf"/><Relationship Id="rId66" Type="http://schemas.openxmlformats.org/officeDocument/2006/relationships/image" Target="../media/image124.emf"/><Relationship Id="rId87" Type="http://schemas.openxmlformats.org/officeDocument/2006/relationships/image" Target="../media/image103.emf"/><Relationship Id="rId110" Type="http://schemas.openxmlformats.org/officeDocument/2006/relationships/image" Target="../media/image80.emf"/><Relationship Id="rId115" Type="http://schemas.openxmlformats.org/officeDocument/2006/relationships/image" Target="../media/image75.emf"/><Relationship Id="rId131" Type="http://schemas.openxmlformats.org/officeDocument/2006/relationships/image" Target="../media/image59.emf"/><Relationship Id="rId136" Type="http://schemas.openxmlformats.org/officeDocument/2006/relationships/image" Target="../media/image54.emf"/><Relationship Id="rId157" Type="http://schemas.openxmlformats.org/officeDocument/2006/relationships/image" Target="../media/image33.emf"/><Relationship Id="rId178" Type="http://schemas.openxmlformats.org/officeDocument/2006/relationships/image" Target="../media/image12.emf"/><Relationship Id="rId61" Type="http://schemas.openxmlformats.org/officeDocument/2006/relationships/image" Target="../media/image129.emf"/><Relationship Id="rId82" Type="http://schemas.openxmlformats.org/officeDocument/2006/relationships/image" Target="../media/image108.emf"/><Relationship Id="rId152" Type="http://schemas.openxmlformats.org/officeDocument/2006/relationships/image" Target="../media/image38.emf"/><Relationship Id="rId173" Type="http://schemas.openxmlformats.org/officeDocument/2006/relationships/image" Target="../media/image17.emf"/><Relationship Id="rId194" Type="http://schemas.openxmlformats.org/officeDocument/2006/relationships/image" Target="../media/image194.emf"/><Relationship Id="rId19" Type="http://schemas.openxmlformats.org/officeDocument/2006/relationships/image" Target="../media/image171.emf"/><Relationship Id="rId14" Type="http://schemas.openxmlformats.org/officeDocument/2006/relationships/image" Target="../media/image176.emf"/><Relationship Id="rId30" Type="http://schemas.openxmlformats.org/officeDocument/2006/relationships/image" Target="../media/image160.emf"/><Relationship Id="rId35" Type="http://schemas.openxmlformats.org/officeDocument/2006/relationships/image" Target="../media/image155.emf"/><Relationship Id="rId56" Type="http://schemas.openxmlformats.org/officeDocument/2006/relationships/image" Target="../media/image134.emf"/><Relationship Id="rId77" Type="http://schemas.openxmlformats.org/officeDocument/2006/relationships/image" Target="../media/image113.emf"/><Relationship Id="rId100" Type="http://schemas.openxmlformats.org/officeDocument/2006/relationships/image" Target="../media/image90.emf"/><Relationship Id="rId105" Type="http://schemas.openxmlformats.org/officeDocument/2006/relationships/image" Target="../media/image85.emf"/><Relationship Id="rId126" Type="http://schemas.openxmlformats.org/officeDocument/2006/relationships/image" Target="../media/image64.emf"/><Relationship Id="rId147" Type="http://schemas.openxmlformats.org/officeDocument/2006/relationships/image" Target="../media/image43.emf"/><Relationship Id="rId168" Type="http://schemas.openxmlformats.org/officeDocument/2006/relationships/image" Target="../media/image22.emf"/><Relationship Id="rId8" Type="http://schemas.openxmlformats.org/officeDocument/2006/relationships/image" Target="../media/image182.emf"/><Relationship Id="rId51" Type="http://schemas.openxmlformats.org/officeDocument/2006/relationships/image" Target="../media/image139.emf"/><Relationship Id="rId72" Type="http://schemas.openxmlformats.org/officeDocument/2006/relationships/image" Target="../media/image118.emf"/><Relationship Id="rId93" Type="http://schemas.openxmlformats.org/officeDocument/2006/relationships/image" Target="../media/image97.emf"/><Relationship Id="rId98" Type="http://schemas.openxmlformats.org/officeDocument/2006/relationships/image" Target="../media/image92.emf"/><Relationship Id="rId121" Type="http://schemas.openxmlformats.org/officeDocument/2006/relationships/image" Target="../media/image69.emf"/><Relationship Id="rId142" Type="http://schemas.openxmlformats.org/officeDocument/2006/relationships/image" Target="../media/image48.emf"/><Relationship Id="rId163" Type="http://schemas.openxmlformats.org/officeDocument/2006/relationships/image" Target="../media/image27.emf"/><Relationship Id="rId184" Type="http://schemas.openxmlformats.org/officeDocument/2006/relationships/image" Target="../media/image6.emf"/><Relationship Id="rId189" Type="http://schemas.openxmlformats.org/officeDocument/2006/relationships/image" Target="../media/image1.emf"/><Relationship Id="rId3" Type="http://schemas.openxmlformats.org/officeDocument/2006/relationships/image" Target="../media/image187.emf"/><Relationship Id="rId25" Type="http://schemas.openxmlformats.org/officeDocument/2006/relationships/image" Target="../media/image165.emf"/><Relationship Id="rId46" Type="http://schemas.openxmlformats.org/officeDocument/2006/relationships/image" Target="../media/image144.emf"/><Relationship Id="rId67" Type="http://schemas.openxmlformats.org/officeDocument/2006/relationships/image" Target="../media/image123.emf"/><Relationship Id="rId116" Type="http://schemas.openxmlformats.org/officeDocument/2006/relationships/image" Target="../media/image74.emf"/><Relationship Id="rId137" Type="http://schemas.openxmlformats.org/officeDocument/2006/relationships/image" Target="../media/image53.emf"/><Relationship Id="rId158" Type="http://schemas.openxmlformats.org/officeDocument/2006/relationships/image" Target="../media/image32.emf"/><Relationship Id="rId20" Type="http://schemas.openxmlformats.org/officeDocument/2006/relationships/image" Target="../media/image170.emf"/><Relationship Id="rId41" Type="http://schemas.openxmlformats.org/officeDocument/2006/relationships/image" Target="../media/image149.emf"/><Relationship Id="rId62" Type="http://schemas.openxmlformats.org/officeDocument/2006/relationships/image" Target="../media/image128.emf"/><Relationship Id="rId83" Type="http://schemas.openxmlformats.org/officeDocument/2006/relationships/image" Target="../media/image107.emf"/><Relationship Id="rId88" Type="http://schemas.openxmlformats.org/officeDocument/2006/relationships/image" Target="../media/image102.emf"/><Relationship Id="rId111" Type="http://schemas.openxmlformats.org/officeDocument/2006/relationships/image" Target="../media/image79.emf"/><Relationship Id="rId132" Type="http://schemas.openxmlformats.org/officeDocument/2006/relationships/image" Target="../media/image58.emf"/><Relationship Id="rId153" Type="http://schemas.openxmlformats.org/officeDocument/2006/relationships/image" Target="../media/image37.emf"/><Relationship Id="rId174" Type="http://schemas.openxmlformats.org/officeDocument/2006/relationships/image" Target="../media/image16.emf"/><Relationship Id="rId179" Type="http://schemas.openxmlformats.org/officeDocument/2006/relationships/image" Target="../media/image11.emf"/><Relationship Id="rId195" Type="http://schemas.openxmlformats.org/officeDocument/2006/relationships/image" Target="../media/image195.emf"/><Relationship Id="rId190" Type="http://schemas.openxmlformats.org/officeDocument/2006/relationships/image" Target="../media/image190.emf"/><Relationship Id="rId15" Type="http://schemas.openxmlformats.org/officeDocument/2006/relationships/image" Target="../media/image175.emf"/><Relationship Id="rId36" Type="http://schemas.openxmlformats.org/officeDocument/2006/relationships/image" Target="../media/image154.emf"/><Relationship Id="rId57" Type="http://schemas.openxmlformats.org/officeDocument/2006/relationships/image" Target="../media/image133.emf"/><Relationship Id="rId106" Type="http://schemas.openxmlformats.org/officeDocument/2006/relationships/image" Target="../media/image84.emf"/><Relationship Id="rId127" Type="http://schemas.openxmlformats.org/officeDocument/2006/relationships/image" Target="../media/image63.emf"/><Relationship Id="rId10" Type="http://schemas.openxmlformats.org/officeDocument/2006/relationships/image" Target="../media/image180.emf"/><Relationship Id="rId31" Type="http://schemas.openxmlformats.org/officeDocument/2006/relationships/image" Target="../media/image159.emf"/><Relationship Id="rId52" Type="http://schemas.openxmlformats.org/officeDocument/2006/relationships/image" Target="../media/image138.emf"/><Relationship Id="rId73" Type="http://schemas.openxmlformats.org/officeDocument/2006/relationships/image" Target="../media/image117.emf"/><Relationship Id="rId78" Type="http://schemas.openxmlformats.org/officeDocument/2006/relationships/image" Target="../media/image112.emf"/><Relationship Id="rId94" Type="http://schemas.openxmlformats.org/officeDocument/2006/relationships/image" Target="../media/image96.emf"/><Relationship Id="rId99" Type="http://schemas.openxmlformats.org/officeDocument/2006/relationships/image" Target="../media/image91.emf"/><Relationship Id="rId101" Type="http://schemas.openxmlformats.org/officeDocument/2006/relationships/image" Target="../media/image89.emf"/><Relationship Id="rId122" Type="http://schemas.openxmlformats.org/officeDocument/2006/relationships/image" Target="../media/image68.emf"/><Relationship Id="rId143" Type="http://schemas.openxmlformats.org/officeDocument/2006/relationships/image" Target="../media/image47.emf"/><Relationship Id="rId148" Type="http://schemas.openxmlformats.org/officeDocument/2006/relationships/image" Target="../media/image42.emf"/><Relationship Id="rId164" Type="http://schemas.openxmlformats.org/officeDocument/2006/relationships/image" Target="../media/image26.emf"/><Relationship Id="rId169" Type="http://schemas.openxmlformats.org/officeDocument/2006/relationships/image" Target="../media/image21.emf"/><Relationship Id="rId185" Type="http://schemas.openxmlformats.org/officeDocument/2006/relationships/image" Target="../media/image5.emf"/><Relationship Id="rId4" Type="http://schemas.openxmlformats.org/officeDocument/2006/relationships/image" Target="../media/image186.emf"/><Relationship Id="rId9" Type="http://schemas.openxmlformats.org/officeDocument/2006/relationships/image" Target="../media/image181.emf"/><Relationship Id="rId180" Type="http://schemas.openxmlformats.org/officeDocument/2006/relationships/image" Target="../media/image10.emf"/><Relationship Id="rId26" Type="http://schemas.openxmlformats.org/officeDocument/2006/relationships/image" Target="../media/image16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8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4</xdr:row>
      <xdr:rowOff>57150</xdr:rowOff>
    </xdr:from>
    <xdr:to>
      <xdr:col>21</xdr:col>
      <xdr:colOff>523875</xdr:colOff>
      <xdr:row>37</xdr:row>
      <xdr:rowOff>123825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5275" y="781050"/>
          <a:ext cx="14630400" cy="60388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/>
        </a:p>
      </xdr:txBody>
    </xdr:sp>
    <xdr:clientData/>
  </xdr:twoCellAnchor>
  <xdr:twoCellAnchor>
    <xdr:from>
      <xdr:col>3</xdr:col>
      <xdr:colOff>457200</xdr:colOff>
      <xdr:row>0</xdr:row>
      <xdr:rowOff>104775</xdr:rowOff>
    </xdr:from>
    <xdr:to>
      <xdr:col>18</xdr:col>
      <xdr:colOff>457201</xdr:colOff>
      <xdr:row>3</xdr:row>
      <xdr:rowOff>171450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514600" y="104775"/>
          <a:ext cx="10287001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3600" b="1" kern="1200">
              <a:solidFill>
                <a:schemeClr val="bg1"/>
              </a:solidFill>
              <a:latin typeface="Impact" panose="020B0806030902050204" pitchFamily="34" charset="0"/>
            </a:rPr>
            <a:t>Commerical Estimate for</a:t>
          </a:r>
          <a:r>
            <a:rPr lang="en-CA" sz="3600" b="1" kern="1200" baseline="0">
              <a:solidFill>
                <a:schemeClr val="bg1"/>
              </a:solidFill>
              <a:latin typeface="Impact" panose="020B0806030902050204" pitchFamily="34" charset="0"/>
            </a:rPr>
            <a:t> EPCM Projects V 2.0</a:t>
          </a:r>
          <a:endParaRPr lang="en-CA" sz="3600" b="1" kern="12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7</xdr:col>
      <xdr:colOff>119685</xdr:colOff>
      <xdr:row>5</xdr:row>
      <xdr:rowOff>34373</xdr:rowOff>
    </xdr:from>
    <xdr:to>
      <xdr:col>14</xdr:col>
      <xdr:colOff>217410</xdr:colOff>
      <xdr:row>19</xdr:row>
      <xdr:rowOff>142875</xdr:rowOff>
    </xdr:to>
    <xdr:grpSp>
      <xdr:nvGrpSpPr>
        <xdr:cNvPr id="15690" name="Group 15689">
          <a:extLst>
            <a:ext uri="{FF2B5EF4-FFF2-40B4-BE49-F238E27FC236}">
              <a16:creationId xmlns:a16="http://schemas.microsoft.com/office/drawing/2014/main" id="{00000000-0008-0000-0200-00004A3D0000}"/>
            </a:ext>
          </a:extLst>
        </xdr:cNvPr>
        <xdr:cNvGrpSpPr/>
      </xdr:nvGrpSpPr>
      <xdr:grpSpPr>
        <a:xfrm>
          <a:off x="4920285" y="939248"/>
          <a:ext cx="4898325" cy="2642152"/>
          <a:chOff x="457065" y="1152525"/>
          <a:chExt cx="4921548" cy="2705928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57065" y="1152525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20 PMT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21 PM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11 AD</a:t>
            </a: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12 DC</a:t>
            </a:r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22 PE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23 PCO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PC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200-000002000000}"/>
                  </a:ext>
                </a:extLst>
              </xdr:cNvPr>
              <xdr:cNvGrpSpPr/>
            </xdr:nvGrpSpPr>
            <xdr:grpSpPr>
              <a:xfrm>
                <a:off x="2008413" y="1608067"/>
                <a:ext cx="3370200" cy="273846"/>
                <a:chOff x="2068723" y="1608481"/>
                <a:chExt cx="3086371" cy="276331"/>
              </a:xfrm>
            </xdr:grpSpPr>
            <xdr:sp macro="" textlink="">
              <xdr:nvSpPr>
                <xdr:cNvPr id="15366" name="PM_JR" hidden="1">
                  <a:extLst>
                    <a:ext uri="{63B3BB69-23CF-44E3-9099-C40C66FF867C}">
                      <a14:compatExt spid="_x0000_s15366"/>
                    </a:ext>
                    <a:ext uri="{FF2B5EF4-FFF2-40B4-BE49-F238E27FC236}">
                      <a16:creationId xmlns:a16="http://schemas.microsoft.com/office/drawing/2014/main" id="{00000000-0008-0000-0200-0000063C0000}"/>
                    </a:ext>
                  </a:extLst>
                </xdr:cNvPr>
                <xdr:cNvSpPr/>
              </xdr:nvSpPr>
              <xdr:spPr bwMode="auto">
                <a:xfrm>
                  <a:off x="206872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8" name="PM_INT" hidden="1">
                  <a:extLst>
                    <a:ext uri="{63B3BB69-23CF-44E3-9099-C40C66FF867C}">
                      <a14:compatExt spid="_x0000_s15368"/>
                    </a:ext>
                    <a:ext uri="{FF2B5EF4-FFF2-40B4-BE49-F238E27FC236}">
                      <a16:creationId xmlns:a16="http://schemas.microsoft.com/office/drawing/2014/main" id="{00000000-0008-0000-0200-0000083C0000}"/>
                    </a:ext>
                  </a:extLst>
                </xdr:cNvPr>
                <xdr:cNvSpPr/>
              </xdr:nvSpPr>
              <xdr:spPr bwMode="auto">
                <a:xfrm>
                  <a:off x="2589420" y="1608482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69" name="PM_SR" hidden="1">
                  <a:extLst>
                    <a:ext uri="{63B3BB69-23CF-44E3-9099-C40C66FF867C}">
                      <a14:compatExt spid="_x0000_s15369"/>
                    </a:ext>
                    <a:ext uri="{FF2B5EF4-FFF2-40B4-BE49-F238E27FC236}">
                      <a16:creationId xmlns:a16="http://schemas.microsoft.com/office/drawing/2014/main" id="{00000000-0008-0000-0200-000009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0" name="PM_LD" hidden="1">
                  <a:extLst>
                    <a:ext uri="{63B3BB69-23CF-44E3-9099-C40C66FF867C}">
                      <a14:compatExt spid="_x0000_s15370"/>
                    </a:ext>
                    <a:ext uri="{FF2B5EF4-FFF2-40B4-BE49-F238E27FC236}">
                      <a16:creationId xmlns:a16="http://schemas.microsoft.com/office/drawing/2014/main" id="{00000000-0008-0000-0200-00000A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1" name="PM_SP" hidden="1">
                  <a:extLst>
                    <a:ext uri="{63B3BB69-23CF-44E3-9099-C40C66FF867C}">
                      <a14:compatExt spid="_x0000_s15371"/>
                    </a:ext>
                    <a:ext uri="{FF2B5EF4-FFF2-40B4-BE49-F238E27FC236}">
                      <a16:creationId xmlns:a16="http://schemas.microsoft.com/office/drawing/2014/main" id="{00000000-0008-0000-0200-00000B3C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72" name="PM_SME" hidden="1">
                  <a:extLst>
                    <a:ext uri="{63B3BB69-23CF-44E3-9099-C40C66FF867C}">
                      <a14:compatExt spid="_x0000_s15372"/>
                    </a:ext>
                    <a:ext uri="{FF2B5EF4-FFF2-40B4-BE49-F238E27FC236}">
                      <a16:creationId xmlns:a16="http://schemas.microsoft.com/office/drawing/2014/main" id="{00000000-0008-0000-0200-00000C3C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1438018" y="1993739"/>
                <a:ext cx="2231226" cy="273845"/>
                <a:chOff x="1546364" y="1608481"/>
                <a:chExt cx="2043318" cy="276330"/>
              </a:xfrm>
            </xdr:grpSpPr>
            <xdr:sp macro="" textlink="">
              <xdr:nvSpPr>
                <xdr:cNvPr id="15381" name="AD_JR" hidden="1">
                  <a:extLst>
                    <a:ext uri="{63B3BB69-23CF-44E3-9099-C40C66FF867C}">
                      <a14:compatExt spid="_x0000_s15381"/>
                    </a:ext>
                    <a:ext uri="{FF2B5EF4-FFF2-40B4-BE49-F238E27FC236}">
                      <a16:creationId xmlns:a16="http://schemas.microsoft.com/office/drawing/2014/main" id="{00000000-0008-0000-0200-000015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2" name="AD_INT" hidden="1">
                  <a:extLst>
                    <a:ext uri="{63B3BB69-23CF-44E3-9099-C40C66FF867C}">
                      <a14:compatExt spid="_x0000_s15382"/>
                    </a:ext>
                    <a:ext uri="{FF2B5EF4-FFF2-40B4-BE49-F238E27FC236}">
                      <a16:creationId xmlns:a16="http://schemas.microsoft.com/office/drawing/2014/main" id="{00000000-0008-0000-0200-000016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3" name="AD_SR" hidden="1">
                  <a:extLst>
                    <a:ext uri="{63B3BB69-23CF-44E3-9099-C40C66FF867C}">
                      <a14:compatExt spid="_x0000_s15383"/>
                    </a:ext>
                    <a:ext uri="{FF2B5EF4-FFF2-40B4-BE49-F238E27FC236}">
                      <a16:creationId xmlns:a16="http://schemas.microsoft.com/office/drawing/2014/main" id="{00000000-0008-0000-0200-0000173C0000}"/>
                    </a:ext>
                  </a:extLst>
                </xdr:cNvPr>
                <xdr:cNvSpPr/>
              </xdr:nvSpPr>
              <xdr:spPr bwMode="auto">
                <a:xfrm>
                  <a:off x="3111774" y="1608481"/>
                  <a:ext cx="477908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7" name="AD_TRN" hidden="1">
                  <a:extLst>
                    <a:ext uri="{63B3BB69-23CF-44E3-9099-C40C66FF867C}">
                      <a14:compatExt spid="_x0000_s15387"/>
                    </a:ext>
                    <a:ext uri="{FF2B5EF4-FFF2-40B4-BE49-F238E27FC236}">
                      <a16:creationId xmlns:a16="http://schemas.microsoft.com/office/drawing/2014/main" id="{00000000-0008-0000-0200-00001B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438018" y="2378169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88" name="DC_JR" hidden="1">
                  <a:extLst>
                    <a:ext uri="{63B3BB69-23CF-44E3-9099-C40C66FF867C}">
                      <a14:compatExt spid="_x0000_s15388"/>
                    </a:ext>
                    <a:ext uri="{FF2B5EF4-FFF2-40B4-BE49-F238E27FC236}">
                      <a16:creationId xmlns:a16="http://schemas.microsoft.com/office/drawing/2014/main" id="{00000000-0008-0000-0200-00001C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89" name="DC_INT" hidden="1">
                  <a:extLst>
                    <a:ext uri="{63B3BB69-23CF-44E3-9099-C40C66FF867C}">
                      <a14:compatExt spid="_x0000_s15389"/>
                    </a:ext>
                    <a:ext uri="{FF2B5EF4-FFF2-40B4-BE49-F238E27FC236}">
                      <a16:creationId xmlns:a16="http://schemas.microsoft.com/office/drawing/2014/main" id="{00000000-0008-0000-0200-00001D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0" name="DC_SR" hidden="1">
                  <a:extLst>
                    <a:ext uri="{63B3BB69-23CF-44E3-9099-C40C66FF867C}">
                      <a14:compatExt spid="_x0000_s15390"/>
                    </a:ext>
                    <a:ext uri="{FF2B5EF4-FFF2-40B4-BE49-F238E27FC236}">
                      <a16:creationId xmlns:a16="http://schemas.microsoft.com/office/drawing/2014/main" id="{00000000-0008-0000-0200-00001E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1" name="DC_LD" hidden="1">
                  <a:extLst>
                    <a:ext uri="{63B3BB69-23CF-44E3-9099-C40C66FF867C}">
                      <a14:compatExt spid="_x0000_s15391"/>
                    </a:ext>
                    <a:ext uri="{FF2B5EF4-FFF2-40B4-BE49-F238E27FC236}">
                      <a16:creationId xmlns:a16="http://schemas.microsoft.com/office/drawing/2014/main" id="{00000000-0008-0000-0200-00001F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4" name="DC_TRN" hidden="1">
                  <a:extLst>
                    <a:ext uri="{63B3BB69-23CF-44E3-9099-C40C66FF867C}">
                      <a14:compatExt spid="_x0000_s15394"/>
                    </a:ext>
                    <a:ext uri="{FF2B5EF4-FFF2-40B4-BE49-F238E27FC236}">
                      <a16:creationId xmlns:a16="http://schemas.microsoft.com/office/drawing/2014/main" id="{00000000-0008-0000-0200-000022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0000000-0008-0000-0200-000007000000}"/>
                  </a:ext>
                </a:extLst>
              </xdr:cNvPr>
              <xdr:cNvGrpSpPr/>
            </xdr:nvGrpSpPr>
            <xdr:grpSpPr>
              <a:xfrm>
                <a:off x="1438018" y="2774791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395" name="PE_JR" hidden="1">
                  <a:extLst>
                    <a:ext uri="{63B3BB69-23CF-44E3-9099-C40C66FF867C}">
                      <a14:compatExt spid="_x0000_s15395"/>
                    </a:ext>
                    <a:ext uri="{FF2B5EF4-FFF2-40B4-BE49-F238E27FC236}">
                      <a16:creationId xmlns:a16="http://schemas.microsoft.com/office/drawing/2014/main" id="{00000000-0008-0000-0200-000023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6" name="PE_INT" hidden="1">
                  <a:extLst>
                    <a:ext uri="{63B3BB69-23CF-44E3-9099-C40C66FF867C}">
                      <a14:compatExt spid="_x0000_s15396"/>
                    </a:ext>
                    <a:ext uri="{FF2B5EF4-FFF2-40B4-BE49-F238E27FC236}">
                      <a16:creationId xmlns:a16="http://schemas.microsoft.com/office/drawing/2014/main" id="{00000000-0008-0000-0200-000024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7" name="PE_SR" hidden="1">
                  <a:extLst>
                    <a:ext uri="{63B3BB69-23CF-44E3-9099-C40C66FF867C}">
                      <a14:compatExt spid="_x0000_s15397"/>
                    </a:ext>
                    <a:ext uri="{FF2B5EF4-FFF2-40B4-BE49-F238E27FC236}">
                      <a16:creationId xmlns:a16="http://schemas.microsoft.com/office/drawing/2014/main" id="{00000000-0008-0000-0200-000025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398" name="PE_LD" hidden="1">
                  <a:extLst>
                    <a:ext uri="{63B3BB69-23CF-44E3-9099-C40C66FF867C}">
                      <a14:compatExt spid="_x0000_s15398"/>
                    </a:ext>
                    <a:ext uri="{FF2B5EF4-FFF2-40B4-BE49-F238E27FC236}">
                      <a16:creationId xmlns:a16="http://schemas.microsoft.com/office/drawing/2014/main" id="{00000000-0008-0000-0200-000026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1" name="PE_EIT" hidden="1">
                  <a:extLst>
                    <a:ext uri="{63B3BB69-23CF-44E3-9099-C40C66FF867C}">
                      <a14:compatExt spid="_x0000_s15401"/>
                    </a:ext>
                    <a:ext uri="{FF2B5EF4-FFF2-40B4-BE49-F238E27FC236}">
                      <a16:creationId xmlns:a16="http://schemas.microsoft.com/office/drawing/2014/main" id="{00000000-0008-0000-0200-000029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GrpSpPr/>
            </xdr:nvGrpSpPr>
            <xdr:grpSpPr>
              <a:xfrm>
                <a:off x="1438018" y="3149513"/>
                <a:ext cx="2799812" cy="275088"/>
                <a:chOff x="1546364" y="1608481"/>
                <a:chExt cx="2564019" cy="276330"/>
              </a:xfrm>
            </xdr:grpSpPr>
            <xdr:sp macro="" textlink="">
              <xdr:nvSpPr>
                <xdr:cNvPr id="15402" name="PCO_JR" hidden="1">
                  <a:extLst>
                    <a:ext uri="{63B3BB69-23CF-44E3-9099-C40C66FF867C}">
                      <a14:compatExt spid="_x0000_s15402"/>
                    </a:ext>
                    <a:ext uri="{FF2B5EF4-FFF2-40B4-BE49-F238E27FC236}">
                      <a16:creationId xmlns:a16="http://schemas.microsoft.com/office/drawing/2014/main" id="{00000000-0008-0000-0200-00002A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3" name="PCO_INT" hidden="1">
                  <a:extLst>
                    <a:ext uri="{63B3BB69-23CF-44E3-9099-C40C66FF867C}">
                      <a14:compatExt spid="_x0000_s15403"/>
                    </a:ext>
                    <a:ext uri="{FF2B5EF4-FFF2-40B4-BE49-F238E27FC236}">
                      <a16:creationId xmlns:a16="http://schemas.microsoft.com/office/drawing/2014/main" id="{00000000-0008-0000-0200-00002B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4" name="PCO_SR" hidden="1">
                  <a:extLst>
                    <a:ext uri="{63B3BB69-23CF-44E3-9099-C40C66FF867C}">
                      <a14:compatExt spid="_x0000_s15404"/>
                    </a:ext>
                    <a:ext uri="{FF2B5EF4-FFF2-40B4-BE49-F238E27FC236}">
                      <a16:creationId xmlns:a16="http://schemas.microsoft.com/office/drawing/2014/main" id="{00000000-0008-0000-0200-00002C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5" name="PCO_LD" hidden="1">
                  <a:extLst>
                    <a:ext uri="{63B3BB69-23CF-44E3-9099-C40C66FF867C}">
                      <a14:compatExt spid="_x0000_s15405"/>
                    </a:ext>
                    <a:ext uri="{FF2B5EF4-FFF2-40B4-BE49-F238E27FC236}">
                      <a16:creationId xmlns:a16="http://schemas.microsoft.com/office/drawing/2014/main" id="{00000000-0008-0000-0200-00002D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08" name="PCO_TRN" hidden="1">
                  <a:extLst>
                    <a:ext uri="{63B3BB69-23CF-44E3-9099-C40C66FF867C}">
                      <a14:compatExt spid="_x0000_s15408"/>
                    </a:ext>
                    <a:ext uri="{FF2B5EF4-FFF2-40B4-BE49-F238E27FC236}">
                      <a16:creationId xmlns:a16="http://schemas.microsoft.com/office/drawing/2014/main" id="{00000000-0008-0000-0200-0000303C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1438017" y="3535184"/>
                <a:ext cx="3370207" cy="275087"/>
                <a:chOff x="1546363" y="1608481"/>
                <a:chExt cx="3086377" cy="276330"/>
              </a:xfrm>
            </xdr:grpSpPr>
            <xdr:sp macro="" textlink="">
              <xdr:nvSpPr>
                <xdr:cNvPr id="15409" name="PC_JR" hidden="1">
                  <a:extLst>
                    <a:ext uri="{63B3BB69-23CF-44E3-9099-C40C66FF867C}">
                      <a14:compatExt spid="_x0000_s15409"/>
                    </a:ext>
                    <a:ext uri="{FF2B5EF4-FFF2-40B4-BE49-F238E27FC236}">
                      <a16:creationId xmlns:a16="http://schemas.microsoft.com/office/drawing/2014/main" id="{00000000-0008-0000-0200-0000313C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0" name="PC_INT" hidden="1">
                  <a:extLst>
                    <a:ext uri="{63B3BB69-23CF-44E3-9099-C40C66FF867C}">
                      <a14:compatExt spid="_x0000_s15410"/>
                    </a:ext>
                    <a:ext uri="{FF2B5EF4-FFF2-40B4-BE49-F238E27FC236}">
                      <a16:creationId xmlns:a16="http://schemas.microsoft.com/office/drawing/2014/main" id="{00000000-0008-0000-0200-0000323C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1" name="PC_SR" hidden="1">
                  <a:extLst>
                    <a:ext uri="{63B3BB69-23CF-44E3-9099-C40C66FF867C}">
                      <a14:compatExt spid="_x0000_s15411"/>
                    </a:ext>
                    <a:ext uri="{FF2B5EF4-FFF2-40B4-BE49-F238E27FC236}">
                      <a16:creationId xmlns:a16="http://schemas.microsoft.com/office/drawing/2014/main" id="{00000000-0008-0000-0200-0000333C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2" name="PC_LD" hidden="1">
                  <a:extLst>
                    <a:ext uri="{63B3BB69-23CF-44E3-9099-C40C66FF867C}">
                      <a14:compatExt spid="_x0000_s15412"/>
                    </a:ext>
                    <a:ext uri="{FF2B5EF4-FFF2-40B4-BE49-F238E27FC236}">
                      <a16:creationId xmlns:a16="http://schemas.microsoft.com/office/drawing/2014/main" id="{00000000-0008-0000-0200-0000343C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3" name="PC_SP" hidden="1">
                  <a:extLst>
                    <a:ext uri="{63B3BB69-23CF-44E3-9099-C40C66FF867C}">
                      <a14:compatExt spid="_x0000_s15413"/>
                    </a:ext>
                    <a:ext uri="{FF2B5EF4-FFF2-40B4-BE49-F238E27FC236}">
                      <a16:creationId xmlns:a16="http://schemas.microsoft.com/office/drawing/2014/main" id="{00000000-0008-0000-0200-0000353C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415" name="PC_TRN" hidden="1">
                  <a:extLst>
                    <a:ext uri="{63B3BB69-23CF-44E3-9099-C40C66FF867C}">
                      <a14:compatExt spid="_x0000_s15415"/>
                    </a:ext>
                    <a:ext uri="{FF2B5EF4-FFF2-40B4-BE49-F238E27FC236}">
                      <a16:creationId xmlns:a16="http://schemas.microsoft.com/office/drawing/2014/main" id="{00000000-0008-0000-0200-0000373C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5</xdr:row>
      <xdr:rowOff>24848</xdr:rowOff>
    </xdr:from>
    <xdr:to>
      <xdr:col>21</xdr:col>
      <xdr:colOff>435251</xdr:colOff>
      <xdr:row>19</xdr:row>
      <xdr:rowOff>133350</xdr:rowOff>
    </xdr:to>
    <xdr:grpSp>
      <xdr:nvGrpSpPr>
        <xdr:cNvPr id="15691" name="Group 15690">
          <a:extLst>
            <a:ext uri="{FF2B5EF4-FFF2-40B4-BE49-F238E27FC236}">
              <a16:creationId xmlns:a16="http://schemas.microsoft.com/office/drawing/2014/main" id="{00000000-0008-0000-0200-00004B3D0000}"/>
            </a:ext>
          </a:extLst>
        </xdr:cNvPr>
        <xdr:cNvGrpSpPr/>
      </xdr:nvGrpSpPr>
      <xdr:grpSpPr>
        <a:xfrm>
          <a:off x="9945342" y="929723"/>
          <a:ext cx="4891709" cy="2642152"/>
          <a:chOff x="514350" y="1143000"/>
          <a:chExt cx="4914900" cy="2705928"/>
        </a:xfrm>
      </xdr:grpSpPr>
      <xdr:sp macro="" textlink="">
        <xdr:nvSpPr>
          <xdr:cNvPr id="15692" name="Rectangle 15691">
            <a:extLst>
              <a:ext uri="{FF2B5EF4-FFF2-40B4-BE49-F238E27FC236}">
                <a16:creationId xmlns:a16="http://schemas.microsoft.com/office/drawing/2014/main" id="{00000000-0008-0000-0200-00004C3D0000}"/>
              </a:ext>
            </a:extLst>
          </xdr:cNvPr>
          <xdr:cNvSpPr/>
        </xdr:nvSpPr>
        <xdr:spPr>
          <a:xfrm>
            <a:off x="514350" y="1143000"/>
            <a:ext cx="4914900" cy="270592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693" name="Rectangle 15692">
            <a:extLst>
              <a:ext uri="{FF2B5EF4-FFF2-40B4-BE49-F238E27FC236}">
                <a16:creationId xmlns:a16="http://schemas.microsoft.com/office/drawing/2014/main" id="{00000000-0008-0000-0200-00004D3D0000}"/>
              </a:ext>
            </a:extLst>
          </xdr:cNvPr>
          <xdr:cNvSpPr/>
        </xdr:nvSpPr>
        <xdr:spPr>
          <a:xfrm>
            <a:off x="551252" y="118348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ENG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4" name="Rectangle 15693">
            <a:extLst>
              <a:ext uri="{FF2B5EF4-FFF2-40B4-BE49-F238E27FC236}">
                <a16:creationId xmlns:a16="http://schemas.microsoft.com/office/drawing/2014/main" id="{00000000-0008-0000-0200-00004E3D0000}"/>
              </a:ext>
            </a:extLst>
          </xdr:cNvPr>
          <xdr:cNvSpPr/>
        </xdr:nvSpPr>
        <xdr:spPr>
          <a:xfrm>
            <a:off x="551252" y="157399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31 PrE</a:t>
            </a:r>
          </a:p>
        </xdr:txBody>
      </xdr:sp>
      <xdr:sp macro="" textlink="">
        <xdr:nvSpPr>
          <xdr:cNvPr id="15695" name="Rectangle 15694">
            <a:extLst>
              <a:ext uri="{FF2B5EF4-FFF2-40B4-BE49-F238E27FC236}">
                <a16:creationId xmlns:a16="http://schemas.microsoft.com/office/drawing/2014/main" id="{00000000-0008-0000-0200-00004F3D0000}"/>
              </a:ext>
            </a:extLst>
          </xdr:cNvPr>
          <xdr:cNvSpPr/>
        </xdr:nvSpPr>
        <xdr:spPr>
          <a:xfrm>
            <a:off x="551252" y="195966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32 ME</a:t>
            </a:r>
          </a:p>
        </xdr:txBody>
      </xdr:sp>
      <xdr:sp macro="" textlink="">
        <xdr:nvSpPr>
          <xdr:cNvPr id="15696" name="Rectangle 15695">
            <a:extLst>
              <a:ext uri="{FF2B5EF4-FFF2-40B4-BE49-F238E27FC236}">
                <a16:creationId xmlns:a16="http://schemas.microsoft.com/office/drawing/2014/main" id="{00000000-0008-0000-0200-0000503D0000}"/>
              </a:ext>
            </a:extLst>
          </xdr:cNvPr>
          <xdr:cNvSpPr/>
        </xdr:nvSpPr>
        <xdr:spPr>
          <a:xfrm>
            <a:off x="551252" y="2345341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EE</a:t>
            </a:r>
          </a:p>
        </xdr:txBody>
      </xdr:sp>
      <xdr:sp macro="" textlink="">
        <xdr:nvSpPr>
          <xdr:cNvPr id="15697" name="Rectangle 15696">
            <a:extLst>
              <a:ext uri="{FF2B5EF4-FFF2-40B4-BE49-F238E27FC236}">
                <a16:creationId xmlns:a16="http://schemas.microsoft.com/office/drawing/2014/main" id="{00000000-0008-0000-0200-0000513D0000}"/>
              </a:ext>
            </a:extLst>
          </xdr:cNvPr>
          <xdr:cNvSpPr/>
        </xdr:nvSpPr>
        <xdr:spPr>
          <a:xfrm>
            <a:off x="551252" y="2740721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ICE</a:t>
            </a:r>
          </a:p>
        </xdr:txBody>
      </xdr:sp>
      <xdr:sp macro="" textlink="">
        <xdr:nvSpPr>
          <xdr:cNvPr id="15698" name="Rectangle 15697">
            <a:extLst>
              <a:ext uri="{FF2B5EF4-FFF2-40B4-BE49-F238E27FC236}">
                <a16:creationId xmlns:a16="http://schemas.microsoft.com/office/drawing/2014/main" id="{00000000-0008-0000-0200-0000523D0000}"/>
              </a:ext>
            </a:extLst>
          </xdr:cNvPr>
          <xdr:cNvSpPr/>
        </xdr:nvSpPr>
        <xdr:spPr>
          <a:xfrm>
            <a:off x="551252" y="3115443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 TCA</a:t>
            </a:r>
            <a:r>
              <a:rPr lang="en-CA" sz="11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1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699" name="Rectangle 15698">
            <a:extLst>
              <a:ext uri="{FF2B5EF4-FFF2-40B4-BE49-F238E27FC236}">
                <a16:creationId xmlns:a16="http://schemas.microsoft.com/office/drawing/2014/main" id="{00000000-0008-0000-0200-0000533D0000}"/>
              </a:ext>
            </a:extLst>
          </xdr:cNvPr>
          <xdr:cNvSpPr/>
        </xdr:nvSpPr>
        <xdr:spPr>
          <a:xfrm>
            <a:off x="551252" y="350111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24 CSA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E</a:t>
            </a:r>
            <a:endParaRPr lang="en-CA" sz="12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0" name="Group 15699">
                <a:extLst>
                  <a:ext uri="{FF2B5EF4-FFF2-40B4-BE49-F238E27FC236}">
                    <a16:creationId xmlns:a16="http://schemas.microsoft.com/office/drawing/2014/main" id="{00000000-0008-0000-0200-0000543D0000}"/>
                  </a:ext>
                </a:extLst>
              </xdr:cNvPr>
              <xdr:cNvGrpSpPr/>
            </xdr:nvGrpSpPr>
            <xdr:grpSpPr>
              <a:xfrm>
                <a:off x="1438020" y="1608067"/>
                <a:ext cx="3940595" cy="273845"/>
                <a:chOff x="1546366" y="1608481"/>
                <a:chExt cx="3608728" cy="276330"/>
              </a:xfrm>
            </xdr:grpSpPr>
            <xdr:sp macro="" textlink="">
              <xdr:nvSpPr>
                <xdr:cNvPr id="15626" name="PrE_JR" hidden="1">
                  <a:extLst>
                    <a:ext uri="{63B3BB69-23CF-44E3-9099-C40C66FF867C}">
                      <a14:compatExt spid="_x0000_s15626"/>
                    </a:ext>
                    <a:ext uri="{FF2B5EF4-FFF2-40B4-BE49-F238E27FC236}">
                      <a16:creationId xmlns:a16="http://schemas.microsoft.com/office/drawing/2014/main" id="{00000000-0008-0000-0200-00000A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7" name="PrE_INT" hidden="1">
                  <a:extLst>
                    <a:ext uri="{63B3BB69-23CF-44E3-9099-C40C66FF867C}">
                      <a14:compatExt spid="_x0000_s15627"/>
                    </a:ext>
                    <a:ext uri="{FF2B5EF4-FFF2-40B4-BE49-F238E27FC236}">
                      <a16:creationId xmlns:a16="http://schemas.microsoft.com/office/drawing/2014/main" id="{00000000-0008-0000-0200-00000B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8" name="PrE_SR" hidden="1">
                  <a:extLst>
                    <a:ext uri="{63B3BB69-23CF-44E3-9099-C40C66FF867C}">
                      <a14:compatExt spid="_x0000_s15628"/>
                    </a:ext>
                    <a:ext uri="{FF2B5EF4-FFF2-40B4-BE49-F238E27FC236}">
                      <a16:creationId xmlns:a16="http://schemas.microsoft.com/office/drawing/2014/main" id="{00000000-0008-0000-0200-00000C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29" name="PrE_LD" hidden="1">
                  <a:extLst>
                    <a:ext uri="{63B3BB69-23CF-44E3-9099-C40C66FF867C}">
                      <a14:compatExt spid="_x0000_s15629"/>
                    </a:ext>
                    <a:ext uri="{FF2B5EF4-FFF2-40B4-BE49-F238E27FC236}">
                      <a16:creationId xmlns:a16="http://schemas.microsoft.com/office/drawing/2014/main" id="{00000000-0008-0000-0200-00000D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0" name="PrE_SP" hidden="1">
                  <a:extLst>
                    <a:ext uri="{63B3BB69-23CF-44E3-9099-C40C66FF867C}">
                      <a14:compatExt spid="_x0000_s15630"/>
                    </a:ext>
                    <a:ext uri="{FF2B5EF4-FFF2-40B4-BE49-F238E27FC236}">
                      <a16:creationId xmlns:a16="http://schemas.microsoft.com/office/drawing/2014/main" id="{00000000-0008-0000-0200-00000E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1" name="PrE_SME" hidden="1">
                  <a:extLst>
                    <a:ext uri="{63B3BB69-23CF-44E3-9099-C40C66FF867C}">
                      <a14:compatExt spid="_x0000_s15631"/>
                    </a:ext>
                    <a:ext uri="{FF2B5EF4-FFF2-40B4-BE49-F238E27FC236}">
                      <a16:creationId xmlns:a16="http://schemas.microsoft.com/office/drawing/2014/main" id="{00000000-0008-0000-0200-00000F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2" name="PrE_EIT" hidden="1">
                  <a:extLst>
                    <a:ext uri="{63B3BB69-23CF-44E3-9099-C40C66FF867C}">
                      <a14:compatExt spid="_x0000_s15632"/>
                    </a:ext>
                    <a:ext uri="{FF2B5EF4-FFF2-40B4-BE49-F238E27FC236}">
                      <a16:creationId xmlns:a16="http://schemas.microsoft.com/office/drawing/2014/main" id="{00000000-0008-0000-0200-000010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1" name="Group 15700">
                <a:extLst>
                  <a:ext uri="{FF2B5EF4-FFF2-40B4-BE49-F238E27FC236}">
                    <a16:creationId xmlns:a16="http://schemas.microsoft.com/office/drawing/2014/main" id="{00000000-0008-0000-0200-0000553D0000}"/>
                  </a:ext>
                </a:extLst>
              </xdr:cNvPr>
              <xdr:cNvGrpSpPr/>
            </xdr:nvGrpSpPr>
            <xdr:grpSpPr>
              <a:xfrm>
                <a:off x="1438020" y="1993738"/>
                <a:ext cx="3940595" cy="273846"/>
                <a:chOff x="1546366" y="1608480"/>
                <a:chExt cx="3608728" cy="276331"/>
              </a:xfrm>
            </xdr:grpSpPr>
            <xdr:sp macro="" textlink="">
              <xdr:nvSpPr>
                <xdr:cNvPr id="15633" name="ME_JR" hidden="1">
                  <a:extLst>
                    <a:ext uri="{63B3BB69-23CF-44E3-9099-C40C66FF867C}">
                      <a14:compatExt spid="_x0000_s15633"/>
                    </a:ext>
                    <a:ext uri="{FF2B5EF4-FFF2-40B4-BE49-F238E27FC236}">
                      <a16:creationId xmlns:a16="http://schemas.microsoft.com/office/drawing/2014/main" id="{00000000-0008-0000-0200-000011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4" name="ME_INT" hidden="1">
                  <a:extLst>
                    <a:ext uri="{63B3BB69-23CF-44E3-9099-C40C66FF867C}">
                      <a14:compatExt spid="_x0000_s15634"/>
                    </a:ext>
                    <a:ext uri="{FF2B5EF4-FFF2-40B4-BE49-F238E27FC236}">
                      <a16:creationId xmlns:a16="http://schemas.microsoft.com/office/drawing/2014/main" id="{00000000-0008-0000-0200-0000123D0000}"/>
                    </a:ext>
                  </a:extLst>
                </xdr:cNvPr>
                <xdr:cNvSpPr/>
              </xdr:nvSpPr>
              <xdr:spPr bwMode="auto">
                <a:xfrm>
                  <a:off x="2589420" y="1608480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5" name="ME_SR" hidden="1">
                  <a:extLst>
                    <a:ext uri="{63B3BB69-23CF-44E3-9099-C40C66FF867C}">
                      <a14:compatExt spid="_x0000_s15635"/>
                    </a:ext>
                    <a:ext uri="{FF2B5EF4-FFF2-40B4-BE49-F238E27FC236}">
                      <a16:creationId xmlns:a16="http://schemas.microsoft.com/office/drawing/2014/main" id="{00000000-0008-0000-0200-000013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6" name="ME_LD" hidden="1">
                  <a:extLst>
                    <a:ext uri="{63B3BB69-23CF-44E3-9099-C40C66FF867C}">
                      <a14:compatExt spid="_x0000_s15636"/>
                    </a:ext>
                    <a:ext uri="{FF2B5EF4-FFF2-40B4-BE49-F238E27FC236}">
                      <a16:creationId xmlns:a16="http://schemas.microsoft.com/office/drawing/2014/main" id="{00000000-0008-0000-0200-000014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7" name="ME_SP" hidden="1">
                  <a:extLst>
                    <a:ext uri="{63B3BB69-23CF-44E3-9099-C40C66FF867C}">
                      <a14:compatExt spid="_x0000_s15637"/>
                    </a:ext>
                    <a:ext uri="{FF2B5EF4-FFF2-40B4-BE49-F238E27FC236}">
                      <a16:creationId xmlns:a16="http://schemas.microsoft.com/office/drawing/2014/main" id="{00000000-0008-0000-0200-000015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8" name="ME_SME" hidden="1">
                  <a:extLst>
                    <a:ext uri="{63B3BB69-23CF-44E3-9099-C40C66FF867C}">
                      <a14:compatExt spid="_x0000_s15638"/>
                    </a:ext>
                    <a:ext uri="{FF2B5EF4-FFF2-40B4-BE49-F238E27FC236}">
                      <a16:creationId xmlns:a16="http://schemas.microsoft.com/office/drawing/2014/main" id="{00000000-0008-0000-0200-000016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39" name="ME_EIT" hidden="1">
                  <a:extLst>
                    <a:ext uri="{63B3BB69-23CF-44E3-9099-C40C66FF867C}">
                      <a14:compatExt spid="_x0000_s15639"/>
                    </a:ext>
                    <a:ext uri="{FF2B5EF4-FFF2-40B4-BE49-F238E27FC236}">
                      <a16:creationId xmlns:a16="http://schemas.microsoft.com/office/drawing/2014/main" id="{00000000-0008-0000-0200-000017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2" name="Group 15701">
                <a:extLst>
                  <a:ext uri="{FF2B5EF4-FFF2-40B4-BE49-F238E27FC236}">
                    <a16:creationId xmlns:a16="http://schemas.microsoft.com/office/drawing/2014/main" id="{00000000-0008-0000-0200-0000563D0000}"/>
                  </a:ext>
                </a:extLst>
              </xdr:cNvPr>
              <xdr:cNvGrpSpPr/>
            </xdr:nvGrpSpPr>
            <xdr:grpSpPr>
              <a:xfrm>
                <a:off x="1438020" y="2378169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40" name="EE_JR" hidden="1">
                  <a:extLst>
                    <a:ext uri="{63B3BB69-23CF-44E3-9099-C40C66FF867C}">
                      <a14:compatExt spid="_x0000_s15640"/>
                    </a:ext>
                    <a:ext uri="{FF2B5EF4-FFF2-40B4-BE49-F238E27FC236}">
                      <a16:creationId xmlns:a16="http://schemas.microsoft.com/office/drawing/2014/main" id="{00000000-0008-0000-0200-000018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1" name="EE_INT" hidden="1">
                  <a:extLst>
                    <a:ext uri="{63B3BB69-23CF-44E3-9099-C40C66FF867C}">
                      <a14:compatExt spid="_x0000_s15641"/>
                    </a:ext>
                    <a:ext uri="{FF2B5EF4-FFF2-40B4-BE49-F238E27FC236}">
                      <a16:creationId xmlns:a16="http://schemas.microsoft.com/office/drawing/2014/main" id="{00000000-0008-0000-0200-000019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2" name="EE_SR" hidden="1">
                  <a:extLst>
                    <a:ext uri="{63B3BB69-23CF-44E3-9099-C40C66FF867C}">
                      <a14:compatExt spid="_x0000_s15642"/>
                    </a:ext>
                    <a:ext uri="{FF2B5EF4-FFF2-40B4-BE49-F238E27FC236}">
                      <a16:creationId xmlns:a16="http://schemas.microsoft.com/office/drawing/2014/main" id="{00000000-0008-0000-0200-00001A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3" name="EE_LD" hidden="1">
                  <a:extLst>
                    <a:ext uri="{63B3BB69-23CF-44E3-9099-C40C66FF867C}">
                      <a14:compatExt spid="_x0000_s15643"/>
                    </a:ext>
                    <a:ext uri="{FF2B5EF4-FFF2-40B4-BE49-F238E27FC236}">
                      <a16:creationId xmlns:a16="http://schemas.microsoft.com/office/drawing/2014/main" id="{00000000-0008-0000-0200-00001B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4" name="EE_SP" hidden="1">
                  <a:extLst>
                    <a:ext uri="{63B3BB69-23CF-44E3-9099-C40C66FF867C}">
                      <a14:compatExt spid="_x0000_s15644"/>
                    </a:ext>
                    <a:ext uri="{FF2B5EF4-FFF2-40B4-BE49-F238E27FC236}">
                      <a16:creationId xmlns:a16="http://schemas.microsoft.com/office/drawing/2014/main" id="{00000000-0008-0000-0200-00001C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5" name="EE_SME" hidden="1">
                  <a:extLst>
                    <a:ext uri="{63B3BB69-23CF-44E3-9099-C40C66FF867C}">
                      <a14:compatExt spid="_x0000_s15645"/>
                    </a:ext>
                    <a:ext uri="{FF2B5EF4-FFF2-40B4-BE49-F238E27FC236}">
                      <a16:creationId xmlns:a16="http://schemas.microsoft.com/office/drawing/2014/main" id="{00000000-0008-0000-0200-00001D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6" name="EE_EIT" hidden="1">
                  <a:extLst>
                    <a:ext uri="{63B3BB69-23CF-44E3-9099-C40C66FF867C}">
                      <a14:compatExt spid="_x0000_s15646"/>
                    </a:ext>
                    <a:ext uri="{FF2B5EF4-FFF2-40B4-BE49-F238E27FC236}">
                      <a16:creationId xmlns:a16="http://schemas.microsoft.com/office/drawing/2014/main" id="{00000000-0008-0000-0200-00001E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3" name="Group 15702">
                <a:extLst>
                  <a:ext uri="{FF2B5EF4-FFF2-40B4-BE49-F238E27FC236}">
                    <a16:creationId xmlns:a16="http://schemas.microsoft.com/office/drawing/2014/main" id="{00000000-0008-0000-0200-0000573D0000}"/>
                  </a:ext>
                </a:extLst>
              </xdr:cNvPr>
              <xdr:cNvGrpSpPr/>
            </xdr:nvGrpSpPr>
            <xdr:grpSpPr>
              <a:xfrm>
                <a:off x="1438020" y="2774791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47" name="ICE_JR" hidden="1">
                  <a:extLst>
                    <a:ext uri="{63B3BB69-23CF-44E3-9099-C40C66FF867C}">
                      <a14:compatExt spid="_x0000_s15647"/>
                    </a:ext>
                    <a:ext uri="{FF2B5EF4-FFF2-40B4-BE49-F238E27FC236}">
                      <a16:creationId xmlns:a16="http://schemas.microsoft.com/office/drawing/2014/main" id="{00000000-0008-0000-0200-00001F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8" name="ICE_INT" hidden="1">
                  <a:extLst>
                    <a:ext uri="{63B3BB69-23CF-44E3-9099-C40C66FF867C}">
                      <a14:compatExt spid="_x0000_s15648"/>
                    </a:ext>
                    <a:ext uri="{FF2B5EF4-FFF2-40B4-BE49-F238E27FC236}">
                      <a16:creationId xmlns:a16="http://schemas.microsoft.com/office/drawing/2014/main" id="{00000000-0008-0000-0200-000020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49" name="ICE_SR" hidden="1">
                  <a:extLst>
                    <a:ext uri="{63B3BB69-23CF-44E3-9099-C40C66FF867C}">
                      <a14:compatExt spid="_x0000_s15649"/>
                    </a:ext>
                    <a:ext uri="{FF2B5EF4-FFF2-40B4-BE49-F238E27FC236}">
                      <a16:creationId xmlns:a16="http://schemas.microsoft.com/office/drawing/2014/main" id="{00000000-0008-0000-0200-00002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0" name="ICE_LD" hidden="1">
                  <a:extLst>
                    <a:ext uri="{63B3BB69-23CF-44E3-9099-C40C66FF867C}">
                      <a14:compatExt spid="_x0000_s15650"/>
                    </a:ext>
                    <a:ext uri="{FF2B5EF4-FFF2-40B4-BE49-F238E27FC236}">
                      <a16:creationId xmlns:a16="http://schemas.microsoft.com/office/drawing/2014/main" id="{00000000-0008-0000-0200-000022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1" name="ICE_SP" hidden="1">
                  <a:extLst>
                    <a:ext uri="{63B3BB69-23CF-44E3-9099-C40C66FF867C}">
                      <a14:compatExt spid="_x0000_s15651"/>
                    </a:ext>
                    <a:ext uri="{FF2B5EF4-FFF2-40B4-BE49-F238E27FC236}">
                      <a16:creationId xmlns:a16="http://schemas.microsoft.com/office/drawing/2014/main" id="{00000000-0008-0000-0200-000023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2" name="ICE_SME" hidden="1">
                  <a:extLst>
                    <a:ext uri="{63B3BB69-23CF-44E3-9099-C40C66FF867C}">
                      <a14:compatExt spid="_x0000_s15652"/>
                    </a:ext>
                    <a:ext uri="{FF2B5EF4-FFF2-40B4-BE49-F238E27FC236}">
                      <a16:creationId xmlns:a16="http://schemas.microsoft.com/office/drawing/2014/main" id="{00000000-0008-0000-0200-000024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3" name="ICE_EIT" hidden="1">
                  <a:extLst>
                    <a:ext uri="{63B3BB69-23CF-44E3-9099-C40C66FF867C}">
                      <a14:compatExt spid="_x0000_s15653"/>
                    </a:ext>
                    <a:ext uri="{FF2B5EF4-FFF2-40B4-BE49-F238E27FC236}">
                      <a16:creationId xmlns:a16="http://schemas.microsoft.com/office/drawing/2014/main" id="{00000000-0008-0000-0200-000025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4" name="Group 15703">
                <a:extLst>
                  <a:ext uri="{FF2B5EF4-FFF2-40B4-BE49-F238E27FC236}">
                    <a16:creationId xmlns:a16="http://schemas.microsoft.com/office/drawing/2014/main" id="{00000000-0008-0000-0200-0000583D0000}"/>
                  </a:ext>
                </a:extLst>
              </xdr:cNvPr>
              <xdr:cNvGrpSpPr/>
            </xdr:nvGrpSpPr>
            <xdr:grpSpPr>
              <a:xfrm>
                <a:off x="1438020" y="3149513"/>
                <a:ext cx="3940595" cy="275088"/>
                <a:chOff x="1546366" y="1608481"/>
                <a:chExt cx="3608728" cy="276330"/>
              </a:xfrm>
            </xdr:grpSpPr>
            <xdr:sp macro="" textlink="">
              <xdr:nvSpPr>
                <xdr:cNvPr id="15654" name="TCAE_JR" hidden="1">
                  <a:extLst>
                    <a:ext uri="{63B3BB69-23CF-44E3-9099-C40C66FF867C}">
                      <a14:compatExt spid="_x0000_s15654"/>
                    </a:ext>
                    <a:ext uri="{FF2B5EF4-FFF2-40B4-BE49-F238E27FC236}">
                      <a16:creationId xmlns:a16="http://schemas.microsoft.com/office/drawing/2014/main" id="{00000000-0008-0000-0200-000026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5" name="TCAE_INT" hidden="1">
                  <a:extLst>
                    <a:ext uri="{63B3BB69-23CF-44E3-9099-C40C66FF867C}">
                      <a14:compatExt spid="_x0000_s15655"/>
                    </a:ext>
                    <a:ext uri="{FF2B5EF4-FFF2-40B4-BE49-F238E27FC236}">
                      <a16:creationId xmlns:a16="http://schemas.microsoft.com/office/drawing/2014/main" id="{00000000-0008-0000-0200-000027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6" name="TCAE_SR" hidden="1">
                  <a:extLst>
                    <a:ext uri="{63B3BB69-23CF-44E3-9099-C40C66FF867C}">
                      <a14:compatExt spid="_x0000_s15656"/>
                    </a:ext>
                    <a:ext uri="{FF2B5EF4-FFF2-40B4-BE49-F238E27FC236}">
                      <a16:creationId xmlns:a16="http://schemas.microsoft.com/office/drawing/2014/main" id="{00000000-0008-0000-0200-000028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7" name="TCAE_LD" hidden="1">
                  <a:extLst>
                    <a:ext uri="{63B3BB69-23CF-44E3-9099-C40C66FF867C}">
                      <a14:compatExt spid="_x0000_s15657"/>
                    </a:ext>
                    <a:ext uri="{FF2B5EF4-FFF2-40B4-BE49-F238E27FC236}">
                      <a16:creationId xmlns:a16="http://schemas.microsoft.com/office/drawing/2014/main" id="{00000000-0008-0000-0200-000029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8" name="TCAE_SP" hidden="1">
                  <a:extLst>
                    <a:ext uri="{63B3BB69-23CF-44E3-9099-C40C66FF867C}">
                      <a14:compatExt spid="_x0000_s15658"/>
                    </a:ext>
                    <a:ext uri="{FF2B5EF4-FFF2-40B4-BE49-F238E27FC236}">
                      <a16:creationId xmlns:a16="http://schemas.microsoft.com/office/drawing/2014/main" id="{00000000-0008-0000-0200-00002A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59" name="TCAE_SME" hidden="1">
                  <a:extLst>
                    <a:ext uri="{63B3BB69-23CF-44E3-9099-C40C66FF867C}">
                      <a14:compatExt spid="_x0000_s15659"/>
                    </a:ext>
                    <a:ext uri="{FF2B5EF4-FFF2-40B4-BE49-F238E27FC236}">
                      <a16:creationId xmlns:a16="http://schemas.microsoft.com/office/drawing/2014/main" id="{00000000-0008-0000-0200-00002B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0" name="TCAE_EIT" hidden="1">
                  <a:extLst>
                    <a:ext uri="{63B3BB69-23CF-44E3-9099-C40C66FF867C}">
                      <a14:compatExt spid="_x0000_s15660"/>
                    </a:ext>
                    <a:ext uri="{FF2B5EF4-FFF2-40B4-BE49-F238E27FC236}">
                      <a16:creationId xmlns:a16="http://schemas.microsoft.com/office/drawing/2014/main" id="{00000000-0008-0000-0200-00002C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05" name="Group 15704">
                <a:extLst>
                  <a:ext uri="{FF2B5EF4-FFF2-40B4-BE49-F238E27FC236}">
                    <a16:creationId xmlns:a16="http://schemas.microsoft.com/office/drawing/2014/main" id="{00000000-0008-0000-0200-0000593D0000}"/>
                  </a:ext>
                </a:extLst>
              </xdr:cNvPr>
              <xdr:cNvGrpSpPr/>
            </xdr:nvGrpSpPr>
            <xdr:grpSpPr>
              <a:xfrm>
                <a:off x="1438020" y="3535184"/>
                <a:ext cx="3940595" cy="275087"/>
                <a:chOff x="1546366" y="1608481"/>
                <a:chExt cx="3608728" cy="276330"/>
              </a:xfrm>
            </xdr:grpSpPr>
            <xdr:sp macro="" textlink="">
              <xdr:nvSpPr>
                <xdr:cNvPr id="15661" name="CSAE_JR" hidden="1">
                  <a:extLst>
                    <a:ext uri="{63B3BB69-23CF-44E3-9099-C40C66FF867C}">
                      <a14:compatExt spid="_x0000_s15661"/>
                    </a:ext>
                    <a:ext uri="{FF2B5EF4-FFF2-40B4-BE49-F238E27FC236}">
                      <a16:creationId xmlns:a16="http://schemas.microsoft.com/office/drawing/2014/main" id="{00000000-0008-0000-0200-00002D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2" name="CSAE_INT" hidden="1">
                  <a:extLst>
                    <a:ext uri="{63B3BB69-23CF-44E3-9099-C40C66FF867C}">
                      <a14:compatExt spid="_x0000_s15662"/>
                    </a:ext>
                    <a:ext uri="{FF2B5EF4-FFF2-40B4-BE49-F238E27FC236}">
                      <a16:creationId xmlns:a16="http://schemas.microsoft.com/office/drawing/2014/main" id="{00000000-0008-0000-0200-00002E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3" name="CSAE_SR" hidden="1">
                  <a:extLst>
                    <a:ext uri="{63B3BB69-23CF-44E3-9099-C40C66FF867C}">
                      <a14:compatExt spid="_x0000_s15663"/>
                    </a:ext>
                    <a:ext uri="{FF2B5EF4-FFF2-40B4-BE49-F238E27FC236}">
                      <a16:creationId xmlns:a16="http://schemas.microsoft.com/office/drawing/2014/main" id="{00000000-0008-0000-0200-00002F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4" name="CSAE_LD" hidden="1">
                  <a:extLst>
                    <a:ext uri="{63B3BB69-23CF-44E3-9099-C40C66FF867C}">
                      <a14:compatExt spid="_x0000_s15664"/>
                    </a:ext>
                    <a:ext uri="{FF2B5EF4-FFF2-40B4-BE49-F238E27FC236}">
                      <a16:creationId xmlns:a16="http://schemas.microsoft.com/office/drawing/2014/main" id="{00000000-0008-0000-0200-000030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5" name="CSAE_SP" hidden="1">
                  <a:extLst>
                    <a:ext uri="{63B3BB69-23CF-44E3-9099-C40C66FF867C}">
                      <a14:compatExt spid="_x0000_s15665"/>
                    </a:ext>
                    <a:ext uri="{FF2B5EF4-FFF2-40B4-BE49-F238E27FC236}">
                      <a16:creationId xmlns:a16="http://schemas.microsoft.com/office/drawing/2014/main" id="{00000000-0008-0000-0200-000031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6" name="CSAE_SME" hidden="1">
                  <a:extLst>
                    <a:ext uri="{63B3BB69-23CF-44E3-9099-C40C66FF867C}">
                      <a14:compatExt spid="_x0000_s15666"/>
                    </a:ext>
                    <a:ext uri="{FF2B5EF4-FFF2-40B4-BE49-F238E27FC236}">
                      <a16:creationId xmlns:a16="http://schemas.microsoft.com/office/drawing/2014/main" id="{00000000-0008-0000-0200-000032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7" name="CSAE_EIT" hidden="1">
                  <a:extLst>
                    <a:ext uri="{63B3BB69-23CF-44E3-9099-C40C66FF867C}">
                      <a14:compatExt spid="_x0000_s15667"/>
                    </a:ext>
                    <a:ext uri="{FF2B5EF4-FFF2-40B4-BE49-F238E27FC236}">
                      <a16:creationId xmlns:a16="http://schemas.microsoft.com/office/drawing/2014/main" id="{00000000-0008-0000-0200-0000333D0000}"/>
                    </a:ext>
                  </a:extLst>
                </xdr:cNvPr>
                <xdr:cNvSpPr/>
              </xdr:nvSpPr>
              <xdr:spPr bwMode="auto">
                <a:xfrm>
                  <a:off x="1546366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20</xdr:row>
      <xdr:rowOff>99805</xdr:rowOff>
    </xdr:from>
    <xdr:to>
      <xdr:col>14</xdr:col>
      <xdr:colOff>239367</xdr:colOff>
      <xdr:row>31</xdr:row>
      <xdr:rowOff>21121</xdr:rowOff>
    </xdr:to>
    <xdr:grpSp>
      <xdr:nvGrpSpPr>
        <xdr:cNvPr id="15862" name="Group 15861">
          <a:extLst>
            <a:ext uri="{FF2B5EF4-FFF2-40B4-BE49-F238E27FC236}">
              <a16:creationId xmlns:a16="http://schemas.microsoft.com/office/drawing/2014/main" id="{00000000-0008-0000-0200-0000F63D0000}"/>
            </a:ext>
          </a:extLst>
        </xdr:cNvPr>
        <xdr:cNvGrpSpPr/>
      </xdr:nvGrpSpPr>
      <xdr:grpSpPr>
        <a:xfrm>
          <a:off x="4948859" y="3719305"/>
          <a:ext cx="4891708" cy="1912041"/>
          <a:chOff x="704850" y="4114800"/>
          <a:chExt cx="4914900" cy="1962150"/>
        </a:xfrm>
      </xdr:grpSpPr>
      <xdr:sp macro="" textlink="">
        <xdr:nvSpPr>
          <xdr:cNvPr id="15749" name="Rectangle 15748">
            <a:extLst>
              <a:ext uri="{FF2B5EF4-FFF2-40B4-BE49-F238E27FC236}">
                <a16:creationId xmlns:a16="http://schemas.microsoft.com/office/drawing/2014/main" id="{00000000-0008-0000-0200-0000853D0000}"/>
              </a:ext>
            </a:extLst>
          </xdr:cNvPr>
          <xdr:cNvSpPr/>
        </xdr:nvSpPr>
        <xdr:spPr>
          <a:xfrm>
            <a:off x="704850" y="4114800"/>
            <a:ext cx="4914900" cy="1962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750" name="Rectangle 15749">
            <a:extLst>
              <a:ext uri="{FF2B5EF4-FFF2-40B4-BE49-F238E27FC236}">
                <a16:creationId xmlns:a16="http://schemas.microsoft.com/office/drawing/2014/main" id="{00000000-0008-0000-0200-0000863D0000}"/>
              </a:ext>
            </a:extLst>
          </xdr:cNvPr>
          <xdr:cNvSpPr/>
        </xdr:nvSpPr>
        <xdr:spPr>
          <a:xfrm>
            <a:off x="732227" y="416480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30 TECH</a:t>
            </a:r>
          </a:p>
        </xdr:txBody>
      </xdr:sp>
      <xdr:sp macro="" textlink="">
        <xdr:nvSpPr>
          <xdr:cNvPr id="15751" name="Rectangle 15750">
            <a:extLst>
              <a:ext uri="{FF2B5EF4-FFF2-40B4-BE49-F238E27FC236}">
                <a16:creationId xmlns:a16="http://schemas.microsoft.com/office/drawing/2014/main" id="{00000000-0008-0000-0200-0000873D0000}"/>
              </a:ext>
            </a:extLst>
          </xdr:cNvPr>
          <xdr:cNvSpPr/>
        </xdr:nvSpPr>
        <xdr:spPr>
          <a:xfrm>
            <a:off x="732227" y="455532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33 ET</a:t>
            </a:r>
          </a:p>
        </xdr:txBody>
      </xdr:sp>
      <xdr:sp macro="" textlink="">
        <xdr:nvSpPr>
          <xdr:cNvPr id="15752" name="Rectangle 15751">
            <a:extLst>
              <a:ext uri="{FF2B5EF4-FFF2-40B4-BE49-F238E27FC236}">
                <a16:creationId xmlns:a16="http://schemas.microsoft.com/office/drawing/2014/main" id="{00000000-0008-0000-0200-0000883D0000}"/>
              </a:ext>
            </a:extLst>
          </xdr:cNvPr>
          <xdr:cNvSpPr/>
        </xdr:nvSpPr>
        <xdr:spPr>
          <a:xfrm>
            <a:off x="732227" y="494099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34 ICT</a:t>
            </a:r>
          </a:p>
        </xdr:txBody>
      </xdr:sp>
      <xdr:sp macro="" textlink="">
        <xdr:nvSpPr>
          <xdr:cNvPr id="15753" name="Rectangle 15752">
            <a:extLst>
              <a:ext uri="{FF2B5EF4-FFF2-40B4-BE49-F238E27FC236}">
                <a16:creationId xmlns:a16="http://schemas.microsoft.com/office/drawing/2014/main" id="{00000000-0008-0000-0200-0000893D0000}"/>
              </a:ext>
            </a:extLst>
          </xdr:cNvPr>
          <xdr:cNvSpPr/>
        </xdr:nvSpPr>
        <xdr:spPr>
          <a:xfrm>
            <a:off x="732227" y="532666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35</a:t>
            </a:r>
            <a:r>
              <a:rPr lang="en-CA" sz="12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TCAT</a:t>
            </a:r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</a:t>
            </a:r>
          </a:p>
        </xdr:txBody>
      </xdr:sp>
      <xdr:sp macro="" textlink="">
        <xdr:nvSpPr>
          <xdr:cNvPr id="15754" name="Rectangle 15753">
            <a:extLst>
              <a:ext uri="{FF2B5EF4-FFF2-40B4-BE49-F238E27FC236}">
                <a16:creationId xmlns:a16="http://schemas.microsoft.com/office/drawing/2014/main" id="{00000000-0008-0000-0200-00008A3D0000}"/>
              </a:ext>
            </a:extLst>
          </xdr:cNvPr>
          <xdr:cNvSpPr/>
        </xdr:nvSpPr>
        <xdr:spPr>
          <a:xfrm>
            <a:off x="732227" y="5722046"/>
            <a:ext cx="813152" cy="324178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36 CSAT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7" name="Group 15756">
                <a:extLst>
                  <a:ext uri="{FF2B5EF4-FFF2-40B4-BE49-F238E27FC236}">
                    <a16:creationId xmlns:a16="http://schemas.microsoft.com/office/drawing/2014/main" id="{00000000-0008-0000-0200-00008D3D0000}"/>
                  </a:ext>
                </a:extLst>
              </xdr:cNvPr>
              <xdr:cNvGrpSpPr/>
            </xdr:nvGrpSpPr>
            <xdr:grpSpPr>
              <a:xfrm>
                <a:off x="1618993" y="4589392"/>
                <a:ext cx="3940596" cy="273845"/>
                <a:chOff x="1546364" y="1608481"/>
                <a:chExt cx="3608729" cy="276330"/>
              </a:xfrm>
            </xdr:grpSpPr>
            <xdr:sp macro="" textlink="">
              <xdr:nvSpPr>
                <xdr:cNvPr id="15668" name="ET_JR" hidden="1">
                  <a:extLst>
                    <a:ext uri="{63B3BB69-23CF-44E3-9099-C40C66FF867C}">
                      <a14:compatExt spid="_x0000_s15668"/>
                    </a:ext>
                    <a:ext uri="{FF2B5EF4-FFF2-40B4-BE49-F238E27FC236}">
                      <a16:creationId xmlns:a16="http://schemas.microsoft.com/office/drawing/2014/main" id="{00000000-0008-0000-0200-000034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69" name="ET_INT" hidden="1">
                  <a:extLst>
                    <a:ext uri="{63B3BB69-23CF-44E3-9099-C40C66FF867C}">
                      <a14:compatExt spid="_x0000_s15669"/>
                    </a:ext>
                    <a:ext uri="{FF2B5EF4-FFF2-40B4-BE49-F238E27FC236}">
                      <a16:creationId xmlns:a16="http://schemas.microsoft.com/office/drawing/2014/main" id="{00000000-0008-0000-0200-000035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0" name="ET_SR" hidden="1">
                  <a:extLst>
                    <a:ext uri="{63B3BB69-23CF-44E3-9099-C40C66FF867C}">
                      <a14:compatExt spid="_x0000_s15670"/>
                    </a:ext>
                    <a:ext uri="{FF2B5EF4-FFF2-40B4-BE49-F238E27FC236}">
                      <a16:creationId xmlns:a16="http://schemas.microsoft.com/office/drawing/2014/main" id="{00000000-0008-0000-0200-000036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1" name="ET_LD" hidden="1">
                  <a:extLst>
                    <a:ext uri="{63B3BB69-23CF-44E3-9099-C40C66FF867C}">
                      <a14:compatExt spid="_x0000_s15671"/>
                    </a:ext>
                    <a:ext uri="{FF2B5EF4-FFF2-40B4-BE49-F238E27FC236}">
                      <a16:creationId xmlns:a16="http://schemas.microsoft.com/office/drawing/2014/main" id="{00000000-0008-0000-0200-000037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2" name="ET_SP" hidden="1">
                  <a:extLst>
                    <a:ext uri="{63B3BB69-23CF-44E3-9099-C40C66FF867C}">
                      <a14:compatExt spid="_x0000_s15672"/>
                    </a:ext>
                    <a:ext uri="{FF2B5EF4-FFF2-40B4-BE49-F238E27FC236}">
                      <a16:creationId xmlns:a16="http://schemas.microsoft.com/office/drawing/2014/main" id="{00000000-0008-0000-0200-000038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3" name="ET_SME" hidden="1">
                  <a:extLst>
                    <a:ext uri="{63B3BB69-23CF-44E3-9099-C40C66FF867C}">
                      <a14:compatExt spid="_x0000_s15673"/>
                    </a:ext>
                    <a:ext uri="{FF2B5EF4-FFF2-40B4-BE49-F238E27FC236}">
                      <a16:creationId xmlns:a16="http://schemas.microsoft.com/office/drawing/2014/main" id="{00000000-0008-0000-0200-000039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4" name="ET_TRN" hidden="1">
                  <a:extLst>
                    <a:ext uri="{63B3BB69-23CF-44E3-9099-C40C66FF867C}">
                      <a14:compatExt spid="_x0000_s15674"/>
                    </a:ext>
                    <a:ext uri="{FF2B5EF4-FFF2-40B4-BE49-F238E27FC236}">
                      <a16:creationId xmlns:a16="http://schemas.microsoft.com/office/drawing/2014/main" id="{00000000-0008-0000-0200-00003A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8" name="Group 15757">
                <a:extLst>
                  <a:ext uri="{FF2B5EF4-FFF2-40B4-BE49-F238E27FC236}">
                    <a16:creationId xmlns:a16="http://schemas.microsoft.com/office/drawing/2014/main" id="{00000000-0008-0000-0200-00008E3D0000}"/>
                  </a:ext>
                </a:extLst>
              </xdr:cNvPr>
              <xdr:cNvGrpSpPr/>
            </xdr:nvGrpSpPr>
            <xdr:grpSpPr>
              <a:xfrm>
                <a:off x="1618993" y="4975064"/>
                <a:ext cx="3940596" cy="273845"/>
                <a:chOff x="1546364" y="1608481"/>
                <a:chExt cx="3608729" cy="276330"/>
              </a:xfrm>
            </xdr:grpSpPr>
            <xdr:sp macro="" textlink="">
              <xdr:nvSpPr>
                <xdr:cNvPr id="15675" name="ICT_JR" hidden="1">
                  <a:extLst>
                    <a:ext uri="{63B3BB69-23CF-44E3-9099-C40C66FF867C}">
                      <a14:compatExt spid="_x0000_s15675"/>
                    </a:ext>
                    <a:ext uri="{FF2B5EF4-FFF2-40B4-BE49-F238E27FC236}">
                      <a16:creationId xmlns:a16="http://schemas.microsoft.com/office/drawing/2014/main" id="{00000000-0008-0000-0200-00003B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6" name="ICT_INT" hidden="1">
                  <a:extLst>
                    <a:ext uri="{63B3BB69-23CF-44E3-9099-C40C66FF867C}">
                      <a14:compatExt spid="_x0000_s15676"/>
                    </a:ext>
                    <a:ext uri="{FF2B5EF4-FFF2-40B4-BE49-F238E27FC236}">
                      <a16:creationId xmlns:a16="http://schemas.microsoft.com/office/drawing/2014/main" id="{00000000-0008-0000-0200-00003C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7" name="ICT_SR" hidden="1">
                  <a:extLst>
                    <a:ext uri="{63B3BB69-23CF-44E3-9099-C40C66FF867C}">
                      <a14:compatExt spid="_x0000_s15677"/>
                    </a:ext>
                    <a:ext uri="{FF2B5EF4-FFF2-40B4-BE49-F238E27FC236}">
                      <a16:creationId xmlns:a16="http://schemas.microsoft.com/office/drawing/2014/main" id="{00000000-0008-0000-0200-00003D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8" name="ICT_LD" hidden="1">
                  <a:extLst>
                    <a:ext uri="{63B3BB69-23CF-44E3-9099-C40C66FF867C}">
                      <a14:compatExt spid="_x0000_s15678"/>
                    </a:ext>
                    <a:ext uri="{FF2B5EF4-FFF2-40B4-BE49-F238E27FC236}">
                      <a16:creationId xmlns:a16="http://schemas.microsoft.com/office/drawing/2014/main" id="{00000000-0008-0000-0200-00003E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79" name="ICT_SP" hidden="1">
                  <a:extLst>
                    <a:ext uri="{63B3BB69-23CF-44E3-9099-C40C66FF867C}">
                      <a14:compatExt spid="_x0000_s15679"/>
                    </a:ext>
                    <a:ext uri="{FF2B5EF4-FFF2-40B4-BE49-F238E27FC236}">
                      <a16:creationId xmlns:a16="http://schemas.microsoft.com/office/drawing/2014/main" id="{00000000-0008-0000-0200-00003F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0" name="ICT_SME" hidden="1">
                  <a:extLst>
                    <a:ext uri="{63B3BB69-23CF-44E3-9099-C40C66FF867C}">
                      <a14:compatExt spid="_x0000_s15680"/>
                    </a:ext>
                    <a:ext uri="{FF2B5EF4-FFF2-40B4-BE49-F238E27FC236}">
                      <a16:creationId xmlns:a16="http://schemas.microsoft.com/office/drawing/2014/main" id="{00000000-0008-0000-0200-000040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1" name="ICT_TRN" hidden="1">
                  <a:extLst>
                    <a:ext uri="{63B3BB69-23CF-44E3-9099-C40C66FF867C}">
                      <a14:compatExt spid="_x0000_s15681"/>
                    </a:ext>
                    <a:ext uri="{FF2B5EF4-FFF2-40B4-BE49-F238E27FC236}">
                      <a16:creationId xmlns:a16="http://schemas.microsoft.com/office/drawing/2014/main" id="{00000000-0008-0000-0200-000041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59" name="Group 15758">
                <a:extLst>
                  <a:ext uri="{FF2B5EF4-FFF2-40B4-BE49-F238E27FC236}">
                    <a16:creationId xmlns:a16="http://schemas.microsoft.com/office/drawing/2014/main" id="{00000000-0008-0000-0200-00008F3D0000}"/>
                  </a:ext>
                </a:extLst>
              </xdr:cNvPr>
              <xdr:cNvGrpSpPr/>
            </xdr:nvGrpSpPr>
            <xdr:grpSpPr>
              <a:xfrm>
                <a:off x="1618993" y="5359494"/>
                <a:ext cx="3940596" cy="275088"/>
                <a:chOff x="1546364" y="1608481"/>
                <a:chExt cx="3608729" cy="276330"/>
              </a:xfrm>
            </xdr:grpSpPr>
            <xdr:sp macro="" textlink="">
              <xdr:nvSpPr>
                <xdr:cNvPr id="15682" name="TCAT_JR" hidden="1">
                  <a:extLst>
                    <a:ext uri="{63B3BB69-23CF-44E3-9099-C40C66FF867C}">
                      <a14:compatExt spid="_x0000_s15682"/>
                    </a:ext>
                    <a:ext uri="{FF2B5EF4-FFF2-40B4-BE49-F238E27FC236}">
                      <a16:creationId xmlns:a16="http://schemas.microsoft.com/office/drawing/2014/main" id="{00000000-0008-0000-0200-000042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3" name="TCAT_INT" hidden="1">
                  <a:extLst>
                    <a:ext uri="{63B3BB69-23CF-44E3-9099-C40C66FF867C}">
                      <a14:compatExt spid="_x0000_s15683"/>
                    </a:ext>
                    <a:ext uri="{FF2B5EF4-FFF2-40B4-BE49-F238E27FC236}">
                      <a16:creationId xmlns:a16="http://schemas.microsoft.com/office/drawing/2014/main" id="{00000000-0008-0000-0200-000043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4" name="TCAT_SR" hidden="1">
                  <a:extLst>
                    <a:ext uri="{63B3BB69-23CF-44E3-9099-C40C66FF867C}">
                      <a14:compatExt spid="_x0000_s15684"/>
                    </a:ext>
                    <a:ext uri="{FF2B5EF4-FFF2-40B4-BE49-F238E27FC236}">
                      <a16:creationId xmlns:a16="http://schemas.microsoft.com/office/drawing/2014/main" id="{00000000-0008-0000-0200-000044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5" name="TCAT_LD" hidden="1">
                  <a:extLst>
                    <a:ext uri="{63B3BB69-23CF-44E3-9099-C40C66FF867C}">
                      <a14:compatExt spid="_x0000_s15685"/>
                    </a:ext>
                    <a:ext uri="{FF2B5EF4-FFF2-40B4-BE49-F238E27FC236}">
                      <a16:creationId xmlns:a16="http://schemas.microsoft.com/office/drawing/2014/main" id="{00000000-0008-0000-0200-000045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6" name="TCAT_SP" hidden="1">
                  <a:extLst>
                    <a:ext uri="{63B3BB69-23CF-44E3-9099-C40C66FF867C}">
                      <a14:compatExt spid="_x0000_s15686"/>
                    </a:ext>
                    <a:ext uri="{FF2B5EF4-FFF2-40B4-BE49-F238E27FC236}">
                      <a16:creationId xmlns:a16="http://schemas.microsoft.com/office/drawing/2014/main" id="{00000000-0008-0000-0200-000046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7" name="TCAT_SME" hidden="1">
                  <a:extLst>
                    <a:ext uri="{63B3BB69-23CF-44E3-9099-C40C66FF867C}">
                      <a14:compatExt spid="_x0000_s15687"/>
                    </a:ext>
                    <a:ext uri="{FF2B5EF4-FFF2-40B4-BE49-F238E27FC236}">
                      <a16:creationId xmlns:a16="http://schemas.microsoft.com/office/drawing/2014/main" id="{00000000-0008-0000-0200-000047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688" name="TCAT_TRN" hidden="1">
                  <a:extLst>
                    <a:ext uri="{63B3BB69-23CF-44E3-9099-C40C66FF867C}">
                      <a14:compatExt spid="_x0000_s15688"/>
                    </a:ext>
                    <a:ext uri="{FF2B5EF4-FFF2-40B4-BE49-F238E27FC236}">
                      <a16:creationId xmlns:a16="http://schemas.microsoft.com/office/drawing/2014/main" id="{00000000-0008-0000-0200-000048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760" name="Group 15759">
                <a:extLst>
                  <a:ext uri="{FF2B5EF4-FFF2-40B4-BE49-F238E27FC236}">
                    <a16:creationId xmlns:a16="http://schemas.microsoft.com/office/drawing/2014/main" id="{00000000-0008-0000-0200-0000903D0000}"/>
                  </a:ext>
                </a:extLst>
              </xdr:cNvPr>
              <xdr:cNvGrpSpPr/>
            </xdr:nvGrpSpPr>
            <xdr:grpSpPr>
              <a:xfrm>
                <a:off x="1618993" y="5756116"/>
                <a:ext cx="3940596" cy="275088"/>
                <a:chOff x="1546364" y="1608481"/>
                <a:chExt cx="3608729" cy="276330"/>
              </a:xfrm>
            </xdr:grpSpPr>
            <xdr:sp macro="" textlink="">
              <xdr:nvSpPr>
                <xdr:cNvPr id="15689" name="CSAT_JR" hidden="1">
                  <a:extLst>
                    <a:ext uri="{63B3BB69-23CF-44E3-9099-C40C66FF867C}">
                      <a14:compatExt spid="_x0000_s15689"/>
                    </a:ext>
                    <a:ext uri="{FF2B5EF4-FFF2-40B4-BE49-F238E27FC236}">
                      <a16:creationId xmlns:a16="http://schemas.microsoft.com/office/drawing/2014/main" id="{00000000-0008-0000-0200-000049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8" name="CSAT_INT" hidden="1">
                  <a:extLst>
                    <a:ext uri="{63B3BB69-23CF-44E3-9099-C40C66FF867C}">
                      <a14:compatExt spid="_x0000_s15690"/>
                    </a:ext>
                    <a:ext uri="{FF2B5EF4-FFF2-40B4-BE49-F238E27FC236}">
                      <a16:creationId xmlns:a16="http://schemas.microsoft.com/office/drawing/2014/main" id="{00000000-0008-0000-0200-0000AC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7" name="CSAT_SR" hidden="1">
                  <a:extLst>
                    <a:ext uri="{63B3BB69-23CF-44E3-9099-C40C66FF867C}">
                      <a14:compatExt spid="_x0000_s15691"/>
                    </a:ext>
                    <a:ext uri="{FF2B5EF4-FFF2-40B4-BE49-F238E27FC236}">
                      <a16:creationId xmlns:a16="http://schemas.microsoft.com/office/drawing/2014/main" id="{00000000-0008-0000-0200-0000AB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6" name="CSAT_LD" hidden="1">
                  <a:extLst>
                    <a:ext uri="{63B3BB69-23CF-44E3-9099-C40C66FF867C}">
                      <a14:compatExt spid="_x0000_s15692"/>
                    </a:ext>
                    <a:ext uri="{FF2B5EF4-FFF2-40B4-BE49-F238E27FC236}">
                      <a16:creationId xmlns:a16="http://schemas.microsoft.com/office/drawing/2014/main" id="{00000000-0008-0000-0200-0000AA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5" name="CSAT_SP" hidden="1">
                  <a:extLst>
                    <a:ext uri="{63B3BB69-23CF-44E3-9099-C40C66FF867C}">
                      <a14:compatExt spid="_x0000_s15693"/>
                    </a:ext>
                    <a:ext uri="{FF2B5EF4-FFF2-40B4-BE49-F238E27FC236}">
                      <a16:creationId xmlns:a16="http://schemas.microsoft.com/office/drawing/2014/main" id="{00000000-0008-0000-0200-0000A93D0000}"/>
                    </a:ext>
                  </a:extLst>
                </xdr:cNvPr>
                <xdr:cNvSpPr/>
              </xdr:nvSpPr>
              <xdr:spPr bwMode="auto">
                <a:xfrm>
                  <a:off x="4156489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4" name="CSAT_SME" hidden="1">
                  <a:extLst>
                    <a:ext uri="{63B3BB69-23CF-44E3-9099-C40C66FF867C}">
                      <a14:compatExt spid="_x0000_s15694"/>
                    </a:ext>
                    <a:ext uri="{FF2B5EF4-FFF2-40B4-BE49-F238E27FC236}">
                      <a16:creationId xmlns:a16="http://schemas.microsoft.com/office/drawing/2014/main" id="{00000000-0008-0000-0200-0000A83D0000}"/>
                    </a:ext>
                  </a:extLst>
                </xdr:cNvPr>
                <xdr:cNvSpPr/>
              </xdr:nvSpPr>
              <xdr:spPr bwMode="auto">
                <a:xfrm>
                  <a:off x="4677187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3" name="CSAT_TRN" hidden="1">
                  <a:extLst>
                    <a:ext uri="{63B3BB69-23CF-44E3-9099-C40C66FF867C}">
                      <a14:compatExt spid="_x0000_s15695"/>
                    </a:ext>
                    <a:ext uri="{FF2B5EF4-FFF2-40B4-BE49-F238E27FC236}">
                      <a16:creationId xmlns:a16="http://schemas.microsoft.com/office/drawing/2014/main" id="{00000000-0008-0000-0200-0000A7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20</xdr:row>
      <xdr:rowOff>171243</xdr:rowOff>
    </xdr:from>
    <xdr:to>
      <xdr:col>21</xdr:col>
      <xdr:colOff>435251</xdr:colOff>
      <xdr:row>29</xdr:row>
      <xdr:rowOff>82619</xdr:rowOff>
    </xdr:to>
    <xdr:grpSp>
      <xdr:nvGrpSpPr>
        <xdr:cNvPr id="15863" name="Group 15862">
          <a:extLst>
            <a:ext uri="{FF2B5EF4-FFF2-40B4-BE49-F238E27FC236}">
              <a16:creationId xmlns:a16="http://schemas.microsoft.com/office/drawing/2014/main" id="{00000000-0008-0000-0200-0000F73D0000}"/>
            </a:ext>
          </a:extLst>
        </xdr:cNvPr>
        <xdr:cNvGrpSpPr/>
      </xdr:nvGrpSpPr>
      <xdr:grpSpPr>
        <a:xfrm>
          <a:off x="9945342" y="3790743"/>
          <a:ext cx="4891709" cy="1540151"/>
          <a:chOff x="6829425" y="3429000"/>
          <a:chExt cx="4914900" cy="1581150"/>
        </a:xfrm>
      </xdr:grpSpPr>
      <xdr:sp macro="" textlink="">
        <xdr:nvSpPr>
          <xdr:cNvPr id="15806" name="Rectangle 15805">
            <a:extLst>
              <a:ext uri="{FF2B5EF4-FFF2-40B4-BE49-F238E27FC236}">
                <a16:creationId xmlns:a16="http://schemas.microsoft.com/office/drawing/2014/main" id="{00000000-0008-0000-0200-0000BE3D0000}"/>
              </a:ext>
            </a:extLst>
          </xdr:cNvPr>
          <xdr:cNvSpPr/>
        </xdr:nvSpPr>
        <xdr:spPr>
          <a:xfrm>
            <a:off x="6829425" y="3429000"/>
            <a:ext cx="4914900" cy="158115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07" name="Rectangle 15806">
            <a:extLst>
              <a:ext uri="{FF2B5EF4-FFF2-40B4-BE49-F238E27FC236}">
                <a16:creationId xmlns:a16="http://schemas.microsoft.com/office/drawing/2014/main" id="{00000000-0008-0000-0200-0000BF3D0000}"/>
              </a:ext>
            </a:extLst>
          </xdr:cNvPr>
          <xdr:cNvSpPr/>
        </xdr:nvSpPr>
        <xdr:spPr>
          <a:xfrm>
            <a:off x="6866327" y="3459956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40 DM</a:t>
            </a:r>
          </a:p>
        </xdr:txBody>
      </xdr:sp>
      <xdr:sp macro="" textlink="">
        <xdr:nvSpPr>
          <xdr:cNvPr id="15808" name="Rectangle 15807">
            <a:extLst>
              <a:ext uri="{FF2B5EF4-FFF2-40B4-BE49-F238E27FC236}">
                <a16:creationId xmlns:a16="http://schemas.microsoft.com/office/drawing/2014/main" id="{00000000-0008-0000-0200-0000C03D0000}"/>
              </a:ext>
            </a:extLst>
          </xdr:cNvPr>
          <xdr:cNvSpPr/>
        </xdr:nvSpPr>
        <xdr:spPr>
          <a:xfrm>
            <a:off x="6866327" y="3850472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41 PPD</a:t>
            </a:r>
          </a:p>
        </xdr:txBody>
      </xdr:sp>
      <xdr:sp macro="" textlink="">
        <xdr:nvSpPr>
          <xdr:cNvPr id="15809" name="Rectangle 15808">
            <a:extLst>
              <a:ext uri="{FF2B5EF4-FFF2-40B4-BE49-F238E27FC236}">
                <a16:creationId xmlns:a16="http://schemas.microsoft.com/office/drawing/2014/main" id="{00000000-0008-0000-0200-0000C13D0000}"/>
              </a:ext>
            </a:extLst>
          </xdr:cNvPr>
          <xdr:cNvSpPr/>
        </xdr:nvSpPr>
        <xdr:spPr>
          <a:xfrm>
            <a:off x="6866327" y="4236144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2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42 EICT</a:t>
            </a:r>
          </a:p>
        </xdr:txBody>
      </xdr:sp>
      <xdr:sp macro="" textlink="">
        <xdr:nvSpPr>
          <xdr:cNvPr id="15810" name="Rectangle 15809">
            <a:extLst>
              <a:ext uri="{FF2B5EF4-FFF2-40B4-BE49-F238E27FC236}">
                <a16:creationId xmlns:a16="http://schemas.microsoft.com/office/drawing/2014/main" id="{00000000-0008-0000-0200-0000C23D0000}"/>
              </a:ext>
            </a:extLst>
          </xdr:cNvPr>
          <xdr:cNvSpPr/>
        </xdr:nvSpPr>
        <xdr:spPr>
          <a:xfrm>
            <a:off x="6866327" y="4621816"/>
            <a:ext cx="813152" cy="322936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9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43 CSA DM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4" name="Group 15813">
                <a:extLst>
                  <a:ext uri="{FF2B5EF4-FFF2-40B4-BE49-F238E27FC236}">
                    <a16:creationId xmlns:a16="http://schemas.microsoft.com/office/drawing/2014/main" id="{00000000-0008-0000-0200-0000C63D0000}"/>
                  </a:ext>
                </a:extLst>
              </xdr:cNvPr>
              <xdr:cNvGrpSpPr/>
            </xdr:nvGrpSpPr>
            <xdr:grpSpPr>
              <a:xfrm>
                <a:off x="7753094" y="3884542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0" name="PPD_JR" hidden="1">
                  <a:extLst>
                    <a:ext uri="{63B3BB69-23CF-44E3-9099-C40C66FF867C}">
                      <a14:compatExt spid="_x0000_s15710"/>
                    </a:ext>
                    <a:ext uri="{FF2B5EF4-FFF2-40B4-BE49-F238E27FC236}">
                      <a16:creationId xmlns:a16="http://schemas.microsoft.com/office/drawing/2014/main" id="{00000000-0008-0000-0200-00005E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1" name="PPD_INT" hidden="1">
                  <a:extLst>
                    <a:ext uri="{63B3BB69-23CF-44E3-9099-C40C66FF867C}">
                      <a14:compatExt spid="_x0000_s15711"/>
                    </a:ext>
                    <a:ext uri="{FF2B5EF4-FFF2-40B4-BE49-F238E27FC236}">
                      <a16:creationId xmlns:a16="http://schemas.microsoft.com/office/drawing/2014/main" id="{00000000-0008-0000-0200-00005F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2" name="PPD_SR" hidden="1">
                  <a:extLst>
                    <a:ext uri="{63B3BB69-23CF-44E3-9099-C40C66FF867C}">
                      <a14:compatExt spid="_x0000_s15712"/>
                    </a:ext>
                    <a:ext uri="{FF2B5EF4-FFF2-40B4-BE49-F238E27FC236}">
                      <a16:creationId xmlns:a16="http://schemas.microsoft.com/office/drawing/2014/main" id="{00000000-0008-0000-0200-000060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3" name="PPD_LD" hidden="1">
                  <a:extLst>
                    <a:ext uri="{63B3BB69-23CF-44E3-9099-C40C66FF867C}">
                      <a14:compatExt spid="_x0000_s15713"/>
                    </a:ext>
                    <a:ext uri="{FF2B5EF4-FFF2-40B4-BE49-F238E27FC236}">
                      <a16:creationId xmlns:a16="http://schemas.microsoft.com/office/drawing/2014/main" id="{00000000-0008-0000-0200-000061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4" name="PPD_SP" hidden="1">
                  <a:extLst>
                    <a:ext uri="{63B3BB69-23CF-44E3-9099-C40C66FF867C}">
                      <a14:compatExt spid="_x0000_s15714"/>
                    </a:ext>
                    <a:ext uri="{FF2B5EF4-FFF2-40B4-BE49-F238E27FC236}">
                      <a16:creationId xmlns:a16="http://schemas.microsoft.com/office/drawing/2014/main" id="{00000000-0008-0000-0200-000062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6" name="PPD_TRN" hidden="1">
                  <a:extLst>
                    <a:ext uri="{63B3BB69-23CF-44E3-9099-C40C66FF867C}">
                      <a14:compatExt spid="_x0000_s15716"/>
                    </a:ext>
                    <a:ext uri="{FF2B5EF4-FFF2-40B4-BE49-F238E27FC236}">
                      <a16:creationId xmlns:a16="http://schemas.microsoft.com/office/drawing/2014/main" id="{00000000-0008-0000-0200-000064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5" name="Group 15814">
                <a:extLst>
                  <a:ext uri="{FF2B5EF4-FFF2-40B4-BE49-F238E27FC236}">
                    <a16:creationId xmlns:a16="http://schemas.microsoft.com/office/drawing/2014/main" id="{00000000-0008-0000-0200-0000C73D0000}"/>
                  </a:ext>
                </a:extLst>
              </xdr:cNvPr>
              <xdr:cNvGrpSpPr/>
            </xdr:nvGrpSpPr>
            <xdr:grpSpPr>
              <a:xfrm>
                <a:off x="7753094" y="4270214"/>
                <a:ext cx="3370205" cy="273845"/>
                <a:chOff x="1546365" y="1608481"/>
                <a:chExt cx="3086375" cy="276330"/>
              </a:xfrm>
            </xdr:grpSpPr>
            <xdr:sp macro="" textlink="">
              <xdr:nvSpPr>
                <xdr:cNvPr id="15717" name="EICT_JR" hidden="1">
                  <a:extLst>
                    <a:ext uri="{63B3BB69-23CF-44E3-9099-C40C66FF867C}">
                      <a14:compatExt spid="_x0000_s15717"/>
                    </a:ext>
                    <a:ext uri="{FF2B5EF4-FFF2-40B4-BE49-F238E27FC236}">
                      <a16:creationId xmlns:a16="http://schemas.microsoft.com/office/drawing/2014/main" id="{00000000-0008-0000-0200-000065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8" name="EICT_INT" hidden="1">
                  <a:extLst>
                    <a:ext uri="{63B3BB69-23CF-44E3-9099-C40C66FF867C}">
                      <a14:compatExt spid="_x0000_s15718"/>
                    </a:ext>
                    <a:ext uri="{FF2B5EF4-FFF2-40B4-BE49-F238E27FC236}">
                      <a16:creationId xmlns:a16="http://schemas.microsoft.com/office/drawing/2014/main" id="{00000000-0008-0000-0200-000066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19" name="EICT_SR" hidden="1">
                  <a:extLst>
                    <a:ext uri="{63B3BB69-23CF-44E3-9099-C40C66FF867C}">
                      <a14:compatExt spid="_x0000_s15719"/>
                    </a:ext>
                    <a:ext uri="{FF2B5EF4-FFF2-40B4-BE49-F238E27FC236}">
                      <a16:creationId xmlns:a16="http://schemas.microsoft.com/office/drawing/2014/main" id="{00000000-0008-0000-0200-000067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0" name="EICT_LD" hidden="1">
                  <a:extLst>
                    <a:ext uri="{63B3BB69-23CF-44E3-9099-C40C66FF867C}">
                      <a14:compatExt spid="_x0000_s15720"/>
                    </a:ext>
                    <a:ext uri="{FF2B5EF4-FFF2-40B4-BE49-F238E27FC236}">
                      <a16:creationId xmlns:a16="http://schemas.microsoft.com/office/drawing/2014/main" id="{00000000-0008-0000-0200-000068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1" name="EICT_SP" hidden="1">
                  <a:extLst>
                    <a:ext uri="{63B3BB69-23CF-44E3-9099-C40C66FF867C}">
                      <a14:compatExt spid="_x0000_s15721"/>
                    </a:ext>
                    <a:ext uri="{FF2B5EF4-FFF2-40B4-BE49-F238E27FC236}">
                      <a16:creationId xmlns:a16="http://schemas.microsoft.com/office/drawing/2014/main" id="{00000000-0008-0000-0200-000069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3" name="EICT_TRN" hidden="1">
                  <a:extLst>
                    <a:ext uri="{63B3BB69-23CF-44E3-9099-C40C66FF867C}">
                      <a14:compatExt spid="_x0000_s15723"/>
                    </a:ext>
                    <a:ext uri="{FF2B5EF4-FFF2-40B4-BE49-F238E27FC236}">
                      <a16:creationId xmlns:a16="http://schemas.microsoft.com/office/drawing/2014/main" id="{00000000-0008-0000-0200-00006B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16" name="Group 15815">
                <a:extLst>
                  <a:ext uri="{FF2B5EF4-FFF2-40B4-BE49-F238E27FC236}">
                    <a16:creationId xmlns:a16="http://schemas.microsoft.com/office/drawing/2014/main" id="{00000000-0008-0000-0200-0000C83D0000}"/>
                  </a:ext>
                </a:extLst>
              </xdr:cNvPr>
              <xdr:cNvGrpSpPr/>
            </xdr:nvGrpSpPr>
            <xdr:grpSpPr>
              <a:xfrm>
                <a:off x="7753094" y="4654644"/>
                <a:ext cx="3370205" cy="275088"/>
                <a:chOff x="1546365" y="1608481"/>
                <a:chExt cx="3086375" cy="276330"/>
              </a:xfrm>
            </xdr:grpSpPr>
            <xdr:sp macro="" textlink="">
              <xdr:nvSpPr>
                <xdr:cNvPr id="15724" name="CSADM_JR" hidden="1">
                  <a:extLst>
                    <a:ext uri="{63B3BB69-23CF-44E3-9099-C40C66FF867C}">
                      <a14:compatExt spid="_x0000_s15724"/>
                    </a:ext>
                    <a:ext uri="{FF2B5EF4-FFF2-40B4-BE49-F238E27FC236}">
                      <a16:creationId xmlns:a16="http://schemas.microsoft.com/office/drawing/2014/main" id="{00000000-0008-0000-0200-00006C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5" name="CSADM_INT" hidden="1">
                  <a:extLst>
                    <a:ext uri="{63B3BB69-23CF-44E3-9099-C40C66FF867C}">
                      <a14:compatExt spid="_x0000_s15725"/>
                    </a:ext>
                    <a:ext uri="{FF2B5EF4-FFF2-40B4-BE49-F238E27FC236}">
                      <a16:creationId xmlns:a16="http://schemas.microsoft.com/office/drawing/2014/main" id="{00000000-0008-0000-0200-00006D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6" name="CSADM_SR" hidden="1">
                  <a:extLst>
                    <a:ext uri="{63B3BB69-23CF-44E3-9099-C40C66FF867C}">
                      <a14:compatExt spid="_x0000_s15726"/>
                    </a:ext>
                    <a:ext uri="{FF2B5EF4-FFF2-40B4-BE49-F238E27FC236}">
                      <a16:creationId xmlns:a16="http://schemas.microsoft.com/office/drawing/2014/main" id="{00000000-0008-0000-0200-00006E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7" name="CSADM_LD" hidden="1">
                  <a:extLst>
                    <a:ext uri="{63B3BB69-23CF-44E3-9099-C40C66FF867C}">
                      <a14:compatExt spid="_x0000_s15727"/>
                    </a:ext>
                    <a:ext uri="{FF2B5EF4-FFF2-40B4-BE49-F238E27FC236}">
                      <a16:creationId xmlns:a16="http://schemas.microsoft.com/office/drawing/2014/main" id="{00000000-0008-0000-0200-00006F3D0000}"/>
                    </a:ext>
                  </a:extLst>
                </xdr:cNvPr>
                <xdr:cNvSpPr/>
              </xdr:nvSpPr>
              <xdr:spPr bwMode="auto">
                <a:xfrm>
                  <a:off x="3634133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28" name="CSADM_SP" hidden="1">
                  <a:extLst>
                    <a:ext uri="{63B3BB69-23CF-44E3-9099-C40C66FF867C}">
                      <a14:compatExt spid="_x0000_s15728"/>
                    </a:ext>
                    <a:ext uri="{FF2B5EF4-FFF2-40B4-BE49-F238E27FC236}">
                      <a16:creationId xmlns:a16="http://schemas.microsoft.com/office/drawing/2014/main" id="{00000000-0008-0000-0200-0000703D0000}"/>
                    </a:ext>
                  </a:extLst>
                </xdr:cNvPr>
                <xdr:cNvSpPr/>
              </xdr:nvSpPr>
              <xdr:spPr bwMode="auto">
                <a:xfrm>
                  <a:off x="415649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30" name="CSADM_TRN" hidden="1">
                  <a:extLst>
                    <a:ext uri="{63B3BB69-23CF-44E3-9099-C40C66FF867C}">
                      <a14:compatExt spid="_x0000_s15730"/>
                    </a:ext>
                    <a:ext uri="{FF2B5EF4-FFF2-40B4-BE49-F238E27FC236}">
                      <a16:creationId xmlns:a16="http://schemas.microsoft.com/office/drawing/2014/main" id="{00000000-0008-0000-0200-0000723D0000}"/>
                    </a:ext>
                  </a:extLst>
                </xdr:cNvPr>
                <xdr:cNvSpPr/>
              </xdr:nvSpPr>
              <xdr:spPr bwMode="auto">
                <a:xfrm>
                  <a:off x="154636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14</xdr:col>
      <xdr:colOff>344142</xdr:colOff>
      <xdr:row>30</xdr:row>
      <xdr:rowOff>120512</xdr:rowOff>
    </xdr:from>
    <xdr:to>
      <xdr:col>21</xdr:col>
      <xdr:colOff>435251</xdr:colOff>
      <xdr:row>37</xdr:row>
      <xdr:rowOff>2899</xdr:rowOff>
    </xdr:to>
    <xdr:grpSp>
      <xdr:nvGrpSpPr>
        <xdr:cNvPr id="15921" name="Group 15920">
          <a:extLst>
            <a:ext uri="{FF2B5EF4-FFF2-40B4-BE49-F238E27FC236}">
              <a16:creationId xmlns:a16="http://schemas.microsoft.com/office/drawing/2014/main" id="{00000000-0008-0000-0200-0000313E0000}"/>
            </a:ext>
          </a:extLst>
        </xdr:cNvPr>
        <xdr:cNvGrpSpPr/>
      </xdr:nvGrpSpPr>
      <xdr:grpSpPr>
        <a:xfrm>
          <a:off x="9945342" y="5549762"/>
          <a:ext cx="4891709" cy="1149212"/>
          <a:chOff x="5867400" y="3990975"/>
          <a:chExt cx="4914900" cy="1181100"/>
        </a:xfrm>
      </xdr:grpSpPr>
      <xdr:sp macro="" textlink="">
        <xdr:nvSpPr>
          <xdr:cNvPr id="15865" name="Rectangle 15864">
            <a:extLst>
              <a:ext uri="{FF2B5EF4-FFF2-40B4-BE49-F238E27FC236}">
                <a16:creationId xmlns:a16="http://schemas.microsoft.com/office/drawing/2014/main" id="{00000000-0008-0000-0200-0000F93D0000}"/>
              </a:ext>
            </a:extLst>
          </xdr:cNvPr>
          <xdr:cNvSpPr/>
        </xdr:nvSpPr>
        <xdr:spPr>
          <a:xfrm>
            <a:off x="5867400" y="3990975"/>
            <a:ext cx="4914900" cy="11811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866" name="Rectangle 15865">
            <a:extLst>
              <a:ext uri="{FF2B5EF4-FFF2-40B4-BE49-F238E27FC236}">
                <a16:creationId xmlns:a16="http://schemas.microsoft.com/office/drawing/2014/main" id="{00000000-0008-0000-0200-0000FA3D0000}"/>
              </a:ext>
            </a:extLst>
          </xdr:cNvPr>
          <xdr:cNvSpPr/>
        </xdr:nvSpPr>
        <xdr:spPr>
          <a:xfrm>
            <a:off x="5894777" y="4021931"/>
            <a:ext cx="1080376" cy="322934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50</a:t>
            </a:r>
            <a:r>
              <a:rPr lang="en-CA" sz="1400" b="1" kern="1200" baseline="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 SC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15867" name="Rectangle 15866">
            <a:extLst>
              <a:ext uri="{FF2B5EF4-FFF2-40B4-BE49-F238E27FC236}">
                <a16:creationId xmlns:a16="http://schemas.microsoft.com/office/drawing/2014/main" id="{00000000-0008-0000-0200-0000FB3D0000}"/>
              </a:ext>
            </a:extLst>
          </xdr:cNvPr>
          <xdr:cNvSpPr/>
        </xdr:nvSpPr>
        <xdr:spPr>
          <a:xfrm>
            <a:off x="5894777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51 PRO</a:t>
            </a:r>
          </a:p>
        </xdr:txBody>
      </xdr:sp>
      <xdr:sp macro="" textlink="">
        <xdr:nvSpPr>
          <xdr:cNvPr id="15868" name="Rectangle 15867">
            <a:extLst>
              <a:ext uri="{FF2B5EF4-FFF2-40B4-BE49-F238E27FC236}">
                <a16:creationId xmlns:a16="http://schemas.microsoft.com/office/drawing/2014/main" id="{00000000-0008-0000-0200-0000FC3D0000}"/>
              </a:ext>
            </a:extLst>
          </xdr:cNvPr>
          <xdr:cNvSpPr/>
        </xdr:nvSpPr>
        <xdr:spPr>
          <a:xfrm>
            <a:off x="5894777" y="4798119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52 CON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3" name="Group 15872">
                <a:extLst>
                  <a:ext uri="{FF2B5EF4-FFF2-40B4-BE49-F238E27FC236}">
                    <a16:creationId xmlns:a16="http://schemas.microsoft.com/office/drawing/2014/main" id="{00000000-0008-0000-0200-0000013E0000}"/>
                  </a:ext>
                </a:extLst>
              </xdr:cNvPr>
              <xdr:cNvGrpSpPr/>
            </xdr:nvGrpSpPr>
            <xdr:grpSpPr>
              <a:xfrm>
                <a:off x="6781543" y="4446517"/>
                <a:ext cx="2799814" cy="273845"/>
                <a:chOff x="1546364" y="1608481"/>
                <a:chExt cx="2564021" cy="276330"/>
              </a:xfrm>
            </xdr:grpSpPr>
            <xdr:sp macro="" textlink="">
              <xdr:nvSpPr>
                <xdr:cNvPr id="15782" name="PRO_JR" hidden="1">
                  <a:extLst>
                    <a:ext uri="{63B3BB69-23CF-44E3-9099-C40C66FF867C}">
                      <a14:compatExt spid="_x0000_s15752"/>
                    </a:ext>
                    <a:ext uri="{FF2B5EF4-FFF2-40B4-BE49-F238E27FC236}">
                      <a16:creationId xmlns:a16="http://schemas.microsoft.com/office/drawing/2014/main" id="{00000000-0008-0000-0200-0000A6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1" name="PRO_INT" hidden="1">
                  <a:extLst>
                    <a:ext uri="{63B3BB69-23CF-44E3-9099-C40C66FF867C}">
                      <a14:compatExt spid="_x0000_s15753"/>
                    </a:ext>
                    <a:ext uri="{FF2B5EF4-FFF2-40B4-BE49-F238E27FC236}">
                      <a16:creationId xmlns:a16="http://schemas.microsoft.com/office/drawing/2014/main" id="{00000000-0008-0000-0200-0000A5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80" name="PRO_SR" hidden="1">
                  <a:extLst>
                    <a:ext uri="{63B3BB69-23CF-44E3-9099-C40C66FF867C}">
                      <a14:compatExt spid="_x0000_s15754"/>
                    </a:ext>
                    <a:ext uri="{FF2B5EF4-FFF2-40B4-BE49-F238E27FC236}">
                      <a16:creationId xmlns:a16="http://schemas.microsoft.com/office/drawing/2014/main" id="{00000000-0008-0000-0200-0000A4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55" name="PRO_LD" hidden="1">
                  <a:extLst>
                    <a:ext uri="{63B3BB69-23CF-44E3-9099-C40C66FF867C}">
                      <a14:compatExt spid="_x0000_s15755"/>
                    </a:ext>
                    <a:ext uri="{FF2B5EF4-FFF2-40B4-BE49-F238E27FC236}">
                      <a16:creationId xmlns:a16="http://schemas.microsoft.com/office/drawing/2014/main" id="{00000000-0008-0000-0200-00008B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9" name="PRO_TRN" hidden="1">
                  <a:extLst>
                    <a:ext uri="{63B3BB69-23CF-44E3-9099-C40C66FF867C}">
                      <a14:compatExt spid="_x0000_s15758"/>
                    </a:ext>
                    <a:ext uri="{FF2B5EF4-FFF2-40B4-BE49-F238E27FC236}">
                      <a16:creationId xmlns:a16="http://schemas.microsoft.com/office/drawing/2014/main" id="{00000000-0008-0000-0200-0000A3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874" name="Group 15873">
                <a:extLst>
                  <a:ext uri="{FF2B5EF4-FFF2-40B4-BE49-F238E27FC236}">
                    <a16:creationId xmlns:a16="http://schemas.microsoft.com/office/drawing/2014/main" id="{00000000-0008-0000-0200-0000023E0000}"/>
                  </a:ext>
                </a:extLst>
              </xdr:cNvPr>
              <xdr:cNvGrpSpPr/>
            </xdr:nvGrpSpPr>
            <xdr:grpSpPr>
              <a:xfrm>
                <a:off x="6781543" y="4832189"/>
                <a:ext cx="2799814" cy="273845"/>
                <a:chOff x="1546364" y="1608481"/>
                <a:chExt cx="2564021" cy="276330"/>
              </a:xfrm>
            </xdr:grpSpPr>
            <xdr:sp macro="" textlink="">
              <xdr:nvSpPr>
                <xdr:cNvPr id="15778" name="CON_JR" hidden="1">
                  <a:extLst>
                    <a:ext uri="{63B3BB69-23CF-44E3-9099-C40C66FF867C}">
                      <a14:compatExt spid="_x0000_s15759"/>
                    </a:ext>
                    <a:ext uri="{FF2B5EF4-FFF2-40B4-BE49-F238E27FC236}">
                      <a16:creationId xmlns:a16="http://schemas.microsoft.com/office/drawing/2014/main" id="{00000000-0008-0000-0200-0000A23D0000}"/>
                    </a:ext>
                  </a:extLst>
                </xdr:cNvPr>
                <xdr:cNvSpPr/>
              </xdr:nvSpPr>
              <xdr:spPr bwMode="auto">
                <a:xfrm>
                  <a:off x="2068720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77" name="CON_INT" hidden="1">
                  <a:extLst>
                    <a:ext uri="{63B3BB69-23CF-44E3-9099-C40C66FF867C}">
                      <a14:compatExt spid="_x0000_s15760"/>
                    </a:ext>
                    <a:ext uri="{FF2B5EF4-FFF2-40B4-BE49-F238E27FC236}">
                      <a16:creationId xmlns:a16="http://schemas.microsoft.com/office/drawing/2014/main" id="{00000000-0008-0000-0200-0000A13D0000}"/>
                    </a:ext>
                  </a:extLst>
                </xdr:cNvPr>
                <xdr:cNvSpPr/>
              </xdr:nvSpPr>
              <xdr:spPr bwMode="auto">
                <a:xfrm>
                  <a:off x="2589420" y="1608481"/>
                  <a:ext cx="47790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1" name="CON_SR" hidden="1">
                  <a:extLst>
                    <a:ext uri="{63B3BB69-23CF-44E3-9099-C40C66FF867C}">
                      <a14:compatExt spid="_x0000_s15761"/>
                    </a:ext>
                    <a:ext uri="{FF2B5EF4-FFF2-40B4-BE49-F238E27FC236}">
                      <a16:creationId xmlns:a16="http://schemas.microsoft.com/office/drawing/2014/main" id="{00000000-0008-0000-0200-0000913D0000}"/>
                    </a:ext>
                  </a:extLst>
                </xdr:cNvPr>
                <xdr:cNvSpPr/>
              </xdr:nvSpPr>
              <xdr:spPr bwMode="auto">
                <a:xfrm>
                  <a:off x="3111776" y="1608481"/>
                  <a:ext cx="47790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2" name="CON_LD" hidden="1">
                  <a:extLst>
                    <a:ext uri="{63B3BB69-23CF-44E3-9099-C40C66FF867C}">
                      <a14:compatExt spid="_x0000_s15762"/>
                    </a:ext>
                    <a:ext uri="{FF2B5EF4-FFF2-40B4-BE49-F238E27FC236}">
                      <a16:creationId xmlns:a16="http://schemas.microsoft.com/office/drawing/2014/main" id="{00000000-0008-0000-0200-0000923D0000}"/>
                    </a:ext>
                  </a:extLst>
                </xdr:cNvPr>
                <xdr:cNvSpPr/>
              </xdr:nvSpPr>
              <xdr:spPr bwMode="auto">
                <a:xfrm>
                  <a:off x="3634135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65" name="CON_TRN" hidden="1">
                  <a:extLst>
                    <a:ext uri="{63B3BB69-23CF-44E3-9099-C40C66FF867C}">
                      <a14:compatExt spid="_x0000_s15765"/>
                    </a:ext>
                    <a:ext uri="{FF2B5EF4-FFF2-40B4-BE49-F238E27FC236}">
                      <a16:creationId xmlns:a16="http://schemas.microsoft.com/office/drawing/2014/main" id="{00000000-0008-0000-0200-0000953D0000}"/>
                    </a:ext>
                  </a:extLst>
                </xdr:cNvPr>
                <xdr:cNvSpPr/>
              </xdr:nvSpPr>
              <xdr:spPr bwMode="auto">
                <a:xfrm>
                  <a:off x="1546364" y="1608481"/>
                  <a:ext cx="476250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7</xdr:col>
      <xdr:colOff>148259</xdr:colOff>
      <xdr:row>31</xdr:row>
      <xdr:rowOff>163582</xdr:rowOff>
    </xdr:from>
    <xdr:to>
      <xdr:col>14</xdr:col>
      <xdr:colOff>239367</xdr:colOff>
      <xdr:row>37</xdr:row>
      <xdr:rowOff>2899</xdr:rowOff>
    </xdr:to>
    <xdr:grpSp>
      <xdr:nvGrpSpPr>
        <xdr:cNvPr id="15979" name="Group 15978">
          <a:extLst>
            <a:ext uri="{FF2B5EF4-FFF2-40B4-BE49-F238E27FC236}">
              <a16:creationId xmlns:a16="http://schemas.microsoft.com/office/drawing/2014/main" id="{00000000-0008-0000-0200-00006B3E0000}"/>
            </a:ext>
          </a:extLst>
        </xdr:cNvPr>
        <xdr:cNvGrpSpPr/>
      </xdr:nvGrpSpPr>
      <xdr:grpSpPr>
        <a:xfrm>
          <a:off x="4948859" y="5773807"/>
          <a:ext cx="4891708" cy="925167"/>
          <a:chOff x="6048375" y="4362450"/>
          <a:chExt cx="4914900" cy="952500"/>
        </a:xfrm>
      </xdr:grpSpPr>
      <xdr:sp macro="" textlink="">
        <xdr:nvSpPr>
          <xdr:cNvPr id="15923" name="Rectangle 15922">
            <a:extLst>
              <a:ext uri="{FF2B5EF4-FFF2-40B4-BE49-F238E27FC236}">
                <a16:creationId xmlns:a16="http://schemas.microsoft.com/office/drawing/2014/main" id="{00000000-0008-0000-0200-0000333E0000}"/>
              </a:ext>
            </a:extLst>
          </xdr:cNvPr>
          <xdr:cNvSpPr/>
        </xdr:nvSpPr>
        <xdr:spPr>
          <a:xfrm>
            <a:off x="6048375" y="4362450"/>
            <a:ext cx="4914900" cy="952500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15925" name="Rectangle 15924">
            <a:extLst>
              <a:ext uri="{FF2B5EF4-FFF2-40B4-BE49-F238E27FC236}">
                <a16:creationId xmlns:a16="http://schemas.microsoft.com/office/drawing/2014/main" id="{00000000-0008-0000-0200-0000353E0000}"/>
              </a:ext>
            </a:extLst>
          </xdr:cNvPr>
          <xdr:cNvSpPr/>
        </xdr:nvSpPr>
        <xdr:spPr>
          <a:xfrm>
            <a:off x="6075752" y="4412447"/>
            <a:ext cx="813152" cy="322935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8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SOFTWARE</a:t>
            </a:r>
            <a:endParaRPr lang="en-CA" sz="1400" b="1" kern="1200">
              <a:ln w="3175">
                <a:noFill/>
              </a:ln>
              <a:solidFill>
                <a:srgbClr val="FFFF00"/>
              </a:solidFill>
              <a:latin typeface="Times New Roman" panose="02020603050405020304" pitchFamily="18" charset="0"/>
              <a:ea typeface="Adobe Gothic Std B" panose="020B0800000000000000" pitchFamily="34" charset="-128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5931" name="Group 15930">
                <a:extLst>
                  <a:ext uri="{FF2B5EF4-FFF2-40B4-BE49-F238E27FC236}">
                    <a16:creationId xmlns:a16="http://schemas.microsoft.com/office/drawing/2014/main" id="{00000000-0008-0000-0200-00003B3E0000}"/>
                  </a:ext>
                </a:extLst>
              </xdr:cNvPr>
              <xdr:cNvGrpSpPr/>
            </xdr:nvGrpSpPr>
            <xdr:grpSpPr>
              <a:xfrm>
                <a:off x="6962517" y="4446514"/>
                <a:ext cx="3940599" cy="273851"/>
                <a:chOff x="1546363" y="1608477"/>
                <a:chExt cx="3608733" cy="276336"/>
              </a:xfrm>
            </xdr:grpSpPr>
            <xdr:sp macro="" textlink="">
              <xdr:nvSpPr>
                <xdr:cNvPr id="15794" name="ETAP" hidden="1">
                  <a:extLst>
                    <a:ext uri="{63B3BB69-23CF-44E3-9099-C40C66FF867C}">
                      <a14:compatExt spid="_x0000_s15794"/>
                    </a:ext>
                    <a:ext uri="{FF2B5EF4-FFF2-40B4-BE49-F238E27FC236}">
                      <a16:creationId xmlns:a16="http://schemas.microsoft.com/office/drawing/2014/main" id="{00000000-0008-0000-0200-0000B23D0000}"/>
                    </a:ext>
                  </a:extLst>
                </xdr:cNvPr>
                <xdr:cNvSpPr/>
              </xdr:nvSpPr>
              <xdr:spPr bwMode="auto">
                <a:xfrm>
                  <a:off x="1546363" y="1608481"/>
                  <a:ext cx="687903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5" name="TCA" hidden="1">
                  <a:extLst>
                    <a:ext uri="{63B3BB69-23CF-44E3-9099-C40C66FF867C}">
                      <a14:compatExt spid="_x0000_s15795"/>
                    </a:ext>
                    <a:ext uri="{FF2B5EF4-FFF2-40B4-BE49-F238E27FC236}">
                      <a16:creationId xmlns:a16="http://schemas.microsoft.com/office/drawing/2014/main" id="{00000000-0008-0000-0200-0000B33D0000}"/>
                    </a:ext>
                  </a:extLst>
                </xdr:cNvPr>
                <xdr:cNvSpPr/>
              </xdr:nvSpPr>
              <xdr:spPr bwMode="auto">
                <a:xfrm>
                  <a:off x="3004384" y="1608478"/>
                  <a:ext cx="690296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8" name="PathLoss" hidden="1">
                  <a:extLst>
                    <a:ext uri="{63B3BB69-23CF-44E3-9099-C40C66FF867C}">
                      <a14:compatExt spid="_x0000_s15798"/>
                    </a:ext>
                    <a:ext uri="{FF2B5EF4-FFF2-40B4-BE49-F238E27FC236}">
                      <a16:creationId xmlns:a16="http://schemas.microsoft.com/office/drawing/2014/main" id="{00000000-0008-0000-0200-0000B63D0000}"/>
                    </a:ext>
                  </a:extLst>
                </xdr:cNvPr>
                <xdr:cNvSpPr/>
              </xdr:nvSpPr>
              <xdr:spPr bwMode="auto">
                <a:xfrm>
                  <a:off x="3735787" y="1608483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799" name="UniSim" hidden="1">
                  <a:extLst>
                    <a:ext uri="{63B3BB69-23CF-44E3-9099-C40C66FF867C}">
                      <a14:compatExt spid="_x0000_s15799"/>
                    </a:ext>
                    <a:ext uri="{FF2B5EF4-FFF2-40B4-BE49-F238E27FC236}">
                      <a16:creationId xmlns:a16="http://schemas.microsoft.com/office/drawing/2014/main" id="{00000000-0008-0000-0200-0000B73D0000}"/>
                    </a:ext>
                  </a:extLst>
                </xdr:cNvPr>
                <xdr:cNvSpPr/>
              </xdr:nvSpPr>
              <xdr:spPr bwMode="auto">
                <a:xfrm>
                  <a:off x="4464799" y="1608479"/>
                  <a:ext cx="690297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5800" name="SmartPlant" hidden="1">
                  <a:extLst>
                    <a:ext uri="{63B3BB69-23CF-44E3-9099-C40C66FF867C}">
                      <a14:compatExt spid="_x0000_s15800"/>
                    </a:ext>
                    <a:ext uri="{FF2B5EF4-FFF2-40B4-BE49-F238E27FC236}">
                      <a16:creationId xmlns:a16="http://schemas.microsoft.com/office/drawing/2014/main" id="{00000000-0008-0000-0200-0000B83D0000}"/>
                    </a:ext>
                  </a:extLst>
                </xdr:cNvPr>
                <xdr:cNvSpPr/>
              </xdr:nvSpPr>
              <xdr:spPr bwMode="auto">
                <a:xfrm>
                  <a:off x="2275373" y="1608477"/>
                  <a:ext cx="687905" cy="27633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7</xdr:row>
          <xdr:rowOff>85725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15796" name="ProjectInfo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2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7</xdr:row>
          <xdr:rowOff>85725</xdr:rowOff>
        </xdr:from>
        <xdr:to>
          <xdr:col>3</xdr:col>
          <xdr:colOff>657225</xdr:colOff>
          <xdr:row>10</xdr:row>
          <xdr:rowOff>9525</xdr:rowOff>
        </xdr:to>
        <xdr:sp macro="" textlink="">
          <xdr:nvSpPr>
            <xdr:cNvPr id="15879" name="MRPackage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2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7</xdr:row>
          <xdr:rowOff>85725</xdr:rowOff>
        </xdr:from>
        <xdr:to>
          <xdr:col>5</xdr:col>
          <xdr:colOff>371475</xdr:colOff>
          <xdr:row>10</xdr:row>
          <xdr:rowOff>9525</xdr:rowOff>
        </xdr:to>
        <xdr:sp macro="" textlink="">
          <xdr:nvSpPr>
            <xdr:cNvPr id="15880" name="ExpensesButton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2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85725</xdr:rowOff>
        </xdr:from>
        <xdr:to>
          <xdr:col>7</xdr:col>
          <xdr:colOff>95250</xdr:colOff>
          <xdr:row>10</xdr:row>
          <xdr:rowOff>9525</xdr:rowOff>
        </xdr:to>
        <xdr:sp macro="" textlink="">
          <xdr:nvSpPr>
            <xdr:cNvPr id="15881" name="Future2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2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10</xdr:row>
      <xdr:rowOff>11595</xdr:rowOff>
    </xdr:from>
    <xdr:to>
      <xdr:col>7</xdr:col>
      <xdr:colOff>93069</xdr:colOff>
      <xdr:row>37</xdr:row>
      <xdr:rowOff>7453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533400" y="1821345"/>
          <a:ext cx="4360269" cy="4882183"/>
          <a:chOff x="542925" y="1802295"/>
          <a:chExt cx="4360269" cy="4882183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542925" y="1802295"/>
            <a:ext cx="4360269" cy="4882183"/>
            <a:chOff x="552450" y="1859445"/>
            <a:chExt cx="4360269" cy="4882183"/>
          </a:xfrm>
        </xdr:grpSpPr>
        <xdr:grpSp>
          <xdr:nvGrpSpPr>
            <xdr:cNvPr id="16044" name="Group 16043">
              <a:extLst>
                <a:ext uri="{FF2B5EF4-FFF2-40B4-BE49-F238E27FC236}">
                  <a16:creationId xmlns:a16="http://schemas.microsoft.com/office/drawing/2014/main" id="{00000000-0008-0000-0200-0000AC3E0000}"/>
                </a:ext>
              </a:extLst>
            </xdr:cNvPr>
            <xdr:cNvGrpSpPr/>
          </xdr:nvGrpSpPr>
          <xdr:grpSpPr>
            <a:xfrm>
              <a:off x="552450" y="1859445"/>
              <a:ext cx="4360269" cy="4882183"/>
              <a:chOff x="533400" y="1840565"/>
              <a:chExt cx="4367772" cy="4955241"/>
            </a:xfrm>
          </xdr:grpSpPr>
          <xdr:grpSp>
            <xdr:nvGrpSpPr>
              <xdr:cNvPr id="16042" name="Group 16041">
                <a:extLst>
                  <a:ext uri="{FF2B5EF4-FFF2-40B4-BE49-F238E27FC236}">
                    <a16:creationId xmlns:a16="http://schemas.microsoft.com/office/drawing/2014/main" id="{00000000-0008-0000-0200-0000AA3E0000}"/>
                  </a:ext>
                </a:extLst>
              </xdr:cNvPr>
              <xdr:cNvGrpSpPr/>
            </xdr:nvGrpSpPr>
            <xdr:grpSpPr>
              <a:xfrm>
                <a:off x="533400" y="1840565"/>
                <a:ext cx="4367772" cy="4955241"/>
                <a:chOff x="533400" y="1876424"/>
                <a:chExt cx="4383460" cy="5052060"/>
              </a:xfrm>
            </xdr:grpSpPr>
            <xdr:grpSp>
              <xdr:nvGrpSpPr>
                <xdr:cNvPr id="16038" name="Group 16037">
                  <a:extLst>
                    <a:ext uri="{FF2B5EF4-FFF2-40B4-BE49-F238E27FC236}">
                      <a16:creationId xmlns:a16="http://schemas.microsoft.com/office/drawing/2014/main" id="{00000000-0008-0000-0200-0000A63E0000}"/>
                    </a:ext>
                  </a:extLst>
                </xdr:cNvPr>
                <xdr:cNvGrpSpPr/>
              </xdr:nvGrpSpPr>
              <xdr:grpSpPr>
                <a:xfrm>
                  <a:off x="533400" y="1876424"/>
                  <a:ext cx="4383460" cy="5052060"/>
                  <a:chOff x="5741615" y="1495424"/>
                  <a:chExt cx="4383460" cy="5000625"/>
                </a:xfrm>
              </xdr:grpSpPr>
              <xdr:grpSp>
                <xdr:nvGrpSpPr>
                  <xdr:cNvPr id="16034" name="Group 16033">
                    <a:extLst>
                      <a:ext uri="{FF2B5EF4-FFF2-40B4-BE49-F238E27FC236}">
                        <a16:creationId xmlns:a16="http://schemas.microsoft.com/office/drawing/2014/main" id="{00000000-0008-0000-0200-0000A23E0000}"/>
                      </a:ext>
                    </a:extLst>
                  </xdr:cNvPr>
                  <xdr:cNvGrpSpPr/>
                </xdr:nvGrpSpPr>
                <xdr:grpSpPr>
                  <a:xfrm>
                    <a:off x="5741615" y="1495424"/>
                    <a:ext cx="4383460" cy="5000625"/>
                    <a:chOff x="493340" y="1364455"/>
                    <a:chExt cx="4375126" cy="4934813"/>
                  </a:xfrm>
                </xdr:grpSpPr>
                <xdr:grpSp>
                  <xdr:nvGrpSpPr>
                    <xdr:cNvPr id="16026" name="Group 16025">
                      <a:extLst>
                        <a:ext uri="{FF2B5EF4-FFF2-40B4-BE49-F238E27FC236}">
                          <a16:creationId xmlns:a16="http://schemas.microsoft.com/office/drawing/2014/main" id="{00000000-0008-0000-0200-00009A3E0000}"/>
                        </a:ext>
                      </a:extLst>
                    </xdr:cNvPr>
                    <xdr:cNvGrpSpPr/>
                  </xdr:nvGrpSpPr>
                  <xdr:grpSpPr>
                    <a:xfrm>
                      <a:off x="493340" y="1364455"/>
                      <a:ext cx="4375126" cy="4934813"/>
                      <a:chOff x="493340" y="1364455"/>
                      <a:chExt cx="4375126" cy="4934813"/>
                    </a:xfrm>
                  </xdr:grpSpPr>
                  <xdr:grpSp>
                    <xdr:nvGrpSpPr>
                      <xdr:cNvPr id="16025" name="Group 16024">
                        <a:extLst>
                          <a:ext uri="{FF2B5EF4-FFF2-40B4-BE49-F238E27FC236}">
                            <a16:creationId xmlns:a16="http://schemas.microsoft.com/office/drawing/2014/main" id="{00000000-0008-0000-0200-0000993E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93340" y="1364455"/>
                        <a:ext cx="4375126" cy="4934813"/>
                        <a:chOff x="493340" y="1364455"/>
                        <a:chExt cx="4375126" cy="4934813"/>
                      </a:xfrm>
                    </xdr:grpSpPr>
                    <xdr:sp macro="" textlink="">
                      <xdr:nvSpPr>
                        <xdr:cNvPr id="15986" name="Rectangle 15985">
                          <a:extLst>
                            <a:ext uri="{FF2B5EF4-FFF2-40B4-BE49-F238E27FC236}">
                              <a16:creationId xmlns:a16="http://schemas.microsoft.com/office/drawing/2014/main" id="{00000000-0008-0000-0200-0000723E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3340" y="1364455"/>
                          <a:ext cx="4375126" cy="4934813"/>
                        </a:xfrm>
                        <a:prstGeom prst="rect">
                          <a:avLst/>
                        </a:prstGeom>
                        <a:solidFill>
                          <a:schemeClr val="bg1">
                            <a:lumMod val="50000"/>
                          </a:schemeClr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CA" sz="1100" kern="1200"/>
                        </a:p>
                      </xdr:txBody>
                    </xdr:sp>
                    <xdr:grpSp>
                      <xdr:nvGrpSpPr>
                        <xdr:cNvPr id="16023" name="Group 16022">
                          <a:extLst>
                            <a:ext uri="{FF2B5EF4-FFF2-40B4-BE49-F238E27FC236}">
                              <a16:creationId xmlns:a16="http://schemas.microsoft.com/office/drawing/2014/main" id="{00000000-0008-0000-0200-0000973E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18513" y="1416006"/>
                          <a:ext cx="4302113" cy="4844228"/>
                          <a:chOff x="497374" y="665729"/>
                          <a:chExt cx="4275811" cy="4797693"/>
                        </a:xfrm>
                      </xdr:grpSpPr>
                      <xdr:sp macro="" textlink="">
                        <xdr:nvSpPr>
                          <xdr:cNvPr id="15984" name="Rectangle 15983">
                            <a:extLst>
                              <a:ext uri="{FF2B5EF4-FFF2-40B4-BE49-F238E27FC236}">
                                <a16:creationId xmlns:a16="http://schemas.microsoft.com/office/drawing/2014/main" id="{00000000-0008-0000-0200-000070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072866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Client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Code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0" name="TextBox2" hidden="1">
                                <a:extLst>
                                  <a:ext uri="{63B3BB69-23CF-44E3-9099-C40C66FF867C}">
                                    <a14:compatExt spid="_x0000_s15840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0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1080258"/>
                                <a:ext cx="642109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89" name="Rectangle 15988">
                            <a:extLst>
                              <a:ext uri="{FF2B5EF4-FFF2-40B4-BE49-F238E27FC236}">
                                <a16:creationId xmlns:a16="http://schemas.microsoft.com/office/drawing/2014/main" id="{00000000-0008-0000-0200-00007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19275" y="1072866"/>
                            <a:ext cx="1321284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Code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1" name="TextBox3" hidden="1">
                                <a:extLst>
                                  <a:ext uri="{63B3BB69-23CF-44E3-9099-C40C66FF867C}">
                                    <a14:compatExt spid="_x0000_s15841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1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4131768" y="1080258"/>
                                <a:ext cx="641417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1" name="Rectangle 15990">
                            <a:extLst>
                              <a:ext uri="{FF2B5EF4-FFF2-40B4-BE49-F238E27FC236}">
                                <a16:creationId xmlns:a16="http://schemas.microsoft.com/office/drawing/2014/main" id="{00000000-0008-0000-0200-000077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888841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Location</a:t>
                            </a:r>
                          </a:p>
                        </xdr:txBody>
                      </xdr:sp>
                      <xdr:sp macro="" textlink="">
                        <xdr:nvSpPr>
                          <xdr:cNvPr id="15993" name="Rectangle 15992">
                            <a:extLst>
                              <a:ext uri="{FF2B5EF4-FFF2-40B4-BE49-F238E27FC236}">
                                <a16:creationId xmlns:a16="http://schemas.microsoft.com/office/drawing/2014/main" id="{00000000-0008-0000-0200-000079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665729"/>
                            <a:ext cx="1332139" cy="314769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Name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3" name="ProjectNameTextBox" hidden="1">
                                <a:extLst>
                                  <a:ext uri="{63B3BB69-23CF-44E3-9099-C40C66FF867C}">
                                    <a14:compatExt spid="_x0000_s15843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3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669425"/>
                                <a:ext cx="2833610" cy="307377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5" name="Rectangle 15994">
                            <a:extLst>
                              <a:ext uri="{FF2B5EF4-FFF2-40B4-BE49-F238E27FC236}">
                                <a16:creationId xmlns:a16="http://schemas.microsoft.com/office/drawing/2014/main" id="{00000000-0008-0000-0200-00007B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2295979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Start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4" name="TextBox6" hidden="1">
                                <a:extLst>
                                  <a:ext uri="{63B3BB69-23CF-44E3-9099-C40C66FF867C}">
                                    <a14:compatExt spid="_x0000_s15844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4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2303371"/>
                                <a:ext cx="934449" cy="307376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7" name="Rectangle 15996">
                            <a:extLst>
                              <a:ext uri="{FF2B5EF4-FFF2-40B4-BE49-F238E27FC236}">
                                <a16:creationId xmlns:a16="http://schemas.microsoft.com/office/drawing/2014/main" id="{00000000-0008-0000-0200-00007D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1857358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2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Duration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5" name="TextBox7" hidden="1">
                                <a:extLst>
                                  <a:ext uri="{63B3BB69-23CF-44E3-9099-C40C66FF867C}">
                                    <a14:compatExt spid="_x0000_s15845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5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4303812" y="1864750"/>
                                <a:ext cx="469373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5999" name="Rectangle 15998">
                            <a:extLst>
                              <a:ext uri="{FF2B5EF4-FFF2-40B4-BE49-F238E27FC236}">
                                <a16:creationId xmlns:a16="http://schemas.microsoft.com/office/drawing/2014/main" id="{00000000-0008-0000-0200-00007F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2703115"/>
                            <a:ext cx="1332139" cy="314769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Project Phase</a:t>
                            </a:r>
                          </a:p>
                        </xdr:txBody>
                      </xdr:sp>
                      <xdr:sp macro="" textlink="">
                        <xdr:nvSpPr>
                          <xdr:cNvPr id="16003" name="Rectangle 16002">
                            <a:extLst>
                              <a:ext uri="{FF2B5EF4-FFF2-40B4-BE49-F238E27FC236}">
                                <a16:creationId xmlns:a16="http://schemas.microsoft.com/office/drawing/2014/main" id="{00000000-0008-0000-0200-000083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110251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Contingency</a:t>
                            </a: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48" name="TextBox10" hidden="1">
                                <a:extLst>
                                  <a:ext uri="{63B3BB69-23CF-44E3-9099-C40C66FF867C}">
                                    <a14:compatExt spid="_x0000_s15848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8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3117643"/>
                                <a:ext cx="2842313" cy="307376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6005" name="Rectangle 16004">
                            <a:extLst>
                              <a:ext uri="{FF2B5EF4-FFF2-40B4-BE49-F238E27FC236}">
                                <a16:creationId xmlns:a16="http://schemas.microsoft.com/office/drawing/2014/main" id="{00000000-0008-0000-0200-00008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1480003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Industry</a:t>
                            </a:r>
                          </a:p>
                        </xdr:txBody>
                      </xdr:sp>
                      <xdr:sp macro="" textlink="">
                        <xdr:nvSpPr>
                          <xdr:cNvPr id="16007" name="Rectangle 16006">
                            <a:extLst>
                              <a:ext uri="{FF2B5EF4-FFF2-40B4-BE49-F238E27FC236}">
                                <a16:creationId xmlns:a16="http://schemas.microsoft.com/office/drawing/2014/main" id="{00000000-0008-0000-0200-000087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517387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Estimate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Class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mc:AlternateContent xmlns:mc="http://schemas.openxmlformats.org/markup-compatibility/2006">
                        <mc:Choice xmlns:a14="http://schemas.microsoft.com/office/drawing/2010/main" Requires="a14">
                          <xdr:sp macro="" textlink="">
                            <xdr:nvSpPr>
                              <xdr:cNvPr id="15850" name="TextBox12" hidden="1">
                                <a:extLst>
                                  <a:ext uri="{63B3BB69-23CF-44E3-9099-C40C66FF867C}">
                                    <a14:compatExt spid="_x0000_s15850"/>
                                  </a:ext>
                                  <a:ext uri="{FF2B5EF4-FFF2-40B4-BE49-F238E27FC236}">
                                    <a16:creationId xmlns:a16="http://schemas.microsoft.com/office/drawing/2014/main" id="{00000000-0008-0000-0200-0000EA3D0000}"/>
                                  </a:ext>
                                </a:extLst>
                              </xdr:cNvPr>
                              <xdr:cNvSpPr/>
                            </xdr:nvSpPr>
                            <xdr:spPr bwMode="auto">
                              <a:xfrm>
                                <a:off x="1928738" y="3526479"/>
                                <a:ext cx="481350" cy="307378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  <a:extLst>
                                <a:ext uri="{91240B29-F687-4F45-9708-019B960494DF}">
                                  <a14:hiddenLine w="9525">
                                    <a:noFill/>
                                    <a:miter lim="800000"/>
                                    <a:headEnd/>
                                    <a:tailEnd/>
                                  </a14:hiddenLine>
                                </a:ext>
                              </a:extLst>
                            </xdr:spPr>
                          </xdr:sp>
                        </mc:Choice>
                        <mc:Fallback/>
                      </mc:AlternateContent>
                      <xdr:sp macro="" textlink="">
                        <xdr:nvSpPr>
                          <xdr:cNvPr id="16009" name="Rectangle 16008">
                            <a:extLst>
                              <a:ext uri="{FF2B5EF4-FFF2-40B4-BE49-F238E27FC236}">
                                <a16:creationId xmlns:a16="http://schemas.microsoft.com/office/drawing/2014/main" id="{00000000-0008-0000-0200-000089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3519087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Accu Score</a:t>
                            </a:r>
                          </a:p>
                        </xdr:txBody>
                      </xdr:sp>
                      <xdr:sp macro="" textlink="">
                        <xdr:nvSpPr>
                          <xdr:cNvPr id="16011" name="Rectangle 16010">
                            <a:extLst>
                              <a:ext uri="{FF2B5EF4-FFF2-40B4-BE49-F238E27FC236}">
                                <a16:creationId xmlns:a16="http://schemas.microsoft.com/office/drawing/2014/main" id="{00000000-0008-0000-0200-00008B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3926225"/>
                            <a:ext cx="1332139" cy="314768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Commerc PM</a:t>
                            </a:r>
                          </a:p>
                        </xdr:txBody>
                      </xdr:sp>
                      <xdr:sp macro="" textlink="">
                        <xdr:nvSpPr>
                          <xdr:cNvPr id="16013" name="Rectangle 16012">
                            <a:extLst>
                              <a:ext uri="{FF2B5EF4-FFF2-40B4-BE49-F238E27FC236}">
                                <a16:creationId xmlns:a16="http://schemas.microsoft.com/office/drawing/2014/main" id="{00000000-0008-0000-0200-00008D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3926223"/>
                            <a:ext cx="1332139" cy="3147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Tech</a:t>
                            </a:r>
                            <a:r>
                              <a:rPr lang="en-CA" sz="1400" b="1" kern="1200" baseline="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 PM</a:t>
                            </a:r>
                            <a:endParaRPr lang="en-CA" sz="1400" b="1" kern="1200">
                              <a:ln w="3175">
                                <a:noFill/>
                              </a:ln>
                              <a:solidFill>
                                <a:schemeClr val="bg1"/>
                              </a:solidFill>
                              <a:latin typeface="Times New Roman" panose="02020603050405020304" pitchFamily="18" charset="0"/>
                              <a:ea typeface="Adobe Gothic Std B" panose="020B0800000000000000" pitchFamily="34" charset="-128"/>
                              <a:cs typeface="Times New Roman" panose="02020603050405020304" pitchFamily="18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6015" name="Rectangle 16014">
                            <a:extLst>
                              <a:ext uri="{FF2B5EF4-FFF2-40B4-BE49-F238E27FC236}">
                                <a16:creationId xmlns:a16="http://schemas.microsoft.com/office/drawing/2014/main" id="{00000000-0008-0000-0200-00008F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4333360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Estimator</a:t>
                            </a:r>
                          </a:p>
                        </xdr:txBody>
                      </xdr:sp>
                      <xdr:sp macro="" textlink="">
                        <xdr:nvSpPr>
                          <xdr:cNvPr id="16017" name="Rectangle 16016">
                            <a:extLst>
                              <a:ext uri="{FF2B5EF4-FFF2-40B4-BE49-F238E27FC236}">
                                <a16:creationId xmlns:a16="http://schemas.microsoft.com/office/drawing/2014/main" id="{00000000-0008-0000-0200-000091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926633" y="4337443"/>
                            <a:ext cx="1332139" cy="312387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Approver</a:t>
                            </a:r>
                          </a:p>
                        </xdr:txBody>
                      </xdr:sp>
                      <xdr:sp macro="" textlink="">
                        <xdr:nvSpPr>
                          <xdr:cNvPr id="16019" name="Rectangle 16018">
                            <a:extLst>
                              <a:ext uri="{FF2B5EF4-FFF2-40B4-BE49-F238E27FC236}">
                                <a16:creationId xmlns:a16="http://schemas.microsoft.com/office/drawing/2014/main" id="{00000000-0008-0000-0200-000093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4742198"/>
                            <a:ext cx="1332139" cy="316470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Method</a:t>
                            </a:r>
                          </a:p>
                        </xdr:txBody>
                      </xdr:sp>
                      <xdr:sp macro="" textlink="">
                        <xdr:nvSpPr>
                          <xdr:cNvPr id="16021" name="Rectangle 16020">
                            <a:extLst>
                              <a:ext uri="{FF2B5EF4-FFF2-40B4-BE49-F238E27FC236}">
                                <a16:creationId xmlns:a16="http://schemas.microsoft.com/office/drawing/2014/main" id="{00000000-0008-0000-0200-0000953E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97374" y="5151035"/>
                            <a:ext cx="1332139" cy="312387"/>
                          </a:xfrm>
                          <a:prstGeom prst="rect">
                            <a:avLst/>
                          </a:prstGeom>
                          <a:solidFill>
                            <a:srgbClr val="630811"/>
                          </a:solidFill>
                          <a:ln>
                            <a:noFill/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r"/>
                            <a:r>
                              <a:rPr lang="en-CA" sz="1400" b="1" kern="1200">
                                <a:ln w="3175">
                                  <a:noFill/>
                                </a:ln>
                                <a:solidFill>
                                  <a:schemeClr val="bg1"/>
                                </a:solidFill>
                                <a:latin typeface="Times New Roman" panose="02020603050405020304" pitchFamily="18" charset="0"/>
                                <a:ea typeface="Adobe Gothic Std B" panose="020B0800000000000000" pitchFamily="34" charset="-128"/>
                                <a:cs typeface="Times New Roman" panose="02020603050405020304" pitchFamily="18" charset="0"/>
                              </a:rPr>
                              <a:t>Complexity</a:t>
                            </a:r>
                          </a:p>
                        </xdr:txBody>
                      </xdr:sp>
                    </xdr:grpSp>
                  </xdr:grpSp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5858" name="ComboBox1" hidden="1">
                            <a:extLst>
                              <a:ext uri="{63B3BB69-23CF-44E3-9099-C40C66FF867C}">
                                <a14:compatExt spid="_x0000_s15858"/>
                              </a:ext>
                              <a:ext uri="{FF2B5EF4-FFF2-40B4-BE49-F238E27FC236}">
                                <a16:creationId xmlns:a16="http://schemas.microsoft.com/office/drawing/2014/main" id="{00000000-0008-0000-0200-0000F23D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958682" y="2219580"/>
                            <a:ext cx="2859008" cy="338138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mc:Choice>
                    <mc:Fallback/>
                  </mc:AlternateContent>
                </xdr:grp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5792" name="ComboBox2" hidden="1">
                          <a:extLst>
                            <a:ext uri="{63B3BB69-23CF-44E3-9099-C40C66FF867C}">
                              <a14:compatExt spid="_x0000_s15865"/>
                            </a:ext>
                            <a:ext uri="{FF2B5EF4-FFF2-40B4-BE49-F238E27FC236}">
                              <a16:creationId xmlns:a16="http://schemas.microsoft.com/office/drawing/2014/main" id="{00000000-0008-0000-0200-0000B03D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958682" y="5511036"/>
                          <a:ext cx="2854589" cy="340519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mc:Choice>
                  <mc:Fallback/>
                </mc:AlternateContent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59" name="TextBox1" hidden="1">
                        <a:extLst>
                          <a:ext uri="{63B3BB69-23CF-44E3-9099-C40C66FF867C}">
                            <a14:compatExt spid="_x0000_s15859"/>
                          </a:ext>
                          <a:ext uri="{FF2B5EF4-FFF2-40B4-BE49-F238E27FC236}">
                            <a16:creationId xmlns:a16="http://schemas.microsoft.com/office/drawing/2014/main" id="{00000000-0008-0000-0200-0000F3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2806845"/>
                        <a:ext cx="647701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1" name="TextBox9" hidden="1">
                        <a:extLst>
                          <a:ext uri="{63B3BB69-23CF-44E3-9099-C40C66FF867C}">
                            <a14:compatExt spid="_x0000_s15861"/>
                          </a:ext>
                          <a:ext uri="{FF2B5EF4-FFF2-40B4-BE49-F238E27FC236}">
                            <a16:creationId xmlns:a16="http://schemas.microsoft.com/office/drawing/2014/main" id="{00000000-0008-0000-0200-0000F5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4891422"/>
                        <a:ext cx="486966" cy="31432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0" name="TextBox11" hidden="1">
                        <a:extLst>
                          <a:ext uri="{63B3BB69-23CF-44E3-9099-C40C66FF867C}">
                            <a14:compatExt spid="_x0000_s15862"/>
                          </a:ext>
                          <a:ext uri="{FF2B5EF4-FFF2-40B4-BE49-F238E27FC236}">
                            <a16:creationId xmlns:a16="http://schemas.microsoft.com/office/drawing/2014/main" id="{00000000-0008-0000-0200-0000AE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1370" y="4881898"/>
                        <a:ext cx="485775" cy="32385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1" name="TextBox13" hidden="1">
                        <a:extLst>
                          <a:ext uri="{63B3BB69-23CF-44E3-9099-C40C66FF867C}">
                            <a14:compatExt spid="_x0000_s15863"/>
                          </a:ext>
                          <a:ext uri="{FF2B5EF4-FFF2-40B4-BE49-F238E27FC236}">
                            <a16:creationId xmlns:a16="http://schemas.microsoft.com/office/drawing/2014/main" id="{00000000-0008-0000-0200-0000AF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7209748" y="5302588"/>
                        <a:ext cx="486966" cy="32146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864" name="TextBox14" hidden="1">
                        <a:extLst>
                          <a:ext uri="{63B3BB69-23CF-44E3-9099-C40C66FF867C}">
                            <a14:compatExt spid="_x0000_s15864"/>
                          </a:ext>
                          <a:ext uri="{FF2B5EF4-FFF2-40B4-BE49-F238E27FC236}">
                            <a16:creationId xmlns:a16="http://schemas.microsoft.com/office/drawing/2014/main" id="{00000000-0008-0000-0200-0000F8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2559" y="5300207"/>
                        <a:ext cx="484585" cy="32384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5793" name="TextBox15" hidden="1">
                        <a:extLst>
                          <a:ext uri="{63B3BB69-23CF-44E3-9099-C40C66FF867C}">
                            <a14:compatExt spid="_x0000_s15867"/>
                          </a:ext>
                          <a:ext uri="{FF2B5EF4-FFF2-40B4-BE49-F238E27FC236}">
                            <a16:creationId xmlns:a16="http://schemas.microsoft.com/office/drawing/2014/main" id="{00000000-0008-0000-0200-0000B1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591370" y="4474856"/>
                        <a:ext cx="485775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mc:Choice>
                <mc:Fallback/>
              </mc:AlternateContent>
            </xdr:grpSp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5869" name="ComboBox3" hidden="1">
                      <a:extLst>
                        <a:ext uri="{63B3BB69-23CF-44E3-9099-C40C66FF867C}">
                          <a14:compatExt spid="_x0000_s15869"/>
                        </a:ext>
                        <a:ext uri="{FF2B5EF4-FFF2-40B4-BE49-F238E27FC236}">
                          <a16:creationId xmlns:a16="http://schemas.microsoft.com/office/drawing/2014/main" id="{00000000-0008-0000-0200-0000FD3D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000250" y="6541813"/>
                      <a:ext cx="2857500" cy="34671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mc:Choice>
              <mc:Fallback/>
            </mc:AlternateContent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5870" name="ComboBox4" hidden="1">
                    <a:extLst>
                      <a:ext uri="{63B3BB69-23CF-44E3-9099-C40C66FF867C}">
                        <a14:compatExt spid="_x0000_s15870"/>
                      </a:ext>
                      <a:ext uri="{FF2B5EF4-FFF2-40B4-BE49-F238E27FC236}">
                        <a16:creationId xmlns:a16="http://schemas.microsoft.com/office/drawing/2014/main" id="{00000000-0008-0000-0200-0000FE3D0000}"/>
                      </a:ext>
                    </a:extLst>
                  </xdr:cNvPr>
                  <xdr:cNvSpPr/>
                </xdr:nvSpPr>
                <xdr:spPr bwMode="auto">
                  <a:xfrm>
                    <a:off x="1996279" y="3957992"/>
                    <a:ext cx="2848536" cy="33953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3028950" y="3554895"/>
              <a:ext cx="1485900" cy="314433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n-CA" sz="1200" b="1" kern="1200">
                  <a:ln w="3175">
                    <a:noFill/>
                  </a:ln>
                  <a:solidFill>
                    <a:schemeClr val="bg1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Bi-weekly Meetings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937" name="bwmeetings" hidden="1">
                <a:extLst>
                  <a:ext uri="{63B3BB69-23CF-44E3-9099-C40C66FF867C}">
                    <a14:compatExt spid="_x0000_s15937"/>
                  </a:ext>
                  <a:ext uri="{FF2B5EF4-FFF2-40B4-BE49-F238E27FC236}">
                    <a16:creationId xmlns:a16="http://schemas.microsoft.com/office/drawing/2014/main" id="{00000000-0008-0000-0200-0000413E0000}"/>
                  </a:ext>
                </a:extLst>
              </xdr:cNvPr>
              <xdr:cNvSpPr/>
            </xdr:nvSpPr>
            <xdr:spPr bwMode="auto">
              <a:xfrm>
                <a:off x="4629150" y="3505200"/>
                <a:ext cx="228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533400</xdr:colOff>
      <xdr:row>10</xdr:row>
      <xdr:rowOff>11595</xdr:rowOff>
    </xdr:from>
    <xdr:to>
      <xdr:col>7</xdr:col>
      <xdr:colOff>95698</xdr:colOff>
      <xdr:row>37</xdr:row>
      <xdr:rowOff>6753</xdr:rowOff>
    </xdr:to>
    <xdr:grpSp>
      <xdr:nvGrpSpPr>
        <xdr:cNvPr id="14" name="Group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3400" y="1821345"/>
          <a:ext cx="4362898" cy="4881483"/>
          <a:chOff x="533400" y="1869798"/>
          <a:chExt cx="4397685" cy="5033469"/>
        </a:xfrm>
      </xdr:grpSpPr>
      <xdr:grpSp>
        <xdr:nvGrpSpPr>
          <xdr:cNvPr id="10" name="Group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pSpPr/>
        </xdr:nvGrpSpPr>
        <xdr:grpSpPr>
          <a:xfrm>
            <a:off x="533400" y="1869798"/>
            <a:ext cx="4397685" cy="5033469"/>
            <a:chOff x="533400" y="1869798"/>
            <a:chExt cx="4397685" cy="5033469"/>
          </a:xfrm>
        </xdr:grpSpPr>
        <xdr:grpSp>
          <xdr:nvGrpSpPr>
            <xdr:cNvPr id="16149" name="Group 16148" hidden="1">
              <a:extLst>
                <a:ext uri="{FF2B5EF4-FFF2-40B4-BE49-F238E27FC236}">
                  <a16:creationId xmlns:a16="http://schemas.microsoft.com/office/drawing/2014/main" id="{00000000-0008-0000-0200-0000153F0000}"/>
                </a:ext>
              </a:extLst>
            </xdr:cNvPr>
            <xdr:cNvGrpSpPr/>
          </xdr:nvGrpSpPr>
          <xdr:grpSpPr>
            <a:xfrm>
              <a:off x="533400" y="1869798"/>
              <a:ext cx="4397685" cy="5033469"/>
              <a:chOff x="1279712" y="7663141"/>
              <a:chExt cx="4370401" cy="4955241"/>
            </a:xfrm>
          </xdr:grpSpPr>
          <xdr:sp macro="" textlink="">
            <xdr:nvSpPr>
              <xdr:cNvPr id="16073" name="Rectangle 16072" hidden="1">
                <a:extLst>
                  <a:ext uri="{FF2B5EF4-FFF2-40B4-BE49-F238E27FC236}">
                    <a16:creationId xmlns:a16="http://schemas.microsoft.com/office/drawing/2014/main" id="{00000000-0008-0000-0200-0000C93E0000}"/>
                  </a:ext>
                </a:extLst>
              </xdr:cNvPr>
              <xdr:cNvSpPr/>
            </xdr:nvSpPr>
            <xdr:spPr>
              <a:xfrm>
                <a:off x="1279712" y="7663141"/>
                <a:ext cx="4367773" cy="4955241"/>
              </a:xfrm>
              <a:prstGeom prst="rect">
                <a:avLst/>
              </a:prstGeom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 kern="1200"/>
              </a:p>
            </xdr:txBody>
          </xdr:sp>
          <xdr:grpSp>
            <xdr:nvGrpSpPr>
              <xdr:cNvPr id="16118" name="Group 16117" hidden="1">
                <a:extLst>
                  <a:ext uri="{FF2B5EF4-FFF2-40B4-BE49-F238E27FC236}">
                    <a16:creationId xmlns:a16="http://schemas.microsoft.com/office/drawing/2014/main" id="{00000000-0008-0000-0200-0000F63E0000}"/>
                  </a:ext>
                </a:extLst>
              </xdr:cNvPr>
              <xdr:cNvGrpSpPr/>
            </xdr:nvGrpSpPr>
            <xdr:grpSpPr>
              <a:xfrm>
                <a:off x="1281028" y="7691463"/>
                <a:ext cx="4367772" cy="1428033"/>
                <a:chOff x="1280639" y="7944796"/>
                <a:chExt cx="4365067" cy="1465421"/>
              </a:xfrm>
            </xdr:grpSpPr>
            <xdr:sp macro="" textlink="">
              <xdr:nvSpPr>
                <xdr:cNvPr id="16116" name="Rectangle 16115" hidden="1">
                  <a:extLst>
                    <a:ext uri="{FF2B5EF4-FFF2-40B4-BE49-F238E27FC236}">
                      <a16:creationId xmlns:a16="http://schemas.microsoft.com/office/drawing/2014/main" id="{00000000-0008-0000-0200-0000F43E0000}"/>
                    </a:ext>
                  </a:extLst>
                </xdr:cNvPr>
                <xdr:cNvSpPr/>
              </xdr:nvSpPr>
              <xdr:spPr>
                <a:xfrm>
                  <a:off x="1280639" y="7944796"/>
                  <a:ext cx="4365067" cy="1465421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15" name="Group 16114" hidden="1">
                      <a:extLst>
                        <a:ext uri="{FF2B5EF4-FFF2-40B4-BE49-F238E27FC236}">
                          <a16:creationId xmlns:a16="http://schemas.microsoft.com/office/drawing/2014/main" id="{00000000-0008-0000-0200-0000F3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02" name="MMR_Vessel" hidden="1">
                        <a:extLst>
                          <a:ext uri="{63B3BB69-23CF-44E3-9099-C40C66FF867C}">
                            <a14:compatExt spid="_x0000_s15902"/>
                          </a:ext>
                          <a:ext uri="{FF2B5EF4-FFF2-40B4-BE49-F238E27FC236}">
                            <a16:creationId xmlns:a16="http://schemas.microsoft.com/office/drawing/2014/main" id="{00000000-0008-0000-0200-00001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3" name="MMR_Column" hidden="1">
                        <a:extLst>
                          <a:ext uri="{63B3BB69-23CF-44E3-9099-C40C66FF867C}">
                            <a14:compatExt spid="_x0000_s15903"/>
                          </a:ext>
                          <a:ext uri="{FF2B5EF4-FFF2-40B4-BE49-F238E27FC236}">
                            <a16:creationId xmlns:a16="http://schemas.microsoft.com/office/drawing/2014/main" id="{00000000-0008-0000-0200-00001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4" name="MMR_Tank" hidden="1">
                        <a:extLst>
                          <a:ext uri="{63B3BB69-23CF-44E3-9099-C40C66FF867C}">
                            <a14:compatExt spid="_x0000_s15904"/>
                          </a:ext>
                          <a:ext uri="{FF2B5EF4-FFF2-40B4-BE49-F238E27FC236}">
                            <a16:creationId xmlns:a16="http://schemas.microsoft.com/office/drawing/2014/main" id="{00000000-0008-0000-0200-00002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5" name="MMR_Exchanger" hidden="1">
                        <a:extLst>
                          <a:ext uri="{63B3BB69-23CF-44E3-9099-C40C66FF867C}">
                            <a14:compatExt spid="_x0000_s15905"/>
                          </a:ext>
                          <a:ext uri="{FF2B5EF4-FFF2-40B4-BE49-F238E27FC236}">
                            <a16:creationId xmlns:a16="http://schemas.microsoft.com/office/drawing/2014/main" id="{00000000-0008-0000-0200-000021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6" name="MMR_Boiler" hidden="1">
                        <a:extLst>
                          <a:ext uri="{63B3BB69-23CF-44E3-9099-C40C66FF867C}">
                            <a14:compatExt spid="_x0000_s15906"/>
                          </a:ext>
                          <a:ext uri="{FF2B5EF4-FFF2-40B4-BE49-F238E27FC236}">
                            <a16:creationId xmlns:a16="http://schemas.microsoft.com/office/drawing/2014/main" id="{00000000-0008-0000-0200-00002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7" name="MMR_Compressor" hidden="1">
                        <a:extLst>
                          <a:ext uri="{63B3BB69-23CF-44E3-9099-C40C66FF867C}">
                            <a14:compatExt spid="_x0000_s15907"/>
                          </a:ext>
                          <a:ext uri="{FF2B5EF4-FFF2-40B4-BE49-F238E27FC236}">
                            <a16:creationId xmlns:a16="http://schemas.microsoft.com/office/drawing/2014/main" id="{00000000-0008-0000-0200-000023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8" name="MMR_HVAC" hidden="1">
                        <a:extLst>
                          <a:ext uri="{63B3BB69-23CF-44E3-9099-C40C66FF867C}">
                            <a14:compatExt spid="_x0000_s15908"/>
                          </a:ext>
                          <a:ext uri="{FF2B5EF4-FFF2-40B4-BE49-F238E27FC236}">
                            <a16:creationId xmlns:a16="http://schemas.microsoft.com/office/drawing/2014/main" id="{00000000-0008-0000-0200-00002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7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09" name="MMR_Pump" hidden="1">
                        <a:extLst>
                          <a:ext uri="{63B3BB69-23CF-44E3-9099-C40C66FF867C}">
                            <a14:compatExt spid="_x0000_s15909"/>
                          </a:ext>
                          <a:ext uri="{FF2B5EF4-FFF2-40B4-BE49-F238E27FC236}">
                            <a16:creationId xmlns:a16="http://schemas.microsoft.com/office/drawing/2014/main" id="{00000000-0008-0000-0200-000025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0" name="MMR_Packaged" hidden="1">
                        <a:extLst>
                          <a:ext uri="{63B3BB69-23CF-44E3-9099-C40C66FF867C}">
                            <a14:compatExt spid="_x0000_s15910"/>
                          </a:ext>
                          <a:ext uri="{FF2B5EF4-FFF2-40B4-BE49-F238E27FC236}">
                            <a16:creationId xmlns:a16="http://schemas.microsoft.com/office/drawing/2014/main" id="{00000000-0008-0000-0200-00002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1" name="MR_Pipe" hidden="1">
                        <a:extLst>
                          <a:ext uri="{63B3BB69-23CF-44E3-9099-C40C66FF867C}">
                            <a14:compatExt spid="_x0000_s15911"/>
                          </a:ext>
                          <a:ext uri="{FF2B5EF4-FFF2-40B4-BE49-F238E27FC236}">
                            <a16:creationId xmlns:a16="http://schemas.microsoft.com/office/drawing/2014/main" id="{00000000-0008-0000-0200-00002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2" name="MRR_Spec" hidden="1">
                        <a:extLst>
                          <a:ext uri="{63B3BB69-23CF-44E3-9099-C40C66FF867C}">
                            <a14:compatExt spid="_x0000_s15912"/>
                          </a:ext>
                          <a:ext uri="{FF2B5EF4-FFF2-40B4-BE49-F238E27FC236}">
                            <a16:creationId xmlns:a16="http://schemas.microsoft.com/office/drawing/2014/main" id="{00000000-0008-0000-0200-00002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19" name="Group 16118" hidden="1">
                <a:extLst>
                  <a:ext uri="{FF2B5EF4-FFF2-40B4-BE49-F238E27FC236}">
                    <a16:creationId xmlns:a16="http://schemas.microsoft.com/office/drawing/2014/main" id="{00000000-0008-0000-0200-0000F73E0000}"/>
                  </a:ext>
                </a:extLst>
              </xdr:cNvPr>
              <xdr:cNvGrpSpPr/>
            </xdr:nvGrpSpPr>
            <xdr:grpSpPr>
              <a:xfrm>
                <a:off x="1281027" y="9296240"/>
                <a:ext cx="4367772" cy="1414803"/>
                <a:chOff x="1279325" y="7968052"/>
                <a:chExt cx="4365067" cy="1451845"/>
              </a:xfrm>
            </xdr:grpSpPr>
            <xdr:sp macro="" textlink="">
              <xdr:nvSpPr>
                <xdr:cNvPr id="16120" name="Rectangle 16119" hidden="1">
                  <a:extLst>
                    <a:ext uri="{FF2B5EF4-FFF2-40B4-BE49-F238E27FC236}">
                      <a16:creationId xmlns:a16="http://schemas.microsoft.com/office/drawing/2014/main" id="{00000000-0008-0000-0200-0000F83E0000}"/>
                    </a:ext>
                  </a:extLst>
                </xdr:cNvPr>
                <xdr:cNvSpPr/>
              </xdr:nvSpPr>
              <xdr:spPr>
                <a:xfrm>
                  <a:off x="1279325" y="7968052"/>
                  <a:ext cx="4365067" cy="1451845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21" name="Group 16120" hidden="1">
                      <a:extLst>
                        <a:ext uri="{FF2B5EF4-FFF2-40B4-BE49-F238E27FC236}">
                          <a16:creationId xmlns:a16="http://schemas.microsoft.com/office/drawing/2014/main" id="{00000000-0008-0000-0200-0000F93E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89514" cy="989692"/>
                      <a:chOff x="1322333" y="8368456"/>
                      <a:chExt cx="4289514" cy="989692"/>
                    </a:xfrm>
                  </xdr:grpSpPr>
                  <xdr:sp macro="" textlink="">
                    <xdr:nvSpPr>
                      <xdr:cNvPr id="15914" name="EMR_Conduit" hidden="1">
                        <a:extLst>
                          <a:ext uri="{63B3BB69-23CF-44E3-9099-C40C66FF867C}">
                            <a14:compatExt spid="_x0000_s15914"/>
                          </a:ext>
                          <a:ext uri="{FF2B5EF4-FFF2-40B4-BE49-F238E27FC236}">
                            <a16:creationId xmlns:a16="http://schemas.microsoft.com/office/drawing/2014/main" id="{00000000-0008-0000-0200-00002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5" name="EMR_Transformer" hidden="1">
                        <a:extLst>
                          <a:ext uri="{63B3BB69-23CF-44E3-9099-C40C66FF867C}">
                            <a14:compatExt spid="_x0000_s15915"/>
                          </a:ext>
                          <a:ext uri="{FF2B5EF4-FFF2-40B4-BE49-F238E27FC236}">
                            <a16:creationId xmlns:a16="http://schemas.microsoft.com/office/drawing/2014/main" id="{00000000-0008-0000-0200-00002B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6" name="EMR_Panel" hidden="1">
                        <a:extLst>
                          <a:ext uri="{63B3BB69-23CF-44E3-9099-C40C66FF867C}">
                            <a14:compatExt spid="_x0000_s15916"/>
                          </a:ext>
                          <a:ext uri="{FF2B5EF4-FFF2-40B4-BE49-F238E27FC236}">
                            <a16:creationId xmlns:a16="http://schemas.microsoft.com/office/drawing/2014/main" id="{00000000-0008-0000-0200-00002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7" name="EMR_Device" hidden="1">
                        <a:extLst>
                          <a:ext uri="{63B3BB69-23CF-44E3-9099-C40C66FF867C}">
                            <a14:compatExt spid="_x0000_s15917"/>
                          </a:ext>
                          <a:ext uri="{FF2B5EF4-FFF2-40B4-BE49-F238E27FC236}">
                            <a16:creationId xmlns:a16="http://schemas.microsoft.com/office/drawing/2014/main" id="{00000000-0008-0000-0200-00002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8" name="EMR_ControlPanel" hidden="1">
                        <a:extLst>
                          <a:ext uri="{63B3BB69-23CF-44E3-9099-C40C66FF867C}">
                            <a14:compatExt spid="_x0000_s15918"/>
                          </a:ext>
                          <a:ext uri="{FF2B5EF4-FFF2-40B4-BE49-F238E27FC236}">
                            <a16:creationId xmlns:a16="http://schemas.microsoft.com/office/drawing/2014/main" id="{00000000-0008-0000-0200-00002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19" name="EMR_UPS" hidden="1">
                        <a:extLst>
                          <a:ext uri="{63B3BB69-23CF-44E3-9099-C40C66FF867C}">
                            <a14:compatExt spid="_x0000_s15919"/>
                          </a:ext>
                          <a:ext uri="{FF2B5EF4-FFF2-40B4-BE49-F238E27FC236}">
                            <a16:creationId xmlns:a16="http://schemas.microsoft.com/office/drawing/2014/main" id="{00000000-0008-0000-0200-00002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0" name="EMR_MCC" hidden="1">
                        <a:extLst>
                          <a:ext uri="{63B3BB69-23CF-44E3-9099-C40C66FF867C}">
                            <a14:compatExt spid="_x0000_s15920"/>
                          </a:ext>
                          <a:ext uri="{FF2B5EF4-FFF2-40B4-BE49-F238E27FC236}">
                            <a16:creationId xmlns:a16="http://schemas.microsoft.com/office/drawing/2014/main" id="{00000000-0008-0000-0200-000030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797" name="EMR_Switchboard" hidden="1">
                        <a:extLst>
                          <a:ext uri="{63B3BB69-23CF-44E3-9099-C40C66FF867C}">
                            <a14:compatExt spid="_x0000_s15921"/>
                          </a:ext>
                          <a:ext uri="{FF2B5EF4-FFF2-40B4-BE49-F238E27FC236}">
                            <a16:creationId xmlns:a16="http://schemas.microsoft.com/office/drawing/2014/main" id="{00000000-0008-0000-0200-0000B5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2" name="EMR_Wire" hidden="1">
                        <a:extLst>
                          <a:ext uri="{63B3BB69-23CF-44E3-9099-C40C66FF867C}">
                            <a14:compatExt spid="_x0000_s15922"/>
                          </a:ext>
                          <a:ext uri="{FF2B5EF4-FFF2-40B4-BE49-F238E27FC236}">
                            <a16:creationId xmlns:a16="http://schemas.microsoft.com/office/drawing/2014/main" id="{00000000-0008-0000-0200-000032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1" name="EMR_Lighting" hidden="1">
                        <a:extLst>
                          <a:ext uri="{63B3BB69-23CF-44E3-9099-C40C66FF867C}">
                            <a14:compatExt spid="_x0000_s15923"/>
                          </a:ext>
                          <a:ext uri="{FF2B5EF4-FFF2-40B4-BE49-F238E27FC236}">
                            <a16:creationId xmlns:a16="http://schemas.microsoft.com/office/drawing/2014/main" id="{00000000-0008-0000-0200-0000B9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4" name="EMR_Grounding" hidden="1">
                        <a:extLst>
                          <a:ext uri="{63B3BB69-23CF-44E3-9099-C40C66FF867C}">
                            <a14:compatExt spid="_x0000_s15924"/>
                          </a:ext>
                          <a:ext uri="{FF2B5EF4-FFF2-40B4-BE49-F238E27FC236}">
                            <a16:creationId xmlns:a16="http://schemas.microsoft.com/office/drawing/2014/main" id="{00000000-0008-0000-0200-000034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8726996"/>
                        <a:ext cx="1023831" cy="28213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2" name="EMR_Substations" hidden="1">
                        <a:extLst>
                          <a:ext uri="{63B3BB69-23CF-44E3-9099-C40C66FF867C}">
                            <a14:compatExt spid="_x0000_s15925"/>
                          </a:ext>
                          <a:ext uri="{FF2B5EF4-FFF2-40B4-BE49-F238E27FC236}">
                            <a16:creationId xmlns:a16="http://schemas.microsoft.com/office/drawing/2014/main" id="{00000000-0008-0000-0200-0000BA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6" y="9085536"/>
                        <a:ext cx="1014306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  <xdr:grpSp>
            <xdr:nvGrpSpPr>
              <xdr:cNvPr id="16134" name="Group 16133" hidden="1">
                <a:extLst>
                  <a:ext uri="{FF2B5EF4-FFF2-40B4-BE49-F238E27FC236}">
                    <a16:creationId xmlns:a16="http://schemas.microsoft.com/office/drawing/2014/main" id="{00000000-0008-0000-0200-0000063F0000}"/>
                  </a:ext>
                </a:extLst>
              </xdr:cNvPr>
              <xdr:cNvGrpSpPr/>
            </xdr:nvGrpSpPr>
            <xdr:grpSpPr>
              <a:xfrm>
                <a:off x="1282341" y="10891581"/>
                <a:ext cx="4367772" cy="1421291"/>
                <a:chOff x="1279325" y="7961395"/>
                <a:chExt cx="4365067" cy="1458502"/>
              </a:xfrm>
            </xdr:grpSpPr>
            <xdr:sp macro="" textlink="">
              <xdr:nvSpPr>
                <xdr:cNvPr id="16135" name="Rectangle 16134" hidden="1">
                  <a:extLst>
                    <a:ext uri="{FF2B5EF4-FFF2-40B4-BE49-F238E27FC236}">
                      <a16:creationId xmlns:a16="http://schemas.microsoft.com/office/drawing/2014/main" id="{00000000-0008-0000-0200-0000073F0000}"/>
                    </a:ext>
                  </a:extLst>
                </xdr:cNvPr>
                <xdr:cNvSpPr/>
              </xdr:nvSpPr>
              <xdr:spPr>
                <a:xfrm>
                  <a:off x="1279325" y="7961395"/>
                  <a:ext cx="4365067" cy="1458502"/>
                </a:xfrm>
                <a:prstGeom prst="rect">
                  <a:avLst/>
                </a:prstGeom>
                <a:solidFill>
                  <a:schemeClr val="bg2">
                    <a:lumMod val="10000"/>
                  </a:scheme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 kern="1200"/>
                </a:p>
              </xdr:txBody>
            </xdr:sp>
            <mc:AlternateContent xmlns:mc="http://schemas.openxmlformats.org/markup-compatibility/2006">
              <mc:Choice xmlns:a14="http://schemas.microsoft.com/office/drawing/2010/main" Requires="a14">
                <xdr:grpSp>
                  <xdr:nvGrpSpPr>
                    <xdr:cNvPr id="16136" name="Group 16135" hidden="1">
                      <a:extLst>
                        <a:ext uri="{FF2B5EF4-FFF2-40B4-BE49-F238E27FC236}">
                          <a16:creationId xmlns:a16="http://schemas.microsoft.com/office/drawing/2014/main" id="{00000000-0008-0000-0200-0000083F0000}"/>
                        </a:ext>
                      </a:extLst>
                    </xdr:cNvPr>
                    <xdr:cNvGrpSpPr/>
                  </xdr:nvGrpSpPr>
                  <xdr:grpSpPr>
                    <a:xfrm>
                      <a:off x="1322333" y="8368456"/>
                      <a:ext cx="4279990" cy="989692"/>
                      <a:chOff x="1322333" y="8368456"/>
                      <a:chExt cx="4279990" cy="989692"/>
                    </a:xfrm>
                  </xdr:grpSpPr>
                  <xdr:sp macro="" textlink="">
                    <xdr:nvSpPr>
                      <xdr:cNvPr id="15926" name="ICTMR_Comm" hidden="1">
                        <a:extLst>
                          <a:ext uri="{63B3BB69-23CF-44E3-9099-C40C66FF867C}">
                            <a14:compatExt spid="_x0000_s15926"/>
                          </a:ext>
                          <a:ext uri="{FF2B5EF4-FFF2-40B4-BE49-F238E27FC236}">
                            <a16:creationId xmlns:a16="http://schemas.microsoft.com/office/drawing/2014/main" id="{00000000-0008-0000-0200-000036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368456"/>
                        <a:ext cx="1016547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7" name="ICTMR_Detection" hidden="1">
                        <a:extLst>
                          <a:ext uri="{63B3BB69-23CF-44E3-9099-C40C66FF867C}">
                            <a14:compatExt spid="_x0000_s15927"/>
                          </a:ext>
                          <a:ext uri="{FF2B5EF4-FFF2-40B4-BE49-F238E27FC236}">
                            <a16:creationId xmlns:a16="http://schemas.microsoft.com/office/drawing/2014/main" id="{00000000-0008-0000-0200-000037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8726996"/>
                        <a:ext cx="1014306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8" name="ICTMR_Testing" hidden="1">
                        <a:extLst>
                          <a:ext uri="{63B3BB69-23CF-44E3-9099-C40C66FF867C}">
                            <a14:compatExt spid="_x0000_s15928"/>
                          </a:ext>
                          <a:ext uri="{FF2B5EF4-FFF2-40B4-BE49-F238E27FC236}">
                            <a16:creationId xmlns:a16="http://schemas.microsoft.com/office/drawing/2014/main" id="{00000000-0008-0000-0200-000038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1322333" y="9085536"/>
                        <a:ext cx="1016548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29" name="ICTMR_HMI" hidden="1">
                        <a:extLst>
                          <a:ext uri="{63B3BB69-23CF-44E3-9099-C40C66FF867C}">
                            <a14:compatExt spid="_x0000_s15929"/>
                          </a:ext>
                          <a:ext uri="{FF2B5EF4-FFF2-40B4-BE49-F238E27FC236}">
                            <a16:creationId xmlns:a16="http://schemas.microsoft.com/office/drawing/2014/main" id="{00000000-0008-0000-0200-000039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368456"/>
                        <a:ext cx="1013919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0" name="ICTMR_Computers" hidden="1">
                        <a:extLst>
                          <a:ext uri="{63B3BB69-23CF-44E3-9099-C40C66FF867C}">
                            <a14:compatExt spid="_x0000_s15930"/>
                          </a:ext>
                          <a:ext uri="{FF2B5EF4-FFF2-40B4-BE49-F238E27FC236}">
                            <a16:creationId xmlns:a16="http://schemas.microsoft.com/office/drawing/2014/main" id="{00000000-0008-0000-0200-00003A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8726996"/>
                        <a:ext cx="1016160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803" name="ICTMR_Antennas" hidden="1">
                        <a:extLst>
                          <a:ext uri="{63B3BB69-23CF-44E3-9099-C40C66FF867C}">
                            <a14:compatExt spid="_x0000_s15931"/>
                          </a:ext>
                          <a:ext uri="{FF2B5EF4-FFF2-40B4-BE49-F238E27FC236}">
                            <a16:creationId xmlns:a16="http://schemas.microsoft.com/office/drawing/2014/main" id="{00000000-0008-0000-0200-0000BB3D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2411899" y="9085536"/>
                        <a:ext cx="1013919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2" name="ICTMR_DCS" hidden="1">
                        <a:extLst>
                          <a:ext uri="{63B3BB69-23CF-44E3-9099-C40C66FF867C}">
                            <a14:compatExt spid="_x0000_s15932"/>
                          </a:ext>
                          <a:ext uri="{FF2B5EF4-FFF2-40B4-BE49-F238E27FC236}">
                            <a16:creationId xmlns:a16="http://schemas.microsoft.com/office/drawing/2014/main" id="{00000000-0008-0000-0200-00003C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368456"/>
                        <a:ext cx="1016161" cy="26965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3" name="ICTMR_PLC" hidden="1">
                        <a:extLst>
                          <a:ext uri="{63B3BB69-23CF-44E3-9099-C40C66FF867C}">
                            <a14:compatExt spid="_x0000_s15933"/>
                          </a:ext>
                          <a:ext uri="{FF2B5EF4-FFF2-40B4-BE49-F238E27FC236}">
                            <a16:creationId xmlns:a16="http://schemas.microsoft.com/office/drawing/2014/main" id="{00000000-0008-0000-0200-00003D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8726996"/>
                        <a:ext cx="1025686" cy="2742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4" name="ICTMR_Scada" hidden="1">
                        <a:extLst>
                          <a:ext uri="{63B3BB69-23CF-44E3-9099-C40C66FF867C}">
                            <a14:compatExt spid="_x0000_s15934"/>
                          </a:ext>
                          <a:ext uri="{FF2B5EF4-FFF2-40B4-BE49-F238E27FC236}">
                            <a16:creationId xmlns:a16="http://schemas.microsoft.com/office/drawing/2014/main" id="{00000000-0008-0000-0200-00003E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3498837" y="9085536"/>
                        <a:ext cx="1016161" cy="27261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sp macro="" textlink="">
                    <xdr:nvSpPr>
                      <xdr:cNvPr id="15935" name="ICTMR_ESD" hidden="1">
                        <a:extLst>
                          <a:ext uri="{63B3BB69-23CF-44E3-9099-C40C66FF867C}">
                            <a14:compatExt spid="_x0000_s15935"/>
                          </a:ext>
                          <a:ext uri="{FF2B5EF4-FFF2-40B4-BE49-F238E27FC236}">
                            <a16:creationId xmlns:a16="http://schemas.microsoft.com/office/drawing/2014/main" id="{00000000-0008-0000-0200-00003F3E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4588017" y="8368456"/>
                        <a:ext cx="1014306" cy="26797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</xdr:grpSp>
              </mc:Choice>
              <mc:Fallback/>
            </mc:AlternateContent>
          </xdr:grpSp>
        </xdr:grpSp>
        <xdr:sp macro="" textlink="">
          <xdr:nvSpPr>
            <xdr:cNvPr id="15805" name="Rectangle 15804" hidden="1">
              <a:extLst>
                <a:ext uri="{FF2B5EF4-FFF2-40B4-BE49-F238E27FC236}">
                  <a16:creationId xmlns:a16="http://schemas.microsoft.com/office/drawing/2014/main" id="{00000000-0008-0000-0200-0000BD3D0000}"/>
                </a:ext>
              </a:extLst>
            </xdr:cNvPr>
            <xdr:cNvSpPr/>
          </xdr:nvSpPr>
          <xdr:spPr>
            <a:xfrm>
              <a:off x="574813" y="1939787"/>
              <a:ext cx="1082925" cy="324979"/>
            </a:xfrm>
            <a:prstGeom prst="rect">
              <a:avLst/>
            </a:prstGeom>
            <a:solidFill>
              <a:srgbClr val="63081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prst="angle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rPr>
                <a:t>Mechanical</a:t>
              </a:r>
            </a:p>
          </xdr:txBody>
        </xdr:sp>
      </xdr:grpSp>
      <xdr:sp macro="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574813" y="3559450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Electrical</a:t>
            </a:r>
          </a:p>
        </xdr:txBody>
      </xdr:sp>
      <xdr:sp macro="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574813" y="5186154"/>
            <a:ext cx="1082925" cy="324979"/>
          </a:xfrm>
          <a:prstGeom prst="rect">
            <a:avLst/>
          </a:prstGeom>
          <a:solidFill>
            <a:srgbClr val="6308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CA" sz="1400" b="1" kern="1200">
                <a:ln w="3175">
                  <a:noFill/>
                </a:ln>
                <a:solidFill>
                  <a:srgbClr val="FFFF00"/>
                </a:solidFill>
                <a:latin typeface="Times New Roman" panose="02020603050405020304" pitchFamily="18" charset="0"/>
                <a:ea typeface="Adobe Gothic Std B" panose="020B0800000000000000" pitchFamily="34" charset="-128"/>
                <a:cs typeface="Times New Roman" panose="02020603050405020304" pitchFamily="18" charset="0"/>
              </a:rPr>
              <a:t>ICT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1</xdr:row>
          <xdr:rowOff>66675</xdr:rowOff>
        </xdr:from>
        <xdr:to>
          <xdr:col>21</xdr:col>
          <xdr:colOff>409575</xdr:colOff>
          <xdr:row>3</xdr:row>
          <xdr:rowOff>171450</xdr:rowOff>
        </xdr:to>
        <xdr:sp macro="" textlink="">
          <xdr:nvSpPr>
            <xdr:cNvPr id="15992" name="APPLY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2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533400</xdr:colOff>
      <xdr:row>9</xdr:row>
      <xdr:rowOff>173520</xdr:rowOff>
    </xdr:from>
    <xdr:to>
      <xdr:col>7</xdr:col>
      <xdr:colOff>95698</xdr:colOff>
      <xdr:row>36</xdr:row>
      <xdr:rowOff>168678</xdr:rowOff>
    </xdr:to>
    <xdr:grpSp>
      <xdr:nvGrpSpPr>
        <xdr:cNvPr id="43" name="Group 42" hidden="1">
          <a:extLst>
            <a:ext uri="{FF2B5EF4-FFF2-40B4-BE49-F238E27FC236}">
              <a16:creationId xmlns:a16="http://schemas.microsoft.com/office/drawing/2014/main" id="{C1034E95-001F-7D9D-42BA-EB3D8C0AEA7C}"/>
            </a:ext>
          </a:extLst>
        </xdr:cNvPr>
        <xdr:cNvGrpSpPr/>
      </xdr:nvGrpSpPr>
      <xdr:grpSpPr>
        <a:xfrm>
          <a:off x="533400" y="1802295"/>
          <a:ext cx="4362898" cy="4881483"/>
          <a:chOff x="533400" y="1802295"/>
          <a:chExt cx="4362898" cy="4881483"/>
        </a:xfrm>
      </xdr:grpSpPr>
      <xdr:grpSp>
        <xdr:nvGrpSpPr>
          <xdr:cNvPr id="42" name="Group 41" hidden="1">
            <a:extLst>
              <a:ext uri="{FF2B5EF4-FFF2-40B4-BE49-F238E27FC236}">
                <a16:creationId xmlns:a16="http://schemas.microsoft.com/office/drawing/2014/main" id="{B2F88163-FEEE-C1DC-A423-E2355F3C5213}"/>
              </a:ext>
            </a:extLst>
          </xdr:cNvPr>
          <xdr:cNvGrpSpPr/>
        </xdr:nvGrpSpPr>
        <xdr:grpSpPr>
          <a:xfrm>
            <a:off x="533400" y="1802295"/>
            <a:ext cx="4362898" cy="4881483"/>
            <a:chOff x="533400" y="1802295"/>
            <a:chExt cx="4362898" cy="4881483"/>
          </a:xfrm>
        </xdr:grpSpPr>
        <xdr:grpSp>
          <xdr:nvGrpSpPr>
            <xdr:cNvPr id="16146" name="Group 16145" hidden="1">
              <a:extLst>
                <a:ext uri="{FF2B5EF4-FFF2-40B4-BE49-F238E27FC236}">
                  <a16:creationId xmlns:a16="http://schemas.microsoft.com/office/drawing/2014/main" id="{00000000-0008-0000-0200-0000123F0000}"/>
                </a:ext>
              </a:extLst>
            </xdr:cNvPr>
            <xdr:cNvGrpSpPr/>
          </xdr:nvGrpSpPr>
          <xdr:grpSpPr>
            <a:xfrm>
              <a:off x="533400" y="1802295"/>
              <a:ext cx="4362898" cy="4881483"/>
              <a:chOff x="533400" y="1869798"/>
              <a:chExt cx="4397685" cy="5033469"/>
            </a:xfrm>
          </xdr:grpSpPr>
          <xdr:grpSp>
            <xdr:nvGrpSpPr>
              <xdr:cNvPr id="16147" name="Group 16146" hidden="1">
                <a:extLst>
                  <a:ext uri="{FF2B5EF4-FFF2-40B4-BE49-F238E27FC236}">
                    <a16:creationId xmlns:a16="http://schemas.microsoft.com/office/drawing/2014/main" id="{00000000-0008-0000-0200-0000133F0000}"/>
                  </a:ext>
                </a:extLst>
              </xdr:cNvPr>
              <xdr:cNvGrpSpPr/>
            </xdr:nvGrpSpPr>
            <xdr:grpSpPr>
              <a:xfrm>
                <a:off x="533400" y="1869798"/>
                <a:ext cx="4397685" cy="5033469"/>
                <a:chOff x="533400" y="1869798"/>
                <a:chExt cx="4397685" cy="5033469"/>
              </a:xfrm>
            </xdr:grpSpPr>
            <xdr:grpSp>
              <xdr:nvGrpSpPr>
                <xdr:cNvPr id="16151" name="Group 16150" hidden="1">
                  <a:extLst>
                    <a:ext uri="{FF2B5EF4-FFF2-40B4-BE49-F238E27FC236}">
                      <a16:creationId xmlns:a16="http://schemas.microsoft.com/office/drawing/2014/main" id="{00000000-0008-0000-0200-0000173F0000}"/>
                    </a:ext>
                  </a:extLst>
                </xdr:cNvPr>
                <xdr:cNvGrpSpPr/>
              </xdr:nvGrpSpPr>
              <xdr:grpSpPr>
                <a:xfrm>
                  <a:off x="533400" y="1869798"/>
                  <a:ext cx="4397685" cy="5033469"/>
                  <a:chOff x="1279712" y="7663141"/>
                  <a:chExt cx="4370401" cy="4955241"/>
                </a:xfrm>
              </xdr:grpSpPr>
              <xdr:sp macro="" textlink="">
                <xdr:nvSpPr>
                  <xdr:cNvPr id="16153" name="Rectangle 16152" hidden="1">
                    <a:extLst>
                      <a:ext uri="{FF2B5EF4-FFF2-40B4-BE49-F238E27FC236}">
                        <a16:creationId xmlns:a16="http://schemas.microsoft.com/office/drawing/2014/main" id="{00000000-0008-0000-0200-0000193F0000}"/>
                      </a:ext>
                    </a:extLst>
                  </xdr:cNvPr>
                  <xdr:cNvSpPr/>
                </xdr:nvSpPr>
                <xdr:spPr>
                  <a:xfrm>
                    <a:off x="1279712" y="7663141"/>
                    <a:ext cx="4367773" cy="4955241"/>
                  </a:xfrm>
                  <a:prstGeom prst="rect">
                    <a:avLst/>
                  </a:prstGeom>
                  <a:solidFill>
                    <a:schemeClr val="bg1">
                      <a:lumMod val="5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grpSp>
                <xdr:nvGrpSpPr>
                  <xdr:cNvPr id="16154" name="Group 16153" hidden="1">
                    <a:extLst>
                      <a:ext uri="{FF2B5EF4-FFF2-40B4-BE49-F238E27FC236}">
                        <a16:creationId xmlns:a16="http://schemas.microsoft.com/office/drawing/2014/main" id="{00000000-0008-0000-0200-00001A3F0000}"/>
                      </a:ext>
                    </a:extLst>
                  </xdr:cNvPr>
                  <xdr:cNvGrpSpPr/>
                </xdr:nvGrpSpPr>
                <xdr:grpSpPr>
                  <a:xfrm>
                    <a:off x="1281028" y="7691463"/>
                    <a:ext cx="4367772" cy="1428033"/>
                    <a:chOff x="1280639" y="7944796"/>
                    <a:chExt cx="4365067" cy="1465421"/>
                  </a:xfrm>
                </xdr:grpSpPr>
                <xdr:sp macro="" textlink="">
                  <xdr:nvSpPr>
                    <xdr:cNvPr id="16164" name="Rectangle 16163" hidden="1">
                      <a:extLst>
                        <a:ext uri="{FF2B5EF4-FFF2-40B4-BE49-F238E27FC236}">
                          <a16:creationId xmlns:a16="http://schemas.microsoft.com/office/drawing/2014/main" id="{00000000-0008-0000-0200-0000243F0000}"/>
                        </a:ext>
                      </a:extLst>
                    </xdr:cNvPr>
                    <xdr:cNvSpPr/>
                  </xdr:nvSpPr>
                  <xdr:spPr>
                    <a:xfrm>
                      <a:off x="1280639" y="7944796"/>
                      <a:ext cx="4365067" cy="1465421"/>
                    </a:xfrm>
                    <a:prstGeom prst="rect">
                      <a:avLst/>
                    </a:prstGeom>
                    <a:solidFill>
                      <a:schemeClr val="bg2">
                        <a:lumMod val="10000"/>
                      </a:schemeClr>
                    </a:solid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CA" sz="1100" kern="1200"/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grpSp>
                      <xdr:nvGrpSpPr>
                        <xdr:cNvPr id="16165" name="Group 16164" hidden="1">
                          <a:extLst>
                            <a:ext uri="{FF2B5EF4-FFF2-40B4-BE49-F238E27FC236}">
                              <a16:creationId xmlns:a16="http://schemas.microsoft.com/office/drawing/2014/main" id="{00000000-0008-0000-0200-0000253F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322333" y="8368456"/>
                          <a:ext cx="1016548" cy="989691"/>
                          <a:chOff x="1322333" y="8368456"/>
                          <a:chExt cx="1016548" cy="989691"/>
                        </a:xfrm>
                      </xdr:grpSpPr>
                      <xdr:sp macro="" textlink="">
                        <xdr:nvSpPr>
                          <xdr:cNvPr id="15956" name="SiteVisit" hidden="1">
                            <a:extLst>
                              <a:ext uri="{63B3BB69-23CF-44E3-9099-C40C66FF867C}">
                                <a14:compatExt spid="_x0000_s15956"/>
                              </a:ext>
                              <a:ext uri="{FF2B5EF4-FFF2-40B4-BE49-F238E27FC236}">
                                <a16:creationId xmlns:a16="http://schemas.microsoft.com/office/drawing/2014/main" id="{00000000-0008-0000-0200-000054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368456"/>
                            <a:ext cx="1016547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7" name="CourierCheckbox" hidden="1">
                            <a:extLst>
                              <a:ext uri="{63B3BB69-23CF-44E3-9099-C40C66FF867C}">
                                <a14:compatExt spid="_x0000_s15957"/>
                              </a:ext>
                              <a:ext uri="{FF2B5EF4-FFF2-40B4-BE49-F238E27FC236}">
                                <a16:creationId xmlns:a16="http://schemas.microsoft.com/office/drawing/2014/main" id="{00000000-0008-0000-0200-000055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8726996"/>
                            <a:ext cx="1014306" cy="269656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  <xdr:sp macro="" textlink="">
                        <xdr:nvSpPr>
                          <xdr:cNvPr id="15958" name="ArcFlashCheckbox" hidden="1">
                            <a:extLst>
                              <a:ext uri="{63B3BB69-23CF-44E3-9099-C40C66FF867C}">
                                <a14:compatExt spid="_x0000_s15958"/>
                              </a:ext>
                              <a:ext uri="{FF2B5EF4-FFF2-40B4-BE49-F238E27FC236}">
                                <a16:creationId xmlns:a16="http://schemas.microsoft.com/office/drawing/2014/main" id="{00000000-0008-0000-0200-0000563E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1322333" y="9085536"/>
                            <a:ext cx="1016548" cy="272611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  <a:extLst>
                            <a:ext uri="{91240B29-F687-4F45-9708-019B960494DF}">
                              <a14:hiddenLine w="9525">
                                <a:noFill/>
                                <a:miter lim="800000"/>
                                <a:headEnd/>
                                <a:tailEnd/>
                              </a14:hiddenLine>
                            </a:ext>
                          </a:extLst>
                        </xdr:spPr>
                      </xdr:sp>
                    </xdr:grpSp>
                  </mc:Choice>
                  <mc:Fallback/>
                </mc:AlternateContent>
              </xdr:grpSp>
              <xdr:sp macro="" textlink="">
                <xdr:nvSpPr>
                  <xdr:cNvPr id="16162" name="Rectangle 16161" hidden="1">
                    <a:extLst>
                      <a:ext uri="{FF2B5EF4-FFF2-40B4-BE49-F238E27FC236}">
                        <a16:creationId xmlns:a16="http://schemas.microsoft.com/office/drawing/2014/main" id="{00000000-0008-0000-0200-0000223F0000}"/>
                      </a:ext>
                    </a:extLst>
                  </xdr:cNvPr>
                  <xdr:cNvSpPr/>
                </xdr:nvSpPr>
                <xdr:spPr>
                  <a:xfrm>
                    <a:off x="1281027" y="9296240"/>
                    <a:ext cx="4367772" cy="1414803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  <xdr:sp macro="" textlink="">
                <xdr:nvSpPr>
                  <xdr:cNvPr id="16157" name="Rectangle 16156" hidden="1">
                    <a:extLst>
                      <a:ext uri="{FF2B5EF4-FFF2-40B4-BE49-F238E27FC236}">
                        <a16:creationId xmlns:a16="http://schemas.microsoft.com/office/drawing/2014/main" id="{00000000-0008-0000-0200-00001D3F0000}"/>
                      </a:ext>
                    </a:extLst>
                  </xdr:cNvPr>
                  <xdr:cNvSpPr/>
                </xdr:nvSpPr>
                <xdr:spPr>
                  <a:xfrm>
                    <a:off x="1282341" y="10891581"/>
                    <a:ext cx="4367772" cy="1421291"/>
                  </a:xfrm>
                  <a:prstGeom prst="rect">
                    <a:avLst/>
                  </a:prstGeom>
                  <a:solidFill>
                    <a:schemeClr val="bg2">
                      <a:lumMod val="10000"/>
                    </a:schemeClr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CA" sz="1100" kern="1200"/>
                  </a:p>
                </xdr:txBody>
              </xdr:sp>
            </xdr:grpSp>
            <xdr:sp macro="" textlink="">
              <xdr:nvSpPr>
                <xdr:cNvPr id="16152" name="Rectangle 16151" hidden="1">
                  <a:extLst>
                    <a:ext uri="{FF2B5EF4-FFF2-40B4-BE49-F238E27FC236}">
                      <a16:creationId xmlns:a16="http://schemas.microsoft.com/office/drawing/2014/main" id="{00000000-0008-0000-0200-0000183F0000}"/>
                    </a:ext>
                  </a:extLst>
                </xdr:cNvPr>
                <xdr:cNvSpPr/>
              </xdr:nvSpPr>
              <xdr:spPr>
                <a:xfrm>
                  <a:off x="574813" y="1939787"/>
                  <a:ext cx="1082925" cy="324979"/>
                </a:xfrm>
                <a:prstGeom prst="rect">
                  <a:avLst/>
                </a:prstGeom>
                <a:solidFill>
                  <a:srgbClr val="630811"/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en-CA" sz="1400" b="1" kern="1200">
                      <a:ln w="3175">
                        <a:noFill/>
                      </a:ln>
                      <a:solidFill>
                        <a:srgbClr val="FFFF00"/>
                      </a:solidFill>
                      <a:latin typeface="Times New Roman" panose="02020603050405020304" pitchFamily="18" charset="0"/>
                      <a:ea typeface="Adobe Gothic Std B" panose="020B0800000000000000" pitchFamily="34" charset="-128"/>
                      <a:cs typeface="Times New Roman" panose="02020603050405020304" pitchFamily="18" charset="0"/>
                    </a:rPr>
                    <a:t>Expenses</a:t>
                  </a:r>
                </a:p>
              </xdr:txBody>
            </xdr:sp>
          </xdr:grpSp>
          <xdr:sp macro="" textlink="">
            <xdr:nvSpPr>
              <xdr:cNvPr id="16148" name="Rectangle 16147" hidden="1">
                <a:extLst>
                  <a:ext uri="{FF2B5EF4-FFF2-40B4-BE49-F238E27FC236}">
                    <a16:creationId xmlns:a16="http://schemas.microsoft.com/office/drawing/2014/main" id="{00000000-0008-0000-0200-0000143F0000}"/>
                  </a:ext>
                </a:extLst>
              </xdr:cNvPr>
              <xdr:cNvSpPr/>
            </xdr:nvSpPr>
            <xdr:spPr>
              <a:xfrm>
                <a:off x="574813" y="3559450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6150" name="Rectangle 16149" hidden="1">
                <a:extLst>
                  <a:ext uri="{FF2B5EF4-FFF2-40B4-BE49-F238E27FC236}">
                    <a16:creationId xmlns:a16="http://schemas.microsoft.com/office/drawing/2014/main" id="{00000000-0008-0000-0200-0000163F0000}"/>
                  </a:ext>
                </a:extLst>
              </xdr:cNvPr>
              <xdr:cNvSpPr/>
            </xdr:nvSpPr>
            <xdr:spPr>
              <a:xfrm>
                <a:off x="574813" y="5186154"/>
                <a:ext cx="1082925" cy="324979"/>
              </a:xfrm>
              <a:prstGeom prst="rect">
                <a:avLst/>
              </a:prstGeom>
              <a:solidFill>
                <a:srgbClr val="63081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prst="angle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en-CA" sz="1400" b="1" kern="1200">
                  <a:ln w="3175">
                    <a:noFill/>
                  </a:ln>
                  <a:solidFill>
                    <a:srgbClr val="FFFF00"/>
                  </a:solidFill>
                  <a:latin typeface="Times New Roman" panose="02020603050405020304" pitchFamily="18" charset="0"/>
                  <a:ea typeface="Adobe Gothic Std B" panose="020B0800000000000000" pitchFamily="34" charset="-128"/>
                  <a:cs typeface="Times New Roman" panose="02020603050405020304" pitchFamily="18" charset="0"/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89" name="MechStressCheckbox" hidden="1">
                  <a:extLst>
                    <a:ext uri="{63B3BB69-23CF-44E3-9099-C40C66FF867C}">
                      <a14:compatExt spid="_x0000_s16013"/>
                    </a:ext>
                    <a:ext uri="{FF2B5EF4-FFF2-40B4-BE49-F238E27FC236}">
                      <a16:creationId xmlns:a16="http://schemas.microsoft.com/office/drawing/2014/main" id="{00000000-0008-0000-0200-0000AD3D0000}"/>
                    </a:ext>
                  </a:extLst>
                </xdr:cNvPr>
                <xdr:cNvSpPr/>
              </xdr:nvSpPr>
              <xdr:spPr bwMode="auto">
                <a:xfrm>
                  <a:off x="1685925" y="22383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6014" name="TPSCPPCheckbox" hidden="1">
                  <a:extLst>
                    <a:ext uri="{63B3BB69-23CF-44E3-9099-C40C66FF867C}">
                      <a14:compatExt spid="_x0000_s16014"/>
                    </a:ext>
                    <a:ext uri="{FF2B5EF4-FFF2-40B4-BE49-F238E27FC236}">
                      <a16:creationId xmlns:a16="http://schemas.microsoft.com/office/drawing/2014/main" id="{00000000-0008-0000-0200-00008E3E0000}"/>
                    </a:ext>
                  </a:extLst>
                </xdr:cNvPr>
                <xdr:cNvSpPr/>
              </xdr:nvSpPr>
              <xdr:spPr bwMode="auto">
                <a:xfrm>
                  <a:off x="1685925" y="2581275"/>
                  <a:ext cx="1009650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5776" name="TCAProgrammingCheckbox" hidden="1">
                  <a:extLst>
                    <a:ext uri="{63B3BB69-23CF-44E3-9099-C40C66FF867C}">
                      <a14:compatExt spid="_x0000_s16015"/>
                    </a:ext>
                    <a:ext uri="{FF2B5EF4-FFF2-40B4-BE49-F238E27FC236}">
                      <a16:creationId xmlns:a16="http://schemas.microsoft.com/office/drawing/2014/main" id="{00000000-0008-0000-0200-0000A03D0000}"/>
                    </a:ext>
                  </a:extLst>
                </xdr:cNvPr>
                <xdr:cNvSpPr/>
              </xdr:nvSpPr>
              <xdr:spPr bwMode="auto">
                <a:xfrm>
                  <a:off x="1685925" y="2924175"/>
                  <a:ext cx="100965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016" name="TPSCCSACheckbox" hidden="1">
                <a:extLst>
                  <a:ext uri="{63B3BB69-23CF-44E3-9099-C40C66FF867C}">
                    <a14:compatExt spid="_x0000_s16016"/>
                  </a:ext>
                  <a:ext uri="{FF2B5EF4-FFF2-40B4-BE49-F238E27FC236}">
                    <a16:creationId xmlns:a16="http://schemas.microsoft.com/office/drawing/2014/main" id="{00000000-0008-0000-0200-0000903E0000}"/>
                  </a:ext>
                </a:extLst>
              </xdr:cNvPr>
              <xdr:cNvSpPr/>
            </xdr:nvSpPr>
            <xdr:spPr bwMode="auto">
              <a:xfrm>
                <a:off x="2794676" y="2232903"/>
                <a:ext cx="1009650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752475</xdr:colOff>
          <xdr:row>0</xdr:row>
          <xdr:rowOff>409575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7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E6F623-455B-4952-95AE-7763B18680E6}" name="Table3" displayName="Table3" ref="A2:K25" totalsRowShown="0">
  <autoFilter ref="A2:K25" xr:uid="{DFEE4BB5-D0D4-483D-B77B-58E5D0092E5E}"/>
  <tableColumns count="11">
    <tableColumn id="1" xr3:uid="{7A106AC0-90A4-4D30-BF1F-13CF2DB3F23F}" name="RsCod" dataDxfId="168"/>
    <tableColumn id="2" xr3:uid="{555581EC-A5B7-4565-9531-9753FA07C80D}" name="Description" dataDxfId="167"/>
    <tableColumn id="3" xr3:uid="{06541201-5C82-483E-A05F-539142D77714}" name="Short" dataDxfId="166"/>
    <tableColumn id="4" xr3:uid="{E2448F07-E37A-4884-B434-3E346118D2F3}" name="TRN" dataCellStyle="Currency"/>
    <tableColumn id="5" xr3:uid="{3190AD19-E492-4F9D-BB43-D413B540975F}" name="JR" dataCellStyle="Currency"/>
    <tableColumn id="6" xr3:uid="{A479BC78-DBB0-4BC4-B819-D26089500A67}" name="INT" dataCellStyle="Currency"/>
    <tableColumn id="7" xr3:uid="{0BE75CC6-2959-42F1-90EE-D7CF0E3CFE8E}" name="SR" dataCellStyle="Currency"/>
    <tableColumn id="8" xr3:uid="{22E58D55-D732-4612-BA49-A41F3F9D1FC8}" name="LD" dataCellStyle="Currency"/>
    <tableColumn id="9" xr3:uid="{5320CD38-7BF2-4331-92B4-FAE67827C5C0}" name="SP" dataCellStyle="Currency"/>
    <tableColumn id="10" xr3:uid="{375771A6-D2AE-4C7F-A71D-A81BAD8E1A7F}" name="SME" dataCellStyle="Currency"/>
    <tableColumn id="11" xr3:uid="{6936D9B8-AB96-4936-A5B3-3AECE91EEB68}" name="FIN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74AB6F-D9EC-4F7A-BA87-09F3D2AC35D0}" name="Table5" displayName="Table5" ref="A3:J15" totalsRowShown="0" headerRowDxfId="165" dataDxfId="163" headerRowBorderDxfId="164" tableBorderDxfId="162" totalsRowBorderDxfId="161">
  <autoFilter ref="A3:J15" xr:uid="{A0E94143-4504-45FF-B8BB-E6C1041EA8C9}"/>
  <tableColumns count="10">
    <tableColumn id="1" xr3:uid="{8607383A-F00B-4200-A207-BDEA021F3702}" name="Level Subcode" dataDxfId="160"/>
    <tableColumn id="2" xr3:uid="{42903C80-062D-4B32-BEA4-CB47A3C0EB00}" name="Discipline" dataDxfId="159"/>
    <tableColumn id="4" xr3:uid="{1F86097E-6809-4B42-8639-2D867C1AFAD6}" name="Trainee (TRN)" dataDxfId="158"/>
    <tableColumn id="5" xr3:uid="{75A7775F-37CA-4026-9269-0A32F893A1FD}" name="Junior (JR)" dataDxfId="157"/>
    <tableColumn id="6" xr3:uid="{FFA4B92E-A09C-4EE4-82B7-C1A471D996C7}" name="Intermediate (INT)" dataDxfId="156"/>
    <tableColumn id="7" xr3:uid="{66783BDB-184D-47BE-BD9E-2C99F13AB223}" name="Senior (SR)" dataDxfId="155"/>
    <tableColumn id="8" xr3:uid="{00C1C182-6957-4BB3-B52B-E4AB2FA42151}" name="Lead (LD)" dataDxfId="154"/>
    <tableColumn id="9" xr3:uid="{8965341B-87CE-40DC-8256-8C44EA0312ED}" name="Specialist (SP)" dataDxfId="153"/>
    <tableColumn id="10" xr3:uid="{69FE5EA7-2936-449A-A783-9849392FF091}" name="Subject Mater Expert (SME)" dataDxfId="152"/>
    <tableColumn id="11" xr3:uid="{B8A2490F-7D89-4510-91BB-9375CE83F190}" name="Insurance Specialist" dataDxfId="15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50AA1E-4D4A-49A3-983D-5EE84A052751}" name="Table1" displayName="Table1" ref="A1:EQ276" totalsRowShown="0" headerRowDxfId="150" dataDxfId="148" headerRowBorderDxfId="149" tableBorderDxfId="147" headerRowCellStyle="Normal 3 2" dataCellStyle="Normal 3 2">
  <autoFilter ref="A1:EQ276" xr:uid="{C750AA1E-4D4A-49A3-983D-5EE84A0527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</autoFilter>
  <tableColumns count="147">
    <tableColumn id="1" xr3:uid="{2953CB05-1842-4A0C-8804-F70679062D19}" name="EST COA" dataDxfId="146"/>
    <tableColumn id="2" xr3:uid="{FD47DD36-29B0-4BF3-B556-2E26D0AEBFA1}" name="DESCRIPTION" dataDxfId="145"/>
    <tableColumn id="4" xr3:uid="{243F14C6-3E61-4761-87FE-F022C14E022C}" name="Units" dataDxfId="144"/>
    <tableColumn id="103" xr3:uid="{08ED2806-C71D-45B7-9ABD-12776E1C73C9}" name="Cycles" dataDxfId="143" dataCellStyle="Comma"/>
    <tableColumn id="3" xr3:uid="{B079C4DD-3673-4536-86D8-009BB54C6854}" name="Quantity" dataDxfId="142" dataCellStyle="Comma"/>
    <tableColumn id="5" xr3:uid="{C95CA663-9826-4233-9758-47F87DEBC01C}" name="Hrs" dataDxfId="141" dataCellStyle="Comma">
      <calculatedColumnFormula>SUM(H2:DY2)*E2</calculatedColumnFormula>
    </tableColumn>
    <tableColumn id="6" xr3:uid="{C0E87EF7-B3D3-428B-8CA9-D117DE379BE6}" name="Cost" dataDxfId="140" dataCellStyle="Normal 3 2">
      <calculatedColumnFormula>SUMPRODUCT($H$2:$DY$2,$H2:$DY2)*E2</calculatedColumnFormula>
    </tableColumn>
    <tableColumn id="7" xr3:uid="{E86ADA1F-5A2F-4DF0-897C-DE13840F7774}" name="PM JR" dataDxfId="139" dataCellStyle="Normal 3 2"/>
    <tableColumn id="8" xr3:uid="{74BA882C-15B7-4191-A061-5E46E2AE9824}" name="PM INT" dataDxfId="138" dataCellStyle="Normal 3 2"/>
    <tableColumn id="9" xr3:uid="{55E466BD-C44D-452A-8454-D7380B35F77A}" name="PM SR" dataDxfId="137" dataCellStyle="Normal 3 2"/>
    <tableColumn id="10" xr3:uid="{E81E9A05-40D4-42CB-B630-C2D5B4A6FBC0}" name="PM LD" dataDxfId="136" dataCellStyle="Normal 3 2"/>
    <tableColumn id="11" xr3:uid="{F9B9AA33-289D-4240-83D0-38568AF23CEE}" name="PM SP" dataDxfId="135" dataCellStyle="Normal 3 2"/>
    <tableColumn id="12" xr3:uid="{0F9770C2-C45A-448C-8BD3-7954AC6D1C0E}" name="PM SME" dataDxfId="134" dataCellStyle="Normal 3 2"/>
    <tableColumn id="13" xr3:uid="{073F447F-88EA-4408-8D56-6CDDD3AB8AE0}" name="AD TRN" dataDxfId="133" dataCellStyle="Normal 3 2"/>
    <tableColumn id="14" xr3:uid="{4E3EF56B-3D0D-4E15-BC01-83FC26304054}" name="AD JR" dataDxfId="132" dataCellStyle="Normal 3 2"/>
    <tableColumn id="15" xr3:uid="{34971820-B384-4619-BC2D-CE21D346B099}" name="AD INT" dataDxfId="131" dataCellStyle="Normal 3 2"/>
    <tableColumn id="16" xr3:uid="{2C559C32-661B-4C47-8B88-FF63AED0520E}" name="AD SR" dataDxfId="130" dataCellStyle="Normal 3 2"/>
    <tableColumn id="43" xr3:uid="{00EB7B5E-A2A3-4D59-A4A7-8D9185DA878A}" name="DC TRN" dataDxfId="129" dataCellStyle="Normal 3 2"/>
    <tableColumn id="44" xr3:uid="{EDE7A581-8F90-463E-B398-DB7E4B41CAD1}" name="DC JR" dataDxfId="128" dataCellStyle="Normal 3 2"/>
    <tableColumn id="45" xr3:uid="{B74D9B42-CCA8-426B-B3A4-69FF0E09991A}" name="DC INT" dataDxfId="127" dataCellStyle="Normal 3 2"/>
    <tableColumn id="46" xr3:uid="{D64AE4E4-558F-40DB-9131-728F15D38D4E}" name="DC SR" dataDxfId="126" dataCellStyle="Normal 3 2"/>
    <tableColumn id="47" xr3:uid="{3EA405E9-F695-451D-B2F9-9DC3A8147F56}" name="DC LD" dataDxfId="125" dataCellStyle="Normal 3 2"/>
    <tableColumn id="17" xr3:uid="{7F77D203-A264-4EF9-A0EF-E96C4D910EE5}" name="PE EIT" dataDxfId="124" dataCellStyle="Normal 3 2"/>
    <tableColumn id="18" xr3:uid="{6F27F5EE-6931-4883-808B-7437291E9FB8}" name="PE JR" dataDxfId="123" dataCellStyle="Normal 3 2"/>
    <tableColumn id="19" xr3:uid="{5AD545A7-2AD5-44BE-90D9-DD52EACF0BFA}" name="PE INT" dataDxfId="122" dataCellStyle="Normal 3 2"/>
    <tableColumn id="20" xr3:uid="{C8B5AB31-3526-4D9B-B14F-0F8920DFBCB0}" name="PE SR" dataDxfId="121" dataCellStyle="Normal 3 2"/>
    <tableColumn id="21" xr3:uid="{7E7DFE33-D84A-402E-949F-FE7AEA384EFB}" name="PE LD" dataDxfId="120" dataCellStyle="Normal 3 2"/>
    <tableColumn id="22" xr3:uid="{B1BE2F19-8DB7-4297-AF94-E08341451955}" name="PCO TRN" dataDxfId="119" dataCellStyle="Normal 3 2"/>
    <tableColumn id="23" xr3:uid="{7B68DA57-E585-450E-90CE-D86E56355F47}" name="PCO JR" dataDxfId="118" dataCellStyle="Normal 3 2"/>
    <tableColumn id="24" xr3:uid="{5FA96A0D-E9FC-4794-BA15-9D0FC1A99795}" name="PCO INT" dataDxfId="117" dataCellStyle="Normal 3 2"/>
    <tableColumn id="25" xr3:uid="{CC73B05A-2242-4041-993F-77AABEF8D505}" name="PCO SR" dataDxfId="116" dataCellStyle="Normal 3 2"/>
    <tableColumn id="26" xr3:uid="{691304BD-0783-411D-B5EF-A2652B1BB7C6}" name="PCO LD" dataDxfId="115" dataCellStyle="Normal 3 2"/>
    <tableColumn id="27" xr3:uid="{D54A7821-698F-4081-B0BD-A07178F9A308}" name="PC TRN" dataDxfId="114" dataCellStyle="Normal 3 2"/>
    <tableColumn id="28" xr3:uid="{9A73C428-BBF8-4642-A6DA-F959A8FE4328}" name="PC JR" dataDxfId="113" dataCellStyle="Normal 3 2"/>
    <tableColumn id="29" xr3:uid="{FD5FD508-688A-4022-A2F2-A2C01CCA5A5D}" name="PC INT" dataDxfId="112" dataCellStyle="Normal 3 2"/>
    <tableColumn id="30" xr3:uid="{C6D98B2B-010F-45EE-820E-59D8EC43A742}" name="PC SR" dataDxfId="111" dataCellStyle="Normal 3 2"/>
    <tableColumn id="31" xr3:uid="{1E01CED4-BBF2-47BD-BD4D-32A125A156E1}" name="PC LD" dataDxfId="110" dataCellStyle="Normal 3 2"/>
    <tableColumn id="32" xr3:uid="{18015CCB-33CB-4614-B103-E95DD6EA7C07}" name="PC SP" dataDxfId="109" dataCellStyle="Normal 3 2"/>
    <tableColumn id="48" xr3:uid="{7D030ABB-98B6-428C-84D6-06B03B14A8AC}" name="PrEng EIT" dataDxfId="108" dataCellStyle="Normal 3 2"/>
    <tableColumn id="49" xr3:uid="{E03519BB-F879-4909-9D9D-6D8ED6DD57A7}" name="PrEng JR" dataDxfId="107" dataCellStyle="Normal 3 2"/>
    <tableColumn id="50" xr3:uid="{FE8F5E2D-5D99-4486-8675-550AFA0C65FA}" name="PrEng INT" dataDxfId="106" dataCellStyle="Normal 3 2"/>
    <tableColumn id="51" xr3:uid="{110A27F4-6E80-4A49-9066-4BECF60D4D84}" name="PrEng SR" dataDxfId="105" dataCellStyle="Normal 3 2"/>
    <tableColumn id="52" xr3:uid="{A5F1290C-78FD-4C90-B534-A36BC5AC16B4}" name="PrEng LD" dataDxfId="104" dataCellStyle="Normal 3 2"/>
    <tableColumn id="53" xr3:uid="{570FEA76-5CAE-416B-A55C-9B94C70174E3}" name="PrEng SP" dataDxfId="103" dataCellStyle="Normal 3 2"/>
    <tableColumn id="54" xr3:uid="{15D39BC3-7BAA-485F-9E42-D3775BF4C56C}" name="PrEng SME" dataDxfId="102" dataCellStyle="Normal 3 2"/>
    <tableColumn id="55" xr3:uid="{74A01F02-4633-4CD1-BDC7-DAF60901BB8E}" name="MEng EIT" dataDxfId="101" dataCellStyle="Normal 3 2"/>
    <tableColumn id="56" xr3:uid="{8543DDBB-4898-457F-A9C4-8CC98B359124}" name="MEng JR" dataDxfId="100" dataCellStyle="Normal 3 2"/>
    <tableColumn id="57" xr3:uid="{2F532E54-EC8F-408D-917D-304A5FBDCB96}" name="MEng INT" dataDxfId="99" dataCellStyle="Normal 3 2"/>
    <tableColumn id="58" xr3:uid="{4DA92E00-41CF-4FF1-BF34-96A6E7A31753}" name="MEng SR" dataDxfId="98" dataCellStyle="Normal 3 2"/>
    <tableColumn id="59" xr3:uid="{A352707F-64D0-49F6-B2F6-8F52F610ECBB}" name="MEng LD" dataDxfId="97" dataCellStyle="Normal 3 2"/>
    <tableColumn id="60" xr3:uid="{45C6C23A-D4AF-4CED-AC4C-29D7EAE00018}" name="MEng SP" dataDxfId="96" dataCellStyle="Normal 3 2"/>
    <tableColumn id="61" xr3:uid="{97CB07E2-EE08-4443-9207-63C6946D0FAC}" name="MEng SME" dataDxfId="95" dataCellStyle="Normal 3 2"/>
    <tableColumn id="62" xr3:uid="{9E7AD706-74B0-4758-A304-B385446E857E}" name="EEng EIT" dataDxfId="94" dataCellStyle="Normal 3 2"/>
    <tableColumn id="63" xr3:uid="{FD9474EE-56CB-4337-89DF-57CAC3A8A573}" name="EEng JR" dataDxfId="93" dataCellStyle="Normal 3 2"/>
    <tableColumn id="64" xr3:uid="{62B7B098-A63D-4AB1-A02E-4BBF06220CED}" name="EEng INT" dataDxfId="92" dataCellStyle="Normal 3 2"/>
    <tableColumn id="65" xr3:uid="{21F870FA-376B-4BDB-884E-88AB1E668379}" name="EEng SR" dataDxfId="91" dataCellStyle="Normal 3 2"/>
    <tableColumn id="66" xr3:uid="{8EC76323-C53B-42A7-8878-9D17B439B395}" name="EEng LD" dataDxfId="90" dataCellStyle="Normal 3 2"/>
    <tableColumn id="67" xr3:uid="{A572E851-C729-4A54-A51F-93D4130E7E01}" name="EEng SP" dataDxfId="89" dataCellStyle="Normal 3 2"/>
    <tableColumn id="68" xr3:uid="{7C60652C-B7F5-4A38-A7A1-4BFE80663F1B}" name="EEng SME" dataDxfId="88" dataCellStyle="Normal 3 2"/>
    <tableColumn id="69" xr3:uid="{2D9C2EB4-A891-46C9-9BF7-D50BA19C9812}" name="ICEng EIT" dataDxfId="87" dataCellStyle="Normal 3 2"/>
    <tableColumn id="70" xr3:uid="{C4FD1D4D-D375-463A-8975-D06C618702E2}" name="ICEng JR" dataDxfId="86" dataCellStyle="Normal 3 2"/>
    <tableColumn id="71" xr3:uid="{1DDE6570-0D76-46B6-96B8-7AE1C17D2119}" name="ICEng INT" dataDxfId="85" dataCellStyle="Normal 3 2"/>
    <tableColumn id="72" xr3:uid="{CE98184B-BEA1-418B-9C3A-CD05C8F2EB9E}" name="ICEng SR" dataDxfId="84" dataCellStyle="Normal 3 2"/>
    <tableColumn id="73" xr3:uid="{C6D72313-1448-4B54-B6FE-8A1B3C4B5E6E}" name="ICEng LD" dataDxfId="83" dataCellStyle="Normal 3 2"/>
    <tableColumn id="74" xr3:uid="{5ADDF470-2ED0-499C-B99C-4E7A0313A587}" name="ICEng SP" dataDxfId="82" dataCellStyle="Normal 3 2"/>
    <tableColumn id="75" xr3:uid="{822EA406-8226-492D-BCB4-DAD918D117DB}" name="ICEng SME" dataDxfId="81" dataCellStyle="Normal 3 2"/>
    <tableColumn id="83" xr3:uid="{8E17E7D0-F9B0-48DB-AFA3-BA197717FD50}" name="TCA Eng EIT" dataDxfId="80" dataCellStyle="Normal 3 2"/>
    <tableColumn id="40" xr3:uid="{570E66C5-ACBB-4E21-A3BA-EE402ABF1BBB}" name="TCA Eng JR" dataDxfId="79" dataCellStyle="Normal 3 2">
      <calculatedColumnFormula>'Rates Sheet'!D7</calculatedColumnFormula>
    </tableColumn>
    <tableColumn id="41" xr3:uid="{AC9ECDBA-EE3B-4A4F-96C3-F8D4D9F6DA98}" name="TCA Eng INT" dataDxfId="78" dataCellStyle="Normal 3 2">
      <calculatedColumnFormula>'Rates Sheet'!E7</calculatedColumnFormula>
    </tableColumn>
    <tableColumn id="42" xr3:uid="{AB412290-69E4-4D65-AB8C-DC5D8880111B}" name="TCA Eng SR" dataDxfId="77" dataCellStyle="Normal 3 2">
      <calculatedColumnFormula>'Rates Sheet'!F7</calculatedColumnFormula>
    </tableColumn>
    <tableColumn id="76" xr3:uid="{DECC59AE-0F77-4F03-A365-5330E2AEF103}" name="TCA Eng LD" dataDxfId="76" dataCellStyle="Normal 3 2">
      <calculatedColumnFormula>'Rates Sheet'!G7</calculatedColumnFormula>
    </tableColumn>
    <tableColumn id="77" xr3:uid="{DC9EA475-9DAD-4746-9A55-69C07E3B7330}" name="TCA Eng SP" dataDxfId="75" dataCellStyle="Normal 3 2">
      <calculatedColumnFormula>'Rates Sheet'!H7</calculatedColumnFormula>
    </tableColumn>
    <tableColumn id="78" xr3:uid="{EDFC2F0D-3BB8-4C5F-97D1-A2F62D3895E7}" name="TCA Eng SME" dataDxfId="74" dataCellStyle="Normal 3 2">
      <calculatedColumnFormula>'Rates Sheet'!I7</calculatedColumnFormula>
    </tableColumn>
    <tableColumn id="109" xr3:uid="{BF818A27-0FEB-4F83-B8B8-D3B22B578D54}" name="CSAEng EIT" dataDxfId="73" dataCellStyle="Normal 3 2"/>
    <tableColumn id="84" xr3:uid="{EDF97478-FC20-46A9-A795-3374FD2C4C23}" name="CSAEng JR" dataDxfId="72" dataCellStyle="Normal 3 2"/>
    <tableColumn id="85" xr3:uid="{0FCA40C2-F918-436B-B4B3-8957A8A1D868}" name="CSAEng INT" dataDxfId="71" dataCellStyle="Normal 3 2"/>
    <tableColumn id="86" xr3:uid="{4F2BA112-72BF-4737-89E5-30F8750D8E55}" name="CSAEng SR" dataDxfId="70" dataCellStyle="Normal 3 2"/>
    <tableColumn id="87" xr3:uid="{1962C15C-E52D-477B-A188-FC3F163B3070}" name="CSAEng LD" dataDxfId="69" dataCellStyle="Normal 3 2"/>
    <tableColumn id="88" xr3:uid="{F8695CDD-FCA2-4D86-8AD4-DB87311115FF}" name="CSAEng SP" dataDxfId="68" dataCellStyle="Normal 3 2"/>
    <tableColumn id="89" xr3:uid="{538A5786-6D00-4CA4-B311-EAF79B25BBF4}" name="CSAEng SME" dataDxfId="67" dataCellStyle="Normal 3 2"/>
    <tableColumn id="111" xr3:uid="{F7315ED3-FC40-498C-9F83-2CCD32FE3DE4}" name="ETech TRN" dataDxfId="66" dataCellStyle="Normal 3 2"/>
    <tableColumn id="112" xr3:uid="{F9688425-18AB-4379-A1A7-A27256F17AE8}" name="ETech JR" dataDxfId="65" dataCellStyle="Normal 3 2"/>
    <tableColumn id="113" xr3:uid="{A103AA8A-D36A-478A-BC00-73D5171FA219}" name="ETech INT" dataDxfId="64" dataCellStyle="Normal 3 2"/>
    <tableColumn id="114" xr3:uid="{92550ABD-58F4-41C3-91CC-BC3B816F72B7}" name="ETech SR" dataDxfId="63" dataCellStyle="Normal 3 2"/>
    <tableColumn id="115" xr3:uid="{82238B9C-3F86-4DFC-8A94-F7C3E83DF79E}" name="ETech LD" dataDxfId="62" dataCellStyle="Normal 3 2"/>
    <tableColumn id="116" xr3:uid="{94F88BBB-A00B-474B-A475-747E2F2D77BB}" name="ETech SP" dataDxfId="61" dataCellStyle="Normal 3 2"/>
    <tableColumn id="117" xr3:uid="{D867E664-D662-4B9E-AF00-2E927655A694}" name="ETech SME" dataDxfId="60" dataCellStyle="Normal 3 2"/>
    <tableColumn id="118" xr3:uid="{85401822-1C82-40A4-B94F-2D848CAB93FD}" name="ICTech TRN" dataDxfId="59" dataCellStyle="Normal 3 2"/>
    <tableColumn id="119" xr3:uid="{598EF6C2-6536-48C6-8480-9B5050ED4639}" name="ICTech JR" dataDxfId="58" dataCellStyle="Normal 3 2"/>
    <tableColumn id="120" xr3:uid="{16F9D741-CDF2-44B2-A9B6-48D10D986264}" name="ICTech INT" dataDxfId="57" dataCellStyle="Normal 3 2"/>
    <tableColumn id="121" xr3:uid="{F329BD59-A389-4D2F-9A1C-51BE22800DD0}" name="ICTech SR" dataDxfId="56" dataCellStyle="Normal 3 2"/>
    <tableColumn id="122" xr3:uid="{771BB464-ADE1-41D1-BD77-426E0E76DDCE}" name="ICTech LD" dataDxfId="55" dataCellStyle="Normal 3 2"/>
    <tableColumn id="123" xr3:uid="{4FF7B9D8-CD7E-4871-A67F-C4EBB30E3DBE}" name="ICTech SP" dataDxfId="54" dataCellStyle="Normal 3 2"/>
    <tableColumn id="124" xr3:uid="{CB30D055-5615-4381-B6C5-5788D050D037}" name="ICTech SME" dataDxfId="53" dataCellStyle="Normal 3 2"/>
    <tableColumn id="139" xr3:uid="{C6DA9A60-B304-411D-87B7-D30B1DD14058}" name="TCATech TRN" dataDxfId="52" dataCellStyle="Normal 3 2"/>
    <tableColumn id="140" xr3:uid="{EE1495CB-B56E-4C55-8023-0AAC445C51AD}" name="TCATech JR" dataDxfId="51" dataCellStyle="Normal 3 2"/>
    <tableColumn id="141" xr3:uid="{ADA22327-051F-42AC-9BFD-F0612330D7CB}" name="TCATech INT" dataDxfId="50" dataCellStyle="Normal 3 2"/>
    <tableColumn id="142" xr3:uid="{0AFC1FE4-FF29-4728-A497-C4C5D854D4A7}" name="TCATech SR" dataDxfId="49" dataCellStyle="Normal 3 2"/>
    <tableColumn id="143" xr3:uid="{C8A30D45-C85D-41A2-958F-74D7A45E19D2}" name="TCATech LD" dataDxfId="48" dataCellStyle="Normal 3 2"/>
    <tableColumn id="144" xr3:uid="{17B00CE9-7424-4F8C-82A4-289B95EC01D5}" name="TCATech SP" dataDxfId="47" dataCellStyle="Normal 3 2"/>
    <tableColumn id="145" xr3:uid="{8C56E2DE-8357-4270-9033-CF303DF9D263}" name="TCATech SME" dataDxfId="46" dataCellStyle="Normal 3 2"/>
    <tableColumn id="146" xr3:uid="{D3479698-B3CB-4EC6-AECA-59D513104879}" name="PPDrf  TRN" dataDxfId="45" dataCellStyle="Normal 3 2"/>
    <tableColumn id="147" xr3:uid="{A3E01E61-B085-4AAC-94AB-8AE47B89831A}" name="PPDrf  JR" dataDxfId="44" dataCellStyle="Normal 3 2"/>
    <tableColumn id="148" xr3:uid="{05CE8A15-1AF8-4FAB-A8B5-D79D0AA539F7}" name="PPDrf  INT" dataDxfId="43" dataCellStyle="Normal 3 2"/>
    <tableColumn id="149" xr3:uid="{B196AEAF-B361-407B-9074-E7EC1F950FF4}" name="PPDrf  SR" dataDxfId="42" dataCellStyle="Normal 3 2"/>
    <tableColumn id="150" xr3:uid="{A0DACCFB-C126-47B7-88B0-A8B0763FE3E1}" name="PPDrf  LD" dataDxfId="41" dataCellStyle="Normal 3 2"/>
    <tableColumn id="151" xr3:uid="{372D0B09-BCA7-4C91-96C3-DA7495B84AF9}" name="PPDrf  SP" dataDxfId="40" dataCellStyle="Normal 3 2"/>
    <tableColumn id="158" xr3:uid="{63468003-F5A5-4E45-BD95-DDAAFA6E5CB4}" name="EICTDrf  TRN" dataDxfId="39" dataCellStyle="Normal 3 2"/>
    <tableColumn id="159" xr3:uid="{FADF3529-7F80-42CD-BD0A-35910C7724B3}" name="EICTDrf  JR" dataDxfId="38" dataCellStyle="Normal 3 2"/>
    <tableColumn id="160" xr3:uid="{20840437-506E-4F3D-8793-AA4B7EEA3976}" name="EICTDrf  INT" dataDxfId="37" dataCellStyle="Normal 3 2"/>
    <tableColumn id="161" xr3:uid="{211EC4EF-0139-4D4B-8AAA-518EE75B74BF}" name="EICTDrf  SR" dataDxfId="36" dataCellStyle="Normal 3 2"/>
    <tableColumn id="162" xr3:uid="{A2ED1CC9-1608-4F77-AEDE-C4A73194C0A5}" name="EICTDrf  LD" dataDxfId="35" dataCellStyle="Normal 3 2"/>
    <tableColumn id="163" xr3:uid="{D2B35F16-26B8-465A-BDCC-E64470D1DB93}" name="EICTDrf  SP" dataDxfId="34" dataCellStyle="Normal 3 2"/>
    <tableColumn id="176" xr3:uid="{893BF44C-DBBA-46FD-8227-F7BE0DDC4DE1}" name="CSADrf  TRN" dataDxfId="33" dataCellStyle="Normal 3 2"/>
    <tableColumn id="177" xr3:uid="{135EF9C8-7220-4227-81C3-8856E025E4B4}" name="CSADrf  JR" dataDxfId="32" dataCellStyle="Normal 3 2"/>
    <tableColumn id="178" xr3:uid="{90D4A5A4-0916-421F-AFB6-73BCD3803ED1}" name="CSADrf  INT" dataDxfId="31" dataCellStyle="Normal 3 2"/>
    <tableColumn id="179" xr3:uid="{D999693C-9D48-452A-9724-2AE652BBA974}" name="CSADrf  SR" dataDxfId="30" dataCellStyle="Normal 3 2"/>
    <tableColumn id="180" xr3:uid="{EE2CFB33-3B74-4434-A9A0-96E3223E4D0F}" name="CSADrf  LD" dataDxfId="29" dataCellStyle="Normal 3 2"/>
    <tableColumn id="181" xr3:uid="{E479C26A-4202-4104-B826-DFA3C36E30C6}" name="CSADrf  SP" dataDxfId="28" dataCellStyle="Normal 3 2"/>
    <tableColumn id="188" xr3:uid="{D4878EEB-9D8F-43CF-808B-FBFC1AC3D036}" name="SC Proc TRN" dataDxfId="27" dataCellStyle="Normal 3 2"/>
    <tableColumn id="189" xr3:uid="{A8CEA8E0-AAE5-4D0D-AEB5-0D94205DE233}" name="SC Proc JR" dataDxfId="26" dataCellStyle="Normal 3 2"/>
    <tableColumn id="190" xr3:uid="{AC8553F8-65A2-458C-B5AD-8507B7A199DE}" name="SC Proc INT" dataDxfId="25" dataCellStyle="Normal 3 2"/>
    <tableColumn id="191" xr3:uid="{BF8B7E4F-8083-4C79-A0E1-4663537C03CB}" name="SC Proc SR" dataDxfId="24" dataCellStyle="Normal 3 2"/>
    <tableColumn id="192" xr3:uid="{8371E7E2-BAFA-43E7-8158-27513BCABD98}" name="SC Proc LD" dataDxfId="23" dataCellStyle="Normal 3 2"/>
    <tableColumn id="193" xr3:uid="{67A5F606-B62B-4D2B-A746-E4980665DBD6}" name="SC Cont TRN" dataDxfId="22" dataCellStyle="Normal 3 2"/>
    <tableColumn id="194" xr3:uid="{6310968F-48A6-4C5B-8F6A-51550A2C0D4E}" name="SC Cont JR" dataDxfId="21" dataCellStyle="Normal 3 2"/>
    <tableColumn id="195" xr3:uid="{CCFAFAF1-90A9-4B0E-94E9-0504B99E8FA9}" name="SC Cont INT" dataDxfId="20" dataCellStyle="Normal 3 2"/>
    <tableColumn id="196" xr3:uid="{F70DD159-3B67-4ED5-BF95-4F7B868FCE49}" name="SC Cont SR" dataDxfId="19" dataCellStyle="Normal 3 2"/>
    <tableColumn id="197" xr3:uid="{6B9F2ECF-F5B1-48FC-9AA8-8CDC2E07D7F1}" name="SC Cont LD" dataDxfId="18" dataCellStyle="Normal 3 2"/>
    <tableColumn id="96" xr3:uid="{1670555B-08B2-49C8-BF35-ABB922A6BAC8}" name="COST LINE" dataDxfId="17" dataCellStyle="Good"/>
    <tableColumn id="33" xr3:uid="{5F4D81C7-3F50-497E-A0E8-AA9AD3C78807}" name="18.1 Airfares" dataDxfId="16" dataCellStyle="Normal 3 2"/>
    <tableColumn id="34" xr3:uid="{8EE1143B-11F2-4A31-80F1-BF91F584134D}" name="18.2 Auto Rental" dataDxfId="15" dataCellStyle="Normal 3 2"/>
    <tableColumn id="35" xr3:uid="{26FD07F3-0C2C-4C43-A025-BE5EF2BC4DB1}" name="18.3 Auto Mileage" dataDxfId="14" dataCellStyle="Normal 3 2"/>
    <tableColumn id="36" xr3:uid="{7DBF0CB1-BC09-4814-95FB-87018FE893A2}" name="18.4 Accommodations" dataDxfId="13" dataCellStyle="Normal 3 2"/>
    <tableColumn id="37" xr3:uid="{6093527D-7CA0-492F-8759-89AEF34F3F34}" name="18.5 Meals" dataDxfId="12" dataCellStyle="Normal 3 2"/>
    <tableColumn id="38" xr3:uid="{7CD395B8-A0C3-4E84-B56F-3085F9C16191}" name="18.6 Misc. Travel Expenses" dataDxfId="11" dataCellStyle="Normal 3 2"/>
    <tableColumn id="39" xr3:uid="{D91F1C4A-9109-4D9C-AF15-537C1BC2BC69}" name="18.7 Courier" dataDxfId="10" dataCellStyle="Normal 3 2"/>
    <tableColumn id="79" xr3:uid="{97F31FDC-6D98-4E3D-A37D-1AE19016B6CD}" name="17.2 ETAP" dataDxfId="9" dataCellStyle="Normal 3 2"/>
    <tableColumn id="80" xr3:uid="{295081F3-3594-483B-98E4-AC657678BA3E}" name="17.3 Arc Flash per Label" dataDxfId="8" dataCellStyle="Normal 3 2"/>
    <tableColumn id="81" xr3:uid="{9FE52464-C778-4540-99A6-8A2A93D5DE1E}" name="17.4 SmartPlant" dataDxfId="7" dataCellStyle="Normal 3 2"/>
    <tableColumn id="82" xr3:uid="{DCB61D55-14B6-4D21-935F-A69191A08004}" name="17.5 Pathloss" dataDxfId="6" dataCellStyle="Normal 3 2"/>
    <tableColumn id="90" xr3:uid="{5265780D-B016-40B7-B94A-4C10B39B5D82}" name="17.6 Unisim" dataDxfId="5" dataCellStyle="Normal 3 2"/>
    <tableColumn id="91" xr3:uid="{0F48A560-5727-4F1C-8A77-B0F539B83AEC}" name="17.7 TCA Bundle" dataDxfId="4" dataCellStyle="Normal 3 2"/>
    <tableColumn id="92" xr3:uid="{844836DB-0FA7-49C2-B75F-97A513B697EF}" name="19.32 TPSC Mech Stress" dataDxfId="3" dataCellStyle="Normal 3 2"/>
    <tableColumn id="93" xr3:uid="{661F1056-CCFB-499A-9C6E-DD37CEACA681}" name="19.41 TPSC PP Model" dataDxfId="2" dataCellStyle="Normal 3 2"/>
    <tableColumn id="94" xr3:uid="{40894122-5031-4773-A900-A15788624BBC}" name="19.35 TPSC TCA Programming" dataDxfId="1" dataCellStyle="Normal 3 2"/>
    <tableColumn id="95" xr3:uid="{330304FC-284B-4A42-B661-E0DDF486241E}" name="19.36 TPSC CSA" dataDxfId="0" dataCellStyle="Normal 3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image" Target="../media/image148.emf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324" Type="http://schemas.openxmlformats.org/officeDocument/2006/relationships/control" Target="../activeX/activeX161.xml"/><Relationship Id="rId366" Type="http://schemas.openxmlformats.org/officeDocument/2006/relationships/control" Target="../activeX/activeX182.xml"/><Relationship Id="rId170" Type="http://schemas.openxmlformats.org/officeDocument/2006/relationships/control" Target="../activeX/activeX84.xml"/><Relationship Id="rId226" Type="http://schemas.openxmlformats.org/officeDocument/2006/relationships/control" Target="../activeX/activeX112.xml"/><Relationship Id="rId107" Type="http://schemas.openxmlformats.org/officeDocument/2006/relationships/image" Target="../media/image52.emf"/><Relationship Id="rId268" Type="http://schemas.openxmlformats.org/officeDocument/2006/relationships/control" Target="../activeX/activeX133.xml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314" Type="http://schemas.openxmlformats.org/officeDocument/2006/relationships/control" Target="../activeX/activeX156.xml"/><Relationship Id="rId335" Type="http://schemas.openxmlformats.org/officeDocument/2006/relationships/image" Target="../media/image166.emf"/><Relationship Id="rId356" Type="http://schemas.openxmlformats.org/officeDocument/2006/relationships/control" Target="../activeX/activeX177.xml"/><Relationship Id="rId377" Type="http://schemas.openxmlformats.org/officeDocument/2006/relationships/image" Target="../media/image187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16" Type="http://schemas.openxmlformats.org/officeDocument/2006/relationships/control" Target="../activeX/activeX107.xml"/><Relationship Id="rId237" Type="http://schemas.openxmlformats.org/officeDocument/2006/relationships/image" Target="../media/image117.emf"/><Relationship Id="rId258" Type="http://schemas.openxmlformats.org/officeDocument/2006/relationships/control" Target="../activeX/activeX128.xml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ontrol" Target="../activeX/activeX151.xml"/><Relationship Id="rId325" Type="http://schemas.openxmlformats.org/officeDocument/2006/relationships/image" Target="../media/image161.emf"/><Relationship Id="rId346" Type="http://schemas.openxmlformats.org/officeDocument/2006/relationships/control" Target="../activeX/activeX172.xml"/><Relationship Id="rId367" Type="http://schemas.openxmlformats.org/officeDocument/2006/relationships/image" Target="../media/image182.emf"/><Relationship Id="rId388" Type="http://schemas.openxmlformats.org/officeDocument/2006/relationships/control" Target="../activeX/activeX193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15" Type="http://schemas.openxmlformats.org/officeDocument/2006/relationships/image" Target="../media/image156.emf"/><Relationship Id="rId336" Type="http://schemas.openxmlformats.org/officeDocument/2006/relationships/control" Target="../activeX/activeX167.xml"/><Relationship Id="rId357" Type="http://schemas.openxmlformats.org/officeDocument/2006/relationships/image" Target="../media/image177.emf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378" Type="http://schemas.openxmlformats.org/officeDocument/2006/relationships/control" Target="../activeX/activeX188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291" Type="http://schemas.openxmlformats.org/officeDocument/2006/relationships/image" Target="../media/image144.emf"/><Relationship Id="rId305" Type="http://schemas.openxmlformats.org/officeDocument/2006/relationships/image" Target="../media/image151.emf"/><Relationship Id="rId326" Type="http://schemas.openxmlformats.org/officeDocument/2006/relationships/control" Target="../activeX/activeX162.xml"/><Relationship Id="rId347" Type="http://schemas.openxmlformats.org/officeDocument/2006/relationships/image" Target="../media/image172.emf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368" Type="http://schemas.openxmlformats.org/officeDocument/2006/relationships/control" Target="../activeX/activeX183.xml"/><Relationship Id="rId389" Type="http://schemas.openxmlformats.org/officeDocument/2006/relationships/image" Target="../media/image193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16" Type="http://schemas.openxmlformats.org/officeDocument/2006/relationships/control" Target="../activeX/activeX157.xml"/><Relationship Id="rId337" Type="http://schemas.openxmlformats.org/officeDocument/2006/relationships/image" Target="../media/image167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358" Type="http://schemas.openxmlformats.org/officeDocument/2006/relationships/control" Target="../activeX/activeX178.xml"/><Relationship Id="rId379" Type="http://schemas.openxmlformats.org/officeDocument/2006/relationships/image" Target="../media/image188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390" Type="http://schemas.openxmlformats.org/officeDocument/2006/relationships/control" Target="../activeX/activeX194.xml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92" Type="http://schemas.openxmlformats.org/officeDocument/2006/relationships/control" Target="../activeX/activeX145.xml"/><Relationship Id="rId306" Type="http://schemas.openxmlformats.org/officeDocument/2006/relationships/control" Target="../activeX/activeX152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327" Type="http://schemas.openxmlformats.org/officeDocument/2006/relationships/image" Target="../media/image162.emf"/><Relationship Id="rId348" Type="http://schemas.openxmlformats.org/officeDocument/2006/relationships/control" Target="../activeX/activeX173.xml"/><Relationship Id="rId369" Type="http://schemas.openxmlformats.org/officeDocument/2006/relationships/image" Target="../media/image183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380" Type="http://schemas.openxmlformats.org/officeDocument/2006/relationships/control" Target="../activeX/activeX189.xml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17" Type="http://schemas.openxmlformats.org/officeDocument/2006/relationships/image" Target="../media/image157.emf"/><Relationship Id="rId338" Type="http://schemas.openxmlformats.org/officeDocument/2006/relationships/control" Target="../activeX/activeX168.xml"/><Relationship Id="rId359" Type="http://schemas.openxmlformats.org/officeDocument/2006/relationships/image" Target="../media/image178.emf"/><Relationship Id="rId8" Type="http://schemas.openxmlformats.org/officeDocument/2006/relationships/control" Target="../activeX/activeX3.xml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219" Type="http://schemas.openxmlformats.org/officeDocument/2006/relationships/image" Target="../media/image108.emf"/><Relationship Id="rId370" Type="http://schemas.openxmlformats.org/officeDocument/2006/relationships/control" Target="../activeX/activeX184.xml"/><Relationship Id="rId391" Type="http://schemas.openxmlformats.org/officeDocument/2006/relationships/image" Target="../media/image194.emf"/><Relationship Id="rId230" Type="http://schemas.openxmlformats.org/officeDocument/2006/relationships/control" Target="../activeX/activeX114.xml"/><Relationship Id="rId251" Type="http://schemas.openxmlformats.org/officeDocument/2006/relationships/image" Target="../media/image124.emf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ontrol" Target="../activeX/activeX135.xml"/><Relationship Id="rId293" Type="http://schemas.openxmlformats.org/officeDocument/2006/relationships/image" Target="../media/image145.emf"/><Relationship Id="rId307" Type="http://schemas.openxmlformats.org/officeDocument/2006/relationships/image" Target="../media/image152.emf"/><Relationship Id="rId328" Type="http://schemas.openxmlformats.org/officeDocument/2006/relationships/control" Target="../activeX/activeX163.xml"/><Relationship Id="rId349" Type="http://schemas.openxmlformats.org/officeDocument/2006/relationships/image" Target="../media/image173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360" Type="http://schemas.openxmlformats.org/officeDocument/2006/relationships/control" Target="../activeX/activeX179.xml"/><Relationship Id="rId381" Type="http://schemas.openxmlformats.org/officeDocument/2006/relationships/image" Target="../media/image189.emf"/><Relationship Id="rId220" Type="http://schemas.openxmlformats.org/officeDocument/2006/relationships/control" Target="../activeX/activeX109.xml"/><Relationship Id="rId241" Type="http://schemas.openxmlformats.org/officeDocument/2006/relationships/image" Target="../media/image119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318" Type="http://schemas.openxmlformats.org/officeDocument/2006/relationships/control" Target="../activeX/activeX158.xml"/><Relationship Id="rId339" Type="http://schemas.openxmlformats.org/officeDocument/2006/relationships/image" Target="../media/image168.emf"/><Relationship Id="rId78" Type="http://schemas.openxmlformats.org/officeDocument/2006/relationships/control" Target="../activeX/activeX38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64" Type="http://schemas.openxmlformats.org/officeDocument/2006/relationships/control" Target="../activeX/activeX81.xml"/><Relationship Id="rId185" Type="http://schemas.openxmlformats.org/officeDocument/2006/relationships/image" Target="../media/image91.emf"/><Relationship Id="rId350" Type="http://schemas.openxmlformats.org/officeDocument/2006/relationships/control" Target="../activeX/activeX174.xml"/><Relationship Id="rId371" Type="http://schemas.openxmlformats.org/officeDocument/2006/relationships/image" Target="../media/image184.emf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392" Type="http://schemas.openxmlformats.org/officeDocument/2006/relationships/control" Target="../activeX/activeX195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294" Type="http://schemas.openxmlformats.org/officeDocument/2006/relationships/control" Target="../activeX/activeX146.xml"/><Relationship Id="rId308" Type="http://schemas.openxmlformats.org/officeDocument/2006/relationships/control" Target="../activeX/activeX153.xml"/><Relationship Id="rId329" Type="http://schemas.openxmlformats.org/officeDocument/2006/relationships/image" Target="../media/image163.emf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340" Type="http://schemas.openxmlformats.org/officeDocument/2006/relationships/control" Target="../activeX/activeX169.xml"/><Relationship Id="rId361" Type="http://schemas.openxmlformats.org/officeDocument/2006/relationships/image" Target="../media/image179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382" Type="http://schemas.openxmlformats.org/officeDocument/2006/relationships/control" Target="../activeX/activeX190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284" Type="http://schemas.openxmlformats.org/officeDocument/2006/relationships/control" Target="../activeX/activeX141.xml"/><Relationship Id="rId319" Type="http://schemas.openxmlformats.org/officeDocument/2006/relationships/image" Target="../media/image158.emf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330" Type="http://schemas.openxmlformats.org/officeDocument/2006/relationships/control" Target="../activeX/activeX164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351" Type="http://schemas.openxmlformats.org/officeDocument/2006/relationships/image" Target="../media/image174.emf"/><Relationship Id="rId372" Type="http://schemas.openxmlformats.org/officeDocument/2006/relationships/control" Target="../activeX/activeX185.xml"/><Relationship Id="rId393" Type="http://schemas.openxmlformats.org/officeDocument/2006/relationships/image" Target="../media/image195.emf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95" Type="http://schemas.openxmlformats.org/officeDocument/2006/relationships/image" Target="../media/image146.emf"/><Relationship Id="rId309" Type="http://schemas.openxmlformats.org/officeDocument/2006/relationships/image" Target="../media/image153.emf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320" Type="http://schemas.openxmlformats.org/officeDocument/2006/relationships/control" Target="../activeX/activeX159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341" Type="http://schemas.openxmlformats.org/officeDocument/2006/relationships/image" Target="../media/image169.emf"/><Relationship Id="rId362" Type="http://schemas.openxmlformats.org/officeDocument/2006/relationships/control" Target="../activeX/activeX180.xml"/><Relationship Id="rId383" Type="http://schemas.openxmlformats.org/officeDocument/2006/relationships/image" Target="../media/image190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285" Type="http://schemas.openxmlformats.org/officeDocument/2006/relationships/image" Target="../media/image141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310" Type="http://schemas.openxmlformats.org/officeDocument/2006/relationships/control" Target="../activeX/activeX154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331" Type="http://schemas.openxmlformats.org/officeDocument/2006/relationships/image" Target="../media/image164.emf"/><Relationship Id="rId352" Type="http://schemas.openxmlformats.org/officeDocument/2006/relationships/control" Target="../activeX/activeX175.xml"/><Relationship Id="rId373" Type="http://schemas.openxmlformats.org/officeDocument/2006/relationships/image" Target="../media/image185.emf"/><Relationship Id="rId394" Type="http://schemas.openxmlformats.org/officeDocument/2006/relationships/control" Target="../activeX/activeX196.xml"/><Relationship Id="rId1" Type="http://schemas.openxmlformats.org/officeDocument/2006/relationships/printerSettings" Target="../printerSettings/printerSettings2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296" Type="http://schemas.openxmlformats.org/officeDocument/2006/relationships/control" Target="../activeX/activeX147.xml"/><Relationship Id="rId300" Type="http://schemas.openxmlformats.org/officeDocument/2006/relationships/control" Target="../activeX/activeX149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321" Type="http://schemas.openxmlformats.org/officeDocument/2006/relationships/image" Target="../media/image159.emf"/><Relationship Id="rId342" Type="http://schemas.openxmlformats.org/officeDocument/2006/relationships/control" Target="../activeX/activeX170.xml"/><Relationship Id="rId363" Type="http://schemas.openxmlformats.org/officeDocument/2006/relationships/image" Target="../media/image180.emf"/><Relationship Id="rId384" Type="http://schemas.openxmlformats.org/officeDocument/2006/relationships/control" Target="../activeX/activeX191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286" Type="http://schemas.openxmlformats.org/officeDocument/2006/relationships/control" Target="../activeX/activeX142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image" Target="../media/image154.emf"/><Relationship Id="rId332" Type="http://schemas.openxmlformats.org/officeDocument/2006/relationships/control" Target="../activeX/activeX165.xml"/><Relationship Id="rId353" Type="http://schemas.openxmlformats.org/officeDocument/2006/relationships/image" Target="../media/image175.emf"/><Relationship Id="rId374" Type="http://schemas.openxmlformats.org/officeDocument/2006/relationships/control" Target="../activeX/activeX186.xml"/><Relationship Id="rId395" Type="http://schemas.openxmlformats.org/officeDocument/2006/relationships/image" Target="../media/image196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image" Target="../media/image149.emf"/><Relationship Id="rId322" Type="http://schemas.openxmlformats.org/officeDocument/2006/relationships/control" Target="../activeX/activeX160.xml"/><Relationship Id="rId343" Type="http://schemas.openxmlformats.org/officeDocument/2006/relationships/image" Target="../media/image170.emf"/><Relationship Id="rId364" Type="http://schemas.openxmlformats.org/officeDocument/2006/relationships/control" Target="../activeX/activeX181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385" Type="http://schemas.openxmlformats.org/officeDocument/2006/relationships/image" Target="../media/image191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ontrol" Target="../activeX/activeX155.xml"/><Relationship Id="rId333" Type="http://schemas.openxmlformats.org/officeDocument/2006/relationships/image" Target="../media/image165.emf"/><Relationship Id="rId354" Type="http://schemas.openxmlformats.org/officeDocument/2006/relationships/control" Target="../activeX/activeX176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75" Type="http://schemas.openxmlformats.org/officeDocument/2006/relationships/image" Target="../media/image186.emf"/><Relationship Id="rId396" Type="http://schemas.openxmlformats.org/officeDocument/2006/relationships/control" Target="../activeX/activeX197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5" Type="http://schemas.openxmlformats.org/officeDocument/2006/relationships/image" Target="../media/image116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ontrol" Target="../activeX/activeX148.xml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302" Type="http://schemas.openxmlformats.org/officeDocument/2006/relationships/control" Target="../activeX/activeX150.xml"/><Relationship Id="rId323" Type="http://schemas.openxmlformats.org/officeDocument/2006/relationships/image" Target="../media/image160.emf"/><Relationship Id="rId344" Type="http://schemas.openxmlformats.org/officeDocument/2006/relationships/control" Target="../activeX/activeX17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365" Type="http://schemas.openxmlformats.org/officeDocument/2006/relationships/image" Target="../media/image181.emf"/><Relationship Id="rId386" Type="http://schemas.openxmlformats.org/officeDocument/2006/relationships/control" Target="../activeX/activeX192.xml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5" Type="http://schemas.openxmlformats.org/officeDocument/2006/relationships/image" Target="../media/image111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313" Type="http://schemas.openxmlformats.org/officeDocument/2006/relationships/image" Target="../media/image155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169" Type="http://schemas.openxmlformats.org/officeDocument/2006/relationships/image" Target="../media/image83.emf"/><Relationship Id="rId334" Type="http://schemas.openxmlformats.org/officeDocument/2006/relationships/control" Target="../activeX/activeX166.xml"/><Relationship Id="rId355" Type="http://schemas.openxmlformats.org/officeDocument/2006/relationships/image" Target="../media/image176.emf"/><Relationship Id="rId376" Type="http://schemas.openxmlformats.org/officeDocument/2006/relationships/control" Target="../activeX/activeX187.xml"/><Relationship Id="rId397" Type="http://schemas.openxmlformats.org/officeDocument/2006/relationships/image" Target="../media/image197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303" Type="http://schemas.openxmlformats.org/officeDocument/2006/relationships/image" Target="../media/image150.emf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345" Type="http://schemas.openxmlformats.org/officeDocument/2006/relationships/image" Target="../media/image171.emf"/><Relationship Id="rId387" Type="http://schemas.openxmlformats.org/officeDocument/2006/relationships/image" Target="../media/image192.emf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image" Target="../media/image12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C24A-1EDB-4B88-81F1-98D7E8FCC486}">
  <sheetPr codeName="Sheet2"/>
  <dimension ref="A1:C10"/>
  <sheetViews>
    <sheetView workbookViewId="0">
      <selection activeCell="A11" sqref="A11:XFD11"/>
    </sheetView>
  </sheetViews>
  <sheetFormatPr defaultRowHeight="14.25" x14ac:dyDescent="0.2"/>
  <cols>
    <col min="1" max="1" width="10.125" bestFit="1" customWidth="1"/>
    <col min="3" max="3" width="64.5" customWidth="1"/>
  </cols>
  <sheetData>
    <row r="1" spans="1:3" x14ac:dyDescent="0.2">
      <c r="A1" s="54" t="s">
        <v>229</v>
      </c>
      <c r="B1" s="54" t="s">
        <v>230</v>
      </c>
      <c r="C1" s="54" t="s">
        <v>231</v>
      </c>
    </row>
    <row r="2" spans="1:3" x14ac:dyDescent="0.2">
      <c r="A2" s="55">
        <v>45337</v>
      </c>
      <c r="B2" s="57" t="s">
        <v>234</v>
      </c>
      <c r="C2" s="56" t="s">
        <v>240</v>
      </c>
    </row>
    <row r="3" spans="1:3" x14ac:dyDescent="0.2">
      <c r="A3" s="55">
        <v>45363</v>
      </c>
      <c r="B3" s="57" t="s">
        <v>265</v>
      </c>
      <c r="C3" s="56" t="s">
        <v>267</v>
      </c>
    </row>
    <row r="4" spans="1:3" x14ac:dyDescent="0.2">
      <c r="A4" s="55">
        <v>45366</v>
      </c>
      <c r="B4" s="57" t="s">
        <v>266</v>
      </c>
      <c r="C4" s="56" t="s">
        <v>268</v>
      </c>
    </row>
    <row r="5" spans="1:3" x14ac:dyDescent="0.2">
      <c r="A5" s="55">
        <v>45376</v>
      </c>
      <c r="B5" s="57" t="s">
        <v>270</v>
      </c>
      <c r="C5" s="95" t="s">
        <v>269</v>
      </c>
    </row>
    <row r="6" spans="1:3" x14ac:dyDescent="0.2">
      <c r="A6" s="55">
        <v>45390</v>
      </c>
      <c r="B6" s="57" t="s">
        <v>272</v>
      </c>
      <c r="C6" s="56" t="s">
        <v>279</v>
      </c>
    </row>
    <row r="7" spans="1:3" x14ac:dyDescent="0.2">
      <c r="A7" s="55">
        <v>45402</v>
      </c>
      <c r="B7" s="57" t="s">
        <v>280</v>
      </c>
      <c r="C7" s="56" t="s">
        <v>281</v>
      </c>
    </row>
    <row r="8" spans="1:3" x14ac:dyDescent="0.2">
      <c r="A8" s="55">
        <v>45519</v>
      </c>
      <c r="B8" s="57" t="s">
        <v>471</v>
      </c>
      <c r="C8" s="56" t="s">
        <v>810</v>
      </c>
    </row>
    <row r="9" spans="1:3" x14ac:dyDescent="0.2">
      <c r="A9" s="55">
        <v>45540</v>
      </c>
      <c r="B9" s="57" t="s">
        <v>472</v>
      </c>
      <c r="C9" s="56" t="s">
        <v>811</v>
      </c>
    </row>
    <row r="10" spans="1:3" x14ac:dyDescent="0.2">
      <c r="A10" s="55">
        <v>45616</v>
      </c>
      <c r="B10" s="57" t="s">
        <v>473</v>
      </c>
      <c r="C10" s="56" t="s">
        <v>812</v>
      </c>
    </row>
  </sheetData>
  <sheetProtection selectLockedCells="1" selectUnlockedCells="1"/>
  <phoneticPr fontId="1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EBB14-083C-4CAE-AFE9-C2F22B7389AC}">
  <sheetPr codeName="Sheet4"/>
  <dimension ref="A1:K61"/>
  <sheetViews>
    <sheetView workbookViewId="0">
      <selection activeCell="B28" sqref="B28"/>
    </sheetView>
  </sheetViews>
  <sheetFormatPr defaultRowHeight="12.75" x14ac:dyDescent="0.2"/>
  <cols>
    <col min="1" max="1" width="9" style="179"/>
    <col min="2" max="2" width="32.375" style="180" bestFit="1" customWidth="1"/>
    <col min="3" max="16384" width="9" style="180"/>
  </cols>
  <sheetData>
    <row r="1" spans="1:11" x14ac:dyDescent="0.2">
      <c r="C1" s="180" t="s">
        <v>813</v>
      </c>
      <c r="D1" s="180" t="s">
        <v>814</v>
      </c>
      <c r="E1" s="180" t="s">
        <v>815</v>
      </c>
      <c r="F1" s="180" t="s">
        <v>816</v>
      </c>
      <c r="G1" s="180" t="s">
        <v>817</v>
      </c>
      <c r="H1" s="180" t="s">
        <v>818</v>
      </c>
      <c r="I1" s="180" t="s">
        <v>819</v>
      </c>
      <c r="J1" s="180" t="s">
        <v>820</v>
      </c>
      <c r="K1" s="180" t="s">
        <v>821</v>
      </c>
    </row>
    <row r="2" spans="1:11" ht="14.25" x14ac:dyDescent="0.2">
      <c r="A2" s="179" t="s">
        <v>822</v>
      </c>
      <c r="B2" s="181" t="s">
        <v>301</v>
      </c>
      <c r="C2" s="181" t="s">
        <v>823</v>
      </c>
      <c r="D2" s="182" t="s">
        <v>824</v>
      </c>
      <c r="E2" s="182" t="s">
        <v>825</v>
      </c>
      <c r="F2" s="182" t="s">
        <v>826</v>
      </c>
      <c r="G2" s="182" t="s">
        <v>827</v>
      </c>
      <c r="H2" s="182" t="s">
        <v>828</v>
      </c>
      <c r="I2" s="182" t="s">
        <v>829</v>
      </c>
      <c r="J2" s="182" t="s">
        <v>830</v>
      </c>
      <c r="K2" s="182" t="s">
        <v>831</v>
      </c>
    </row>
    <row r="3" spans="1:11" ht="14.25" x14ac:dyDescent="0.2">
      <c r="A3" s="179">
        <v>11</v>
      </c>
      <c r="B3" s="181" t="s">
        <v>832</v>
      </c>
      <c r="C3" s="181" t="s">
        <v>833</v>
      </c>
      <c r="D3" s="182">
        <v>60</v>
      </c>
      <c r="E3" s="182">
        <v>65</v>
      </c>
      <c r="F3" s="182">
        <v>80</v>
      </c>
      <c r="G3" s="182">
        <v>95</v>
      </c>
      <c r="H3" s="182"/>
      <c r="I3" s="182"/>
      <c r="J3" s="182"/>
      <c r="K3" s="182"/>
    </row>
    <row r="4" spans="1:11" ht="14.25" x14ac:dyDescent="0.2">
      <c r="A4" s="179">
        <v>12</v>
      </c>
      <c r="B4" s="181" t="s">
        <v>834</v>
      </c>
      <c r="C4" s="181" t="s">
        <v>835</v>
      </c>
      <c r="D4" s="182">
        <v>60</v>
      </c>
      <c r="E4" s="182">
        <v>65</v>
      </c>
      <c r="F4" s="182">
        <v>80</v>
      </c>
      <c r="G4" s="182">
        <v>100</v>
      </c>
      <c r="H4" s="182">
        <v>120</v>
      </c>
      <c r="I4" s="182"/>
      <c r="J4" s="182"/>
      <c r="K4" s="182"/>
    </row>
    <row r="5" spans="1:11" ht="14.25" x14ac:dyDescent="0.2">
      <c r="A5" s="179">
        <v>21</v>
      </c>
      <c r="B5" s="181" t="s">
        <v>836</v>
      </c>
      <c r="C5" s="181" t="s">
        <v>837</v>
      </c>
      <c r="D5" s="182"/>
      <c r="E5" s="182">
        <v>140</v>
      </c>
      <c r="F5" s="182">
        <v>165</v>
      </c>
      <c r="G5" s="182">
        <v>180</v>
      </c>
      <c r="H5" s="182">
        <v>195</v>
      </c>
      <c r="I5" s="182">
        <v>220</v>
      </c>
      <c r="J5" s="182">
        <v>240</v>
      </c>
      <c r="K5" s="182"/>
    </row>
    <row r="6" spans="1:11" ht="14.25" x14ac:dyDescent="0.2">
      <c r="A6" s="179">
        <v>22</v>
      </c>
      <c r="B6" s="181" t="s">
        <v>838</v>
      </c>
      <c r="C6" s="181" t="s">
        <v>839</v>
      </c>
      <c r="D6" s="182"/>
      <c r="E6" s="182">
        <v>120</v>
      </c>
      <c r="F6" s="182">
        <v>145</v>
      </c>
      <c r="G6" s="182">
        <v>160</v>
      </c>
      <c r="H6" s="182">
        <v>180</v>
      </c>
      <c r="I6" s="182"/>
      <c r="J6" s="182"/>
      <c r="K6" s="182"/>
    </row>
    <row r="7" spans="1:11" ht="14.25" x14ac:dyDescent="0.2">
      <c r="A7" s="179">
        <v>23</v>
      </c>
      <c r="B7" s="181" t="s">
        <v>840</v>
      </c>
      <c r="C7" s="181" t="s">
        <v>841</v>
      </c>
      <c r="D7" s="182">
        <v>105</v>
      </c>
      <c r="E7" s="182">
        <v>115</v>
      </c>
      <c r="F7" s="182">
        <v>130</v>
      </c>
      <c r="G7" s="182">
        <v>140</v>
      </c>
      <c r="H7" s="182">
        <v>150</v>
      </c>
      <c r="I7" s="182"/>
      <c r="J7" s="182"/>
      <c r="K7" s="182"/>
    </row>
    <row r="8" spans="1:11" ht="14.25" x14ac:dyDescent="0.2">
      <c r="A8" s="179">
        <v>24</v>
      </c>
      <c r="B8" s="181" t="s">
        <v>842</v>
      </c>
      <c r="C8" s="181" t="s">
        <v>843</v>
      </c>
      <c r="D8" s="182">
        <v>75</v>
      </c>
      <c r="E8" s="182">
        <v>110</v>
      </c>
      <c r="F8" s="182">
        <v>130</v>
      </c>
      <c r="G8" s="182">
        <v>140</v>
      </c>
      <c r="H8" s="182">
        <v>150</v>
      </c>
      <c r="I8" s="182">
        <v>160</v>
      </c>
      <c r="J8" s="182"/>
      <c r="K8" s="182"/>
    </row>
    <row r="9" spans="1:11" ht="14.25" x14ac:dyDescent="0.2">
      <c r="A9" s="179">
        <v>31</v>
      </c>
      <c r="B9" s="181" t="s">
        <v>844</v>
      </c>
      <c r="C9" s="181" t="s">
        <v>845</v>
      </c>
      <c r="D9" s="182">
        <v>110</v>
      </c>
      <c r="E9" s="182">
        <v>115</v>
      </c>
      <c r="F9" s="182">
        <v>140</v>
      </c>
      <c r="G9" s="182">
        <v>155</v>
      </c>
      <c r="H9" s="182">
        <v>175</v>
      </c>
      <c r="I9" s="182">
        <v>195</v>
      </c>
      <c r="J9" s="182">
        <v>230</v>
      </c>
      <c r="K9" s="182">
        <v>250</v>
      </c>
    </row>
    <row r="10" spans="1:11" ht="14.25" x14ac:dyDescent="0.2">
      <c r="A10" s="179">
        <v>32</v>
      </c>
      <c r="B10" s="181" t="s">
        <v>846</v>
      </c>
      <c r="C10" s="181" t="s">
        <v>847</v>
      </c>
      <c r="D10" s="182">
        <v>110</v>
      </c>
      <c r="E10" s="182">
        <v>115</v>
      </c>
      <c r="F10" s="182">
        <v>140</v>
      </c>
      <c r="G10" s="182">
        <v>155</v>
      </c>
      <c r="H10" s="182">
        <v>175</v>
      </c>
      <c r="I10" s="182">
        <v>195</v>
      </c>
      <c r="J10" s="182">
        <v>230</v>
      </c>
      <c r="K10" s="182">
        <v>250</v>
      </c>
    </row>
    <row r="11" spans="1:11" ht="14.25" x14ac:dyDescent="0.2">
      <c r="A11" s="179" t="s">
        <v>848</v>
      </c>
      <c r="B11" s="181" t="s">
        <v>849</v>
      </c>
      <c r="C11" s="181" t="s">
        <v>850</v>
      </c>
      <c r="D11" s="182">
        <v>105</v>
      </c>
      <c r="E11" s="182">
        <v>110</v>
      </c>
      <c r="F11" s="182">
        <v>135</v>
      </c>
      <c r="G11" s="182">
        <v>150</v>
      </c>
      <c r="H11" s="182">
        <v>170</v>
      </c>
      <c r="I11" s="182">
        <v>185</v>
      </c>
      <c r="J11" s="182">
        <v>220</v>
      </c>
      <c r="K11" s="182"/>
    </row>
    <row r="12" spans="1:11" ht="14.25" x14ac:dyDescent="0.2">
      <c r="A12" s="179">
        <v>33</v>
      </c>
      <c r="B12" s="181" t="s">
        <v>851</v>
      </c>
      <c r="C12" s="181" t="s">
        <v>852</v>
      </c>
      <c r="D12" s="182">
        <v>110</v>
      </c>
      <c r="E12" s="182">
        <v>115</v>
      </c>
      <c r="F12" s="182">
        <v>140</v>
      </c>
      <c r="G12" s="182">
        <v>155</v>
      </c>
      <c r="H12" s="182">
        <v>175</v>
      </c>
      <c r="I12" s="182">
        <v>195</v>
      </c>
      <c r="J12" s="182">
        <v>230</v>
      </c>
      <c r="K12" s="182">
        <v>250</v>
      </c>
    </row>
    <row r="13" spans="1:11" ht="14.25" x14ac:dyDescent="0.2">
      <c r="A13" s="179" t="s">
        <v>853</v>
      </c>
      <c r="B13" s="181" t="s">
        <v>854</v>
      </c>
      <c r="C13" s="181" t="s">
        <v>855</v>
      </c>
      <c r="D13" s="182">
        <v>105</v>
      </c>
      <c r="E13" s="182">
        <v>110</v>
      </c>
      <c r="F13" s="182">
        <v>135</v>
      </c>
      <c r="G13" s="182">
        <v>150</v>
      </c>
      <c r="H13" s="182">
        <v>170</v>
      </c>
      <c r="I13" s="182">
        <v>185</v>
      </c>
      <c r="J13" s="182">
        <v>220</v>
      </c>
      <c r="K13" s="182"/>
    </row>
    <row r="14" spans="1:11" ht="14.25" x14ac:dyDescent="0.2">
      <c r="A14" s="179">
        <v>34</v>
      </c>
      <c r="B14" s="181" t="s">
        <v>856</v>
      </c>
      <c r="C14" s="181" t="s">
        <v>857</v>
      </c>
      <c r="D14" s="182">
        <v>110</v>
      </c>
      <c r="E14" s="182">
        <v>115</v>
      </c>
      <c r="F14" s="182">
        <v>140</v>
      </c>
      <c r="G14" s="182">
        <v>155</v>
      </c>
      <c r="H14" s="182">
        <v>175</v>
      </c>
      <c r="I14" s="182">
        <v>195</v>
      </c>
      <c r="J14" s="182">
        <v>230</v>
      </c>
      <c r="K14" s="182">
        <v>250</v>
      </c>
    </row>
    <row r="15" spans="1:11" ht="14.25" x14ac:dyDescent="0.2">
      <c r="A15" s="179" t="s">
        <v>858</v>
      </c>
      <c r="B15" s="181" t="s">
        <v>859</v>
      </c>
      <c r="C15" s="181" t="s">
        <v>860</v>
      </c>
      <c r="D15" s="182">
        <v>105</v>
      </c>
      <c r="E15" s="182">
        <v>110</v>
      </c>
      <c r="F15" s="182">
        <v>135</v>
      </c>
      <c r="G15" s="182">
        <v>150</v>
      </c>
      <c r="H15" s="182">
        <v>170</v>
      </c>
      <c r="I15" s="182">
        <v>185</v>
      </c>
      <c r="J15" s="182">
        <v>220</v>
      </c>
      <c r="K15" s="182"/>
    </row>
    <row r="16" spans="1:11" ht="14.25" x14ac:dyDescent="0.2">
      <c r="A16" s="179" t="s">
        <v>861</v>
      </c>
      <c r="B16" s="181" t="s">
        <v>862</v>
      </c>
      <c r="C16" s="181" t="s">
        <v>863</v>
      </c>
      <c r="D16" s="182">
        <v>110</v>
      </c>
      <c r="E16" s="182">
        <v>115</v>
      </c>
      <c r="F16" s="182">
        <v>140</v>
      </c>
      <c r="G16" s="182">
        <v>155</v>
      </c>
      <c r="H16" s="182">
        <v>175</v>
      </c>
      <c r="I16" s="182">
        <v>195</v>
      </c>
      <c r="J16" s="182">
        <v>230</v>
      </c>
      <c r="K16" s="182">
        <v>250</v>
      </c>
    </row>
    <row r="17" spans="1:11" ht="14.25" x14ac:dyDescent="0.2">
      <c r="A17" s="179" t="s">
        <v>864</v>
      </c>
      <c r="B17" s="181" t="s">
        <v>865</v>
      </c>
      <c r="C17" s="181" t="s">
        <v>866</v>
      </c>
      <c r="D17" s="182">
        <v>105</v>
      </c>
      <c r="E17" s="182">
        <v>110</v>
      </c>
      <c r="F17" s="182">
        <v>135</v>
      </c>
      <c r="G17" s="182">
        <v>150</v>
      </c>
      <c r="H17" s="182">
        <v>170</v>
      </c>
      <c r="I17" s="182">
        <v>185</v>
      </c>
      <c r="J17" s="182">
        <v>220</v>
      </c>
      <c r="K17" s="182"/>
    </row>
    <row r="18" spans="1:11" ht="14.25" x14ac:dyDescent="0.2">
      <c r="A18" s="179" t="s">
        <v>867</v>
      </c>
      <c r="B18" s="181" t="s">
        <v>868</v>
      </c>
      <c r="C18" s="181" t="s">
        <v>869</v>
      </c>
      <c r="D18" s="182">
        <v>110</v>
      </c>
      <c r="E18" s="182">
        <v>115</v>
      </c>
      <c r="F18" s="182">
        <v>140</v>
      </c>
      <c r="G18" s="182">
        <v>155</v>
      </c>
      <c r="H18" s="182">
        <v>175</v>
      </c>
      <c r="I18" s="182">
        <v>195</v>
      </c>
      <c r="J18" s="182">
        <v>230</v>
      </c>
      <c r="K18" s="182">
        <v>250</v>
      </c>
    </row>
    <row r="19" spans="1:11" ht="14.25" x14ac:dyDescent="0.2">
      <c r="A19" s="179">
        <v>41</v>
      </c>
      <c r="B19" s="181" t="s">
        <v>870</v>
      </c>
      <c r="C19" s="181" t="s">
        <v>871</v>
      </c>
      <c r="D19" s="182">
        <v>90</v>
      </c>
      <c r="E19" s="182">
        <v>105</v>
      </c>
      <c r="F19" s="182">
        <v>115</v>
      </c>
      <c r="G19" s="182">
        <v>140</v>
      </c>
      <c r="H19" s="182">
        <v>155</v>
      </c>
      <c r="I19" s="182">
        <v>160</v>
      </c>
      <c r="J19" s="182"/>
      <c r="K19" s="182"/>
    </row>
    <row r="20" spans="1:11" ht="14.25" x14ac:dyDescent="0.2">
      <c r="A20" s="179">
        <v>42</v>
      </c>
      <c r="B20" s="181" t="s">
        <v>872</v>
      </c>
      <c r="C20" s="181" t="s">
        <v>873</v>
      </c>
      <c r="D20" s="182">
        <v>90</v>
      </c>
      <c r="E20" s="182">
        <v>105</v>
      </c>
      <c r="F20" s="182">
        <v>115</v>
      </c>
      <c r="G20" s="182">
        <v>140</v>
      </c>
      <c r="H20" s="182">
        <v>155</v>
      </c>
      <c r="I20" s="182">
        <v>160</v>
      </c>
      <c r="J20" s="182"/>
      <c r="K20" s="182"/>
    </row>
    <row r="21" spans="1:11" ht="14.25" x14ac:dyDescent="0.2">
      <c r="A21" s="179">
        <v>43</v>
      </c>
      <c r="B21" s="181" t="s">
        <v>874</v>
      </c>
      <c r="C21" s="181" t="s">
        <v>875</v>
      </c>
      <c r="D21" s="182">
        <v>90</v>
      </c>
      <c r="E21" s="182">
        <v>105</v>
      </c>
      <c r="F21" s="182">
        <v>115</v>
      </c>
      <c r="G21" s="182">
        <v>140</v>
      </c>
      <c r="H21" s="182">
        <v>155</v>
      </c>
      <c r="I21" s="182">
        <v>160</v>
      </c>
      <c r="J21" s="182"/>
      <c r="K21" s="182"/>
    </row>
    <row r="22" spans="1:11" ht="14.25" x14ac:dyDescent="0.2">
      <c r="A22" s="179">
        <v>51</v>
      </c>
      <c r="B22" s="181" t="s">
        <v>876</v>
      </c>
      <c r="C22" s="181" t="s">
        <v>877</v>
      </c>
      <c r="D22" s="182">
        <v>80</v>
      </c>
      <c r="E22" s="182">
        <v>100</v>
      </c>
      <c r="F22" s="182">
        <v>120</v>
      </c>
      <c r="G22" s="182">
        <v>140</v>
      </c>
      <c r="H22" s="182">
        <v>155</v>
      </c>
      <c r="I22" s="182"/>
      <c r="J22" s="182"/>
      <c r="K22" s="182"/>
    </row>
    <row r="23" spans="1:11" ht="14.25" x14ac:dyDescent="0.2">
      <c r="A23" s="179" t="s">
        <v>878</v>
      </c>
      <c r="B23" s="181" t="s">
        <v>879</v>
      </c>
      <c r="C23" s="181" t="s">
        <v>880</v>
      </c>
      <c r="D23" s="182">
        <v>80</v>
      </c>
      <c r="E23" s="182">
        <v>100</v>
      </c>
      <c r="F23" s="182">
        <v>120</v>
      </c>
      <c r="G23" s="182">
        <v>140</v>
      </c>
      <c r="H23" s="182">
        <v>155</v>
      </c>
      <c r="I23" s="182"/>
      <c r="J23" s="182"/>
      <c r="K23" s="182"/>
    </row>
    <row r="24" spans="1:11" ht="14.25" x14ac:dyDescent="0.2">
      <c r="A24" s="179" t="s">
        <v>881</v>
      </c>
      <c r="B24" s="181" t="s">
        <v>882</v>
      </c>
      <c r="C24" s="181" t="s">
        <v>883</v>
      </c>
      <c r="D24" s="182"/>
      <c r="E24" s="182">
        <v>135</v>
      </c>
      <c r="F24" s="182">
        <v>155</v>
      </c>
      <c r="G24" s="182">
        <v>170</v>
      </c>
      <c r="H24" s="182">
        <v>180</v>
      </c>
      <c r="I24" s="182">
        <v>195</v>
      </c>
      <c r="J24" s="182"/>
      <c r="K24" s="182"/>
    </row>
    <row r="25" spans="1:11" ht="14.25" x14ac:dyDescent="0.2">
      <c r="A25" s="179" t="s">
        <v>884</v>
      </c>
      <c r="B25" s="181" t="s">
        <v>885</v>
      </c>
      <c r="C25" s="181" t="s">
        <v>886</v>
      </c>
      <c r="D25" s="182"/>
      <c r="E25" s="182">
        <v>125</v>
      </c>
      <c r="F25" s="182">
        <v>150</v>
      </c>
      <c r="G25" s="182">
        <v>165</v>
      </c>
      <c r="H25" s="182">
        <v>180</v>
      </c>
      <c r="I25" s="182"/>
      <c r="J25" s="182"/>
      <c r="K25" s="182"/>
    </row>
    <row r="27" spans="1:11" x14ac:dyDescent="0.2">
      <c r="B27" s="180" t="s">
        <v>887</v>
      </c>
      <c r="G27" s="180" t="s">
        <v>813</v>
      </c>
      <c r="H27" s="180" t="s">
        <v>301</v>
      </c>
    </row>
    <row r="28" spans="1:11" ht="14.25" x14ac:dyDescent="0.2">
      <c r="A28" s="179">
        <v>16</v>
      </c>
      <c r="B28" s="180" t="s">
        <v>888</v>
      </c>
      <c r="C28" s="180" t="s">
        <v>889</v>
      </c>
      <c r="D28" s="183">
        <v>0.15</v>
      </c>
      <c r="G28" s="180" t="s">
        <v>824</v>
      </c>
      <c r="H28" s="180" t="s">
        <v>890</v>
      </c>
    </row>
    <row r="29" spans="1:11" ht="14.25" x14ac:dyDescent="0.2">
      <c r="A29" s="179">
        <v>17</v>
      </c>
      <c r="B29" s="180" t="s">
        <v>891</v>
      </c>
      <c r="C29" s="180" t="s">
        <v>892</v>
      </c>
      <c r="D29" s="183" t="s">
        <v>893</v>
      </c>
      <c r="G29" s="180" t="s">
        <v>894</v>
      </c>
      <c r="H29" s="180" t="s">
        <v>895</v>
      </c>
    </row>
    <row r="30" spans="1:11" ht="14.25" x14ac:dyDescent="0.2">
      <c r="A30" s="179">
        <v>18</v>
      </c>
      <c r="B30" s="180" t="s">
        <v>896</v>
      </c>
      <c r="C30" s="180" t="s">
        <v>897</v>
      </c>
      <c r="D30" s="183">
        <v>0.05</v>
      </c>
      <c r="G30" s="180" t="s">
        <v>825</v>
      </c>
      <c r="H30" s="180" t="s">
        <v>898</v>
      </c>
    </row>
    <row r="31" spans="1:11" ht="14.25" x14ac:dyDescent="0.2">
      <c r="A31" s="179">
        <v>19</v>
      </c>
      <c r="B31" s="180" t="s">
        <v>899</v>
      </c>
      <c r="C31" s="180" t="s">
        <v>900</v>
      </c>
      <c r="D31" s="183">
        <v>0.15</v>
      </c>
      <c r="G31" s="180" t="s">
        <v>826</v>
      </c>
      <c r="H31" s="180" t="s">
        <v>901</v>
      </c>
    </row>
    <row r="32" spans="1:11" x14ac:dyDescent="0.2">
      <c r="G32" s="180" t="s">
        <v>827</v>
      </c>
      <c r="H32" s="180" t="s">
        <v>902</v>
      </c>
    </row>
    <row r="33" spans="1:8" x14ac:dyDescent="0.2">
      <c r="A33" s="179" t="s">
        <v>903</v>
      </c>
      <c r="B33" s="212" t="s">
        <v>948</v>
      </c>
      <c r="G33" s="180" t="s">
        <v>828</v>
      </c>
      <c r="H33" s="180" t="s">
        <v>904</v>
      </c>
    </row>
    <row r="34" spans="1:8" x14ac:dyDescent="0.2">
      <c r="A34" s="179" t="s">
        <v>905</v>
      </c>
      <c r="B34" s="180" t="s">
        <v>906</v>
      </c>
      <c r="C34" s="180" t="s">
        <v>907</v>
      </c>
      <c r="D34" s="180">
        <v>500</v>
      </c>
      <c r="G34" s="180" t="s">
        <v>829</v>
      </c>
      <c r="H34" s="180" t="s">
        <v>908</v>
      </c>
    </row>
    <row r="35" spans="1:8" x14ac:dyDescent="0.2">
      <c r="A35" s="179" t="s">
        <v>909</v>
      </c>
      <c r="B35" s="180" t="s">
        <v>910</v>
      </c>
      <c r="C35" s="180" t="s">
        <v>196</v>
      </c>
      <c r="D35" s="180">
        <v>20</v>
      </c>
      <c r="G35" s="180" t="s">
        <v>830</v>
      </c>
      <c r="H35" s="180" t="s">
        <v>911</v>
      </c>
    </row>
    <row r="36" spans="1:8" x14ac:dyDescent="0.2">
      <c r="A36" s="179" t="s">
        <v>912</v>
      </c>
      <c r="B36" s="180" t="s">
        <v>445</v>
      </c>
      <c r="C36" s="180" t="s">
        <v>913</v>
      </c>
      <c r="D36" s="180">
        <v>20</v>
      </c>
      <c r="G36" s="180" t="s">
        <v>831</v>
      </c>
      <c r="H36" s="180" t="s">
        <v>914</v>
      </c>
    </row>
    <row r="37" spans="1:8" x14ac:dyDescent="0.2">
      <c r="A37" s="179" t="s">
        <v>915</v>
      </c>
      <c r="B37" s="180" t="s">
        <v>916</v>
      </c>
      <c r="C37" s="180" t="s">
        <v>198</v>
      </c>
      <c r="D37" s="180">
        <v>20</v>
      </c>
    </row>
    <row r="38" spans="1:8" x14ac:dyDescent="0.2">
      <c r="A38" s="179" t="s">
        <v>917</v>
      </c>
      <c r="B38" s="180" t="s">
        <v>918</v>
      </c>
      <c r="C38" s="180" t="s">
        <v>200</v>
      </c>
      <c r="D38" s="180">
        <v>15</v>
      </c>
    </row>
    <row r="39" spans="1:8" x14ac:dyDescent="0.2">
      <c r="A39" s="179" t="s">
        <v>919</v>
      </c>
      <c r="B39" s="180" t="s">
        <v>920</v>
      </c>
      <c r="C39" s="180" t="s">
        <v>202</v>
      </c>
      <c r="D39" s="180">
        <v>65</v>
      </c>
    </row>
    <row r="40" spans="1:8" x14ac:dyDescent="0.2">
      <c r="A40" s="179" t="s">
        <v>921</v>
      </c>
      <c r="B40" s="180" t="s">
        <v>922</v>
      </c>
      <c r="C40" s="180" t="s">
        <v>923</v>
      </c>
      <c r="D40" s="180">
        <v>0.1</v>
      </c>
    </row>
    <row r="41" spans="1:8" x14ac:dyDescent="0.2">
      <c r="A41" s="179" t="s">
        <v>924</v>
      </c>
      <c r="B41" s="180" t="s">
        <v>925</v>
      </c>
      <c r="C41" s="180" t="s">
        <v>926</v>
      </c>
      <c r="D41" s="180">
        <v>0.1</v>
      </c>
    </row>
    <row r="42" spans="1:8" x14ac:dyDescent="0.2">
      <c r="A42" s="179" t="s">
        <v>927</v>
      </c>
    </row>
    <row r="44" spans="1:8" x14ac:dyDescent="0.2">
      <c r="A44" s="179" t="s">
        <v>928</v>
      </c>
      <c r="B44" s="180" t="s">
        <v>929</v>
      </c>
      <c r="C44" s="180" t="s">
        <v>228</v>
      </c>
      <c r="D44" s="180" t="s">
        <v>930</v>
      </c>
    </row>
    <row r="45" spans="1:8" x14ac:dyDescent="0.2">
      <c r="A45" s="179">
        <v>18.100000000000001</v>
      </c>
      <c r="B45" s="180" t="s">
        <v>127</v>
      </c>
      <c r="D45" s="180">
        <v>0.05</v>
      </c>
    </row>
    <row r="46" spans="1:8" x14ac:dyDescent="0.2">
      <c r="A46" s="179">
        <v>18.2</v>
      </c>
      <c r="B46" s="180" t="s">
        <v>128</v>
      </c>
      <c r="D46" s="180">
        <v>0.05</v>
      </c>
    </row>
    <row r="47" spans="1:8" x14ac:dyDescent="0.2">
      <c r="A47" s="179">
        <v>18.3</v>
      </c>
      <c r="B47" s="180" t="s">
        <v>129</v>
      </c>
      <c r="D47" s="180">
        <v>0.05</v>
      </c>
    </row>
    <row r="48" spans="1:8" x14ac:dyDescent="0.2">
      <c r="A48" s="179">
        <v>18.399999999999999</v>
      </c>
      <c r="B48" s="180" t="s">
        <v>138</v>
      </c>
      <c r="D48" s="180">
        <v>0.05</v>
      </c>
    </row>
    <row r="49" spans="1:4" x14ac:dyDescent="0.2">
      <c r="A49" s="179">
        <v>18.5</v>
      </c>
      <c r="B49" s="180" t="s">
        <v>130</v>
      </c>
      <c r="D49" s="180">
        <v>0.05</v>
      </c>
    </row>
    <row r="50" spans="1:4" x14ac:dyDescent="0.2">
      <c r="A50" s="179">
        <v>18.600000000000001</v>
      </c>
      <c r="B50" s="180" t="s">
        <v>132</v>
      </c>
      <c r="D50" s="180">
        <v>0.05</v>
      </c>
    </row>
    <row r="51" spans="1:4" x14ac:dyDescent="0.2">
      <c r="A51" s="179">
        <v>18.7</v>
      </c>
      <c r="B51" s="180" t="s">
        <v>131</v>
      </c>
      <c r="D51" s="180">
        <v>0.05</v>
      </c>
    </row>
    <row r="53" spans="1:4" x14ac:dyDescent="0.2">
      <c r="A53" s="179" t="s">
        <v>931</v>
      </c>
      <c r="B53" s="180" t="s">
        <v>932</v>
      </c>
      <c r="C53" s="180" t="s">
        <v>228</v>
      </c>
      <c r="D53" s="180" t="s">
        <v>930</v>
      </c>
    </row>
    <row r="54" spans="1:4" x14ac:dyDescent="0.2">
      <c r="A54" s="179" t="s">
        <v>933</v>
      </c>
      <c r="B54" s="180" t="s">
        <v>936</v>
      </c>
      <c r="D54" s="198">
        <v>0.15</v>
      </c>
    </row>
    <row r="55" spans="1:4" x14ac:dyDescent="0.2">
      <c r="A55" s="179" t="s">
        <v>934</v>
      </c>
      <c r="B55" s="180" t="s">
        <v>935</v>
      </c>
      <c r="D55" s="198">
        <v>0.15</v>
      </c>
    </row>
    <row r="56" spans="1:4" x14ac:dyDescent="0.2">
      <c r="A56" s="179" t="s">
        <v>937</v>
      </c>
      <c r="B56" s="180" t="s">
        <v>938</v>
      </c>
      <c r="D56" s="198">
        <v>0.15</v>
      </c>
    </row>
    <row r="57" spans="1:4" x14ac:dyDescent="0.2">
      <c r="A57" s="179" t="s">
        <v>939</v>
      </c>
      <c r="B57" s="180" t="s">
        <v>940</v>
      </c>
      <c r="D57" s="198">
        <v>0.15</v>
      </c>
    </row>
    <row r="58" spans="1:4" x14ac:dyDescent="0.2">
      <c r="A58" s="179" t="s">
        <v>941</v>
      </c>
      <c r="D58" s="198">
        <v>0.15</v>
      </c>
    </row>
    <row r="59" spans="1:4" x14ac:dyDescent="0.2">
      <c r="D59" s="198">
        <v>0.15</v>
      </c>
    </row>
    <row r="60" spans="1:4" x14ac:dyDescent="0.2">
      <c r="D60" s="198">
        <v>0.15</v>
      </c>
    </row>
    <row r="61" spans="1:4" x14ac:dyDescent="0.2">
      <c r="D61" s="198">
        <v>0.15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6448-8ACF-4C9B-879A-58F99B494D44}">
  <sheetPr codeName="Sheet6">
    <pageSetUpPr fitToPage="1"/>
  </sheetPr>
  <dimension ref="B4:X41"/>
  <sheetViews>
    <sheetView zoomScaleNormal="100" workbookViewId="0">
      <selection activeCell="W20" sqref="W20"/>
    </sheetView>
  </sheetViews>
  <sheetFormatPr defaultColWidth="9" defaultRowHeight="14.25" x14ac:dyDescent="0.2"/>
  <cols>
    <col min="1" max="16384" width="9" style="176"/>
  </cols>
  <sheetData>
    <row r="4" spans="4:24" x14ac:dyDescent="0.2">
      <c r="D4" s="177"/>
    </row>
    <row r="7" spans="4:24" x14ac:dyDescent="0.2">
      <c r="X7" s="178"/>
    </row>
    <row r="41" spans="2:2" x14ac:dyDescent="0.2">
      <c r="B41" s="229"/>
    </row>
  </sheetData>
  <pageMargins left="0.7" right="0.7" top="0.75" bottom="0.75" header="0.3" footer="0.3"/>
  <pageSetup paperSize="17" fitToWidth="2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5937" r:id="rId4" name="bwmeetings">
          <controlPr defaultSize="0" autoLine="0" linkedCell="REFERENCE!P2" r:id="rId5">
            <anchor moveWithCells="1">
              <from>
                <xdr:col>6</xdr:col>
                <xdr:colOff>504825</xdr:colOff>
                <xdr:row>19</xdr:row>
                <xdr:rowOff>85725</xdr:rowOff>
              </from>
              <to>
                <xdr:col>7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5937" r:id="rId4" name="bwmeetings"/>
      </mc:Fallback>
    </mc:AlternateContent>
    <mc:AlternateContent xmlns:mc="http://schemas.openxmlformats.org/markup-compatibility/2006">
      <mc:Choice Requires="x14">
        <control shapeId="15935" r:id="rId6" name="ICTMR_ESD">
          <controlPr defaultSize="0" autoLine="0" r:id="rId7">
            <anchor moveWithCells="1">
              <from>
                <xdr:col>5</xdr:col>
                <xdr:colOff>409575</xdr:colOff>
                <xdr:row>29</xdr:row>
                <xdr:rowOff>142875</xdr:rowOff>
              </from>
              <to>
                <xdr:col>7</xdr:col>
                <xdr:colOff>57150</xdr:colOff>
                <xdr:row>31</xdr:row>
                <xdr:rowOff>38100</xdr:rowOff>
              </to>
            </anchor>
          </controlPr>
        </control>
      </mc:Choice>
      <mc:Fallback>
        <control shapeId="15935" r:id="rId6" name="ICTMR_ESD"/>
      </mc:Fallback>
    </mc:AlternateContent>
    <mc:AlternateContent xmlns:mc="http://schemas.openxmlformats.org/markup-compatibility/2006">
      <mc:Choice Requires="x14">
        <control shapeId="15934" r:id="rId8" name="ICTMR_Scada">
          <controlPr defaultSize="0" autoLine="0" r:id="rId9">
            <anchor moveWithCells="1">
              <from>
                <xdr:col>4</xdr:col>
                <xdr:colOff>9525</xdr:colOff>
                <xdr:row>33</xdr:row>
                <xdr:rowOff>104775</xdr:rowOff>
              </from>
              <to>
                <xdr:col>5</xdr:col>
                <xdr:colOff>342900</xdr:colOff>
                <xdr:row>35</xdr:row>
                <xdr:rowOff>9525</xdr:rowOff>
              </to>
            </anchor>
          </controlPr>
        </control>
      </mc:Choice>
      <mc:Fallback>
        <control shapeId="15934" r:id="rId8" name="ICTMR_Scada"/>
      </mc:Fallback>
    </mc:AlternateContent>
    <mc:AlternateContent xmlns:mc="http://schemas.openxmlformats.org/markup-compatibility/2006">
      <mc:Choice Requires="x14">
        <control shapeId="15933" r:id="rId10" name="ICTMR_PLC">
          <controlPr defaultSize="0" autoLine="0" r:id="rId11">
            <anchor moveWithCells="1">
              <from>
                <xdr:col>4</xdr:col>
                <xdr:colOff>9525</xdr:colOff>
                <xdr:row>31</xdr:row>
                <xdr:rowOff>123825</xdr:rowOff>
              </from>
              <to>
                <xdr:col>5</xdr:col>
                <xdr:colOff>352425</xdr:colOff>
                <xdr:row>33</xdr:row>
                <xdr:rowOff>28575</xdr:rowOff>
              </to>
            </anchor>
          </controlPr>
        </control>
      </mc:Choice>
      <mc:Fallback>
        <control shapeId="15933" r:id="rId10" name="ICTMR_PLC"/>
      </mc:Fallback>
    </mc:AlternateContent>
    <mc:AlternateContent xmlns:mc="http://schemas.openxmlformats.org/markup-compatibility/2006">
      <mc:Choice Requires="x14">
        <control shapeId="15932" r:id="rId12" name="ICTMR_DCS">
          <controlPr defaultSize="0" autoLine="0" r:id="rId13">
            <anchor moveWithCells="1">
              <from>
                <xdr:col>4</xdr:col>
                <xdr:colOff>9525</xdr:colOff>
                <xdr:row>29</xdr:row>
                <xdr:rowOff>142875</xdr:rowOff>
              </from>
              <to>
                <xdr:col>5</xdr:col>
                <xdr:colOff>342900</xdr:colOff>
                <xdr:row>31</xdr:row>
                <xdr:rowOff>38100</xdr:rowOff>
              </to>
            </anchor>
          </controlPr>
        </control>
      </mc:Choice>
      <mc:Fallback>
        <control shapeId="15932" r:id="rId12" name="ICTMR_DCS"/>
      </mc:Fallback>
    </mc:AlternateContent>
    <mc:AlternateContent xmlns:mc="http://schemas.openxmlformats.org/markup-compatibility/2006">
      <mc:Choice Requires="x14">
        <control shapeId="15803" r:id="rId14" name="ICTMR_Antennas">
          <controlPr defaultSize="0" autoLine="0" r:id="rId15">
            <anchor moveWithCells="1">
              <from>
                <xdr:col>2</xdr:col>
                <xdr:colOff>295275</xdr:colOff>
                <xdr:row>33</xdr:row>
                <xdr:rowOff>104775</xdr:rowOff>
              </from>
              <to>
                <xdr:col>3</xdr:col>
                <xdr:colOff>619125</xdr:colOff>
                <xdr:row>35</xdr:row>
                <xdr:rowOff>0</xdr:rowOff>
              </to>
            </anchor>
          </controlPr>
        </control>
      </mc:Choice>
      <mc:Fallback>
        <control shapeId="15931" r:id="rId14" name="ICTMR_Antennas"/>
      </mc:Fallback>
    </mc:AlternateContent>
    <mc:AlternateContent xmlns:mc="http://schemas.openxmlformats.org/markup-compatibility/2006">
      <mc:Choice Requires="x14">
        <control shapeId="15930" r:id="rId16" name="ICTMR_Computers">
          <controlPr defaultSize="0" autoLine="0" r:id="rId17">
            <anchor moveWithCells="1">
              <from>
                <xdr:col>2</xdr:col>
                <xdr:colOff>295275</xdr:colOff>
                <xdr:row>31</xdr:row>
                <xdr:rowOff>123825</xdr:rowOff>
              </from>
              <to>
                <xdr:col>3</xdr:col>
                <xdr:colOff>628650</xdr:colOff>
                <xdr:row>33</xdr:row>
                <xdr:rowOff>19050</xdr:rowOff>
              </to>
            </anchor>
          </controlPr>
        </control>
      </mc:Choice>
      <mc:Fallback>
        <control shapeId="15930" r:id="rId16" name="ICTMR_Computers"/>
      </mc:Fallback>
    </mc:AlternateContent>
    <mc:AlternateContent xmlns:mc="http://schemas.openxmlformats.org/markup-compatibility/2006">
      <mc:Choice Requires="x14">
        <control shapeId="15929" r:id="rId18" name="ICTMR_HMI">
          <controlPr defaultSize="0" autoLine="0" r:id="rId19">
            <anchor moveWithCells="1">
              <from>
                <xdr:col>2</xdr:col>
                <xdr:colOff>295275</xdr:colOff>
                <xdr:row>29</xdr:row>
                <xdr:rowOff>142875</xdr:rowOff>
              </from>
              <to>
                <xdr:col>3</xdr:col>
                <xdr:colOff>619125</xdr:colOff>
                <xdr:row>31</xdr:row>
                <xdr:rowOff>38100</xdr:rowOff>
              </to>
            </anchor>
          </controlPr>
        </control>
      </mc:Choice>
      <mc:Fallback>
        <control shapeId="15929" r:id="rId18" name="ICTMR_HMI"/>
      </mc:Fallback>
    </mc:AlternateContent>
    <mc:AlternateContent xmlns:mc="http://schemas.openxmlformats.org/markup-compatibility/2006">
      <mc:Choice Requires="x14">
        <control shapeId="15928" r:id="rId20" name="ICTMR_Testing">
          <controlPr defaultSize="0" autoLine="0" r:id="rId21">
            <anchor moveWithCells="1">
              <from>
                <xdr:col>0</xdr:col>
                <xdr:colOff>581025</xdr:colOff>
                <xdr:row>33</xdr:row>
                <xdr:rowOff>104775</xdr:rowOff>
              </from>
              <to>
                <xdr:col>2</xdr:col>
                <xdr:colOff>219075</xdr:colOff>
                <xdr:row>35</xdr:row>
                <xdr:rowOff>9525</xdr:rowOff>
              </to>
            </anchor>
          </controlPr>
        </control>
      </mc:Choice>
      <mc:Fallback>
        <control shapeId="15928" r:id="rId20" name="ICTMR_Testing"/>
      </mc:Fallback>
    </mc:AlternateContent>
    <mc:AlternateContent xmlns:mc="http://schemas.openxmlformats.org/markup-compatibility/2006">
      <mc:Choice Requires="x14">
        <control shapeId="15927" r:id="rId22" name="ICTMR_Detection">
          <controlPr defaultSize="0" autoLine="0" r:id="rId23">
            <anchor moveWithCells="1">
              <from>
                <xdr:col>0</xdr:col>
                <xdr:colOff>581025</xdr:colOff>
                <xdr:row>31</xdr:row>
                <xdr:rowOff>123825</xdr:rowOff>
              </from>
              <to>
                <xdr:col>2</xdr:col>
                <xdr:colOff>219075</xdr:colOff>
                <xdr:row>33</xdr:row>
                <xdr:rowOff>19050</xdr:rowOff>
              </to>
            </anchor>
          </controlPr>
        </control>
      </mc:Choice>
      <mc:Fallback>
        <control shapeId="15927" r:id="rId22" name="ICTMR_Detection"/>
      </mc:Fallback>
    </mc:AlternateContent>
    <mc:AlternateContent xmlns:mc="http://schemas.openxmlformats.org/markup-compatibility/2006">
      <mc:Choice Requires="x14">
        <control shapeId="15926" r:id="rId24" name="ICTMR_Comm">
          <controlPr defaultSize="0" autoLine="0" r:id="rId25">
            <anchor moveWithCells="1">
              <from>
                <xdr:col>0</xdr:col>
                <xdr:colOff>581025</xdr:colOff>
                <xdr:row>29</xdr:row>
                <xdr:rowOff>142875</xdr:rowOff>
              </from>
              <to>
                <xdr:col>2</xdr:col>
                <xdr:colOff>219075</xdr:colOff>
                <xdr:row>31</xdr:row>
                <xdr:rowOff>38100</xdr:rowOff>
              </to>
            </anchor>
          </controlPr>
        </control>
      </mc:Choice>
      <mc:Fallback>
        <control shapeId="15926" r:id="rId24" name="ICTMR_Comm"/>
      </mc:Fallback>
    </mc:AlternateContent>
    <mc:AlternateContent xmlns:mc="http://schemas.openxmlformats.org/markup-compatibility/2006">
      <mc:Choice Requires="x14">
        <control shapeId="15802" r:id="rId26" name="EMR_Substations">
          <controlPr defaultSize="0" autoLine="0" r:id="rId27">
            <anchor moveWithCells="1">
              <from>
                <xdr:col>5</xdr:col>
                <xdr:colOff>409575</xdr:colOff>
                <xdr:row>24</xdr:row>
                <xdr:rowOff>161925</xdr:rowOff>
              </from>
              <to>
                <xdr:col>7</xdr:col>
                <xdr:colOff>47625</xdr:colOff>
                <xdr:row>26</xdr:row>
                <xdr:rowOff>57150</xdr:rowOff>
              </to>
            </anchor>
          </controlPr>
        </control>
      </mc:Choice>
      <mc:Fallback>
        <control shapeId="15925" r:id="rId26" name="EMR_Substations"/>
      </mc:Fallback>
    </mc:AlternateContent>
    <mc:AlternateContent xmlns:mc="http://schemas.openxmlformats.org/markup-compatibility/2006">
      <mc:Choice Requires="x14">
        <control shapeId="15924" r:id="rId28" name="EMR_Grounding">
          <controlPr defaultSize="0" autoLine="0" r:id="rId29">
            <anchor moveWithCells="1">
              <from>
                <xdr:col>5</xdr:col>
                <xdr:colOff>409575</xdr:colOff>
                <xdr:row>23</xdr:row>
                <xdr:rowOff>0</xdr:rowOff>
              </from>
              <to>
                <xdr:col>7</xdr:col>
                <xdr:colOff>57150</xdr:colOff>
                <xdr:row>24</xdr:row>
                <xdr:rowOff>85725</xdr:rowOff>
              </to>
            </anchor>
          </controlPr>
        </control>
      </mc:Choice>
      <mc:Fallback>
        <control shapeId="15924" r:id="rId28" name="EMR_Grounding"/>
      </mc:Fallback>
    </mc:AlternateContent>
    <mc:AlternateContent xmlns:mc="http://schemas.openxmlformats.org/markup-compatibility/2006">
      <mc:Choice Requires="x14">
        <control shapeId="15801" r:id="rId30" name="EMR_Lighting">
          <controlPr defaultSize="0" autoLine="0" r:id="rId31">
            <anchor moveWithCells="1">
              <from>
                <xdr:col>5</xdr:col>
                <xdr:colOff>409575</xdr:colOff>
                <xdr:row>21</xdr:row>
                <xdr:rowOff>9525</xdr:rowOff>
              </from>
              <to>
                <xdr:col>7</xdr:col>
                <xdr:colOff>47625</xdr:colOff>
                <xdr:row>22</xdr:row>
                <xdr:rowOff>95250</xdr:rowOff>
              </to>
            </anchor>
          </controlPr>
        </control>
      </mc:Choice>
      <mc:Fallback>
        <control shapeId="15923" r:id="rId30" name="EMR_Lighting"/>
      </mc:Fallback>
    </mc:AlternateContent>
    <mc:AlternateContent xmlns:mc="http://schemas.openxmlformats.org/markup-compatibility/2006">
      <mc:Choice Requires="x14">
        <control shapeId="15922" r:id="rId32" name="EMR_Wire">
          <controlPr defaultSize="0" autoLine="0" r:id="rId33">
            <anchor moveWithCells="1">
              <from>
                <xdr:col>4</xdr:col>
                <xdr:colOff>9525</xdr:colOff>
                <xdr:row>24</xdr:row>
                <xdr:rowOff>161925</xdr:rowOff>
              </from>
              <to>
                <xdr:col>5</xdr:col>
                <xdr:colOff>342900</xdr:colOff>
                <xdr:row>26</xdr:row>
                <xdr:rowOff>57150</xdr:rowOff>
              </to>
            </anchor>
          </controlPr>
        </control>
      </mc:Choice>
      <mc:Fallback>
        <control shapeId="15922" r:id="rId32" name="EMR_Wire"/>
      </mc:Fallback>
    </mc:AlternateContent>
    <mc:AlternateContent xmlns:mc="http://schemas.openxmlformats.org/markup-compatibility/2006">
      <mc:Choice Requires="x14">
        <control shapeId="15797" r:id="rId34" name="EMR_Switchboard">
          <controlPr defaultSize="0" autoLine="0" r:id="rId35">
            <anchor moveWithCells="1">
              <from>
                <xdr:col>4</xdr:col>
                <xdr:colOff>9525</xdr:colOff>
                <xdr:row>23</xdr:row>
                <xdr:rowOff>0</xdr:rowOff>
              </from>
              <to>
                <xdr:col>5</xdr:col>
                <xdr:colOff>352425</xdr:colOff>
                <xdr:row>24</xdr:row>
                <xdr:rowOff>76200</xdr:rowOff>
              </to>
            </anchor>
          </controlPr>
        </control>
      </mc:Choice>
      <mc:Fallback>
        <control shapeId="15921" r:id="rId34" name="EMR_Switchboard"/>
      </mc:Fallback>
    </mc:AlternateContent>
    <mc:AlternateContent xmlns:mc="http://schemas.openxmlformats.org/markup-compatibility/2006">
      <mc:Choice Requires="x14">
        <control shapeId="15920" r:id="rId36" name="EMR_MCC">
          <controlPr defaultSize="0" autoLine="0" r:id="rId37">
            <anchor moveWithCells="1">
              <from>
                <xdr:col>4</xdr:col>
                <xdr:colOff>9525</xdr:colOff>
                <xdr:row>21</xdr:row>
                <xdr:rowOff>9525</xdr:rowOff>
              </from>
              <to>
                <xdr:col>5</xdr:col>
                <xdr:colOff>342900</xdr:colOff>
                <xdr:row>22</xdr:row>
                <xdr:rowOff>95250</xdr:rowOff>
              </to>
            </anchor>
          </controlPr>
        </control>
      </mc:Choice>
      <mc:Fallback>
        <control shapeId="15920" r:id="rId36" name="EMR_MCC"/>
      </mc:Fallback>
    </mc:AlternateContent>
    <mc:AlternateContent xmlns:mc="http://schemas.openxmlformats.org/markup-compatibility/2006">
      <mc:Choice Requires="x14">
        <control shapeId="15919" r:id="rId38" name="EMR_UPS">
          <controlPr defaultSize="0" autoLine="0" r:id="rId39">
            <anchor moveWithCells="1">
              <from>
                <xdr:col>2</xdr:col>
                <xdr:colOff>295275</xdr:colOff>
                <xdr:row>24</xdr:row>
                <xdr:rowOff>161925</xdr:rowOff>
              </from>
              <to>
                <xdr:col>3</xdr:col>
                <xdr:colOff>619125</xdr:colOff>
                <xdr:row>26</xdr:row>
                <xdr:rowOff>57150</xdr:rowOff>
              </to>
            </anchor>
          </controlPr>
        </control>
      </mc:Choice>
      <mc:Fallback>
        <control shapeId="15919" r:id="rId38" name="EMR_UPS"/>
      </mc:Fallback>
    </mc:AlternateContent>
    <mc:AlternateContent xmlns:mc="http://schemas.openxmlformats.org/markup-compatibility/2006">
      <mc:Choice Requires="x14">
        <control shapeId="15918" r:id="rId40" name="EMR_ControlPanel">
          <controlPr defaultSize="0" autoLine="0" r:id="rId41">
            <anchor moveWithCells="1">
              <from>
                <xdr:col>2</xdr:col>
                <xdr:colOff>295275</xdr:colOff>
                <xdr:row>23</xdr:row>
                <xdr:rowOff>0</xdr:rowOff>
              </from>
              <to>
                <xdr:col>3</xdr:col>
                <xdr:colOff>628650</xdr:colOff>
                <xdr:row>24</xdr:row>
                <xdr:rowOff>76200</xdr:rowOff>
              </to>
            </anchor>
          </controlPr>
        </control>
      </mc:Choice>
      <mc:Fallback>
        <control shapeId="15918" r:id="rId40" name="EMR_ControlPanel"/>
      </mc:Fallback>
    </mc:AlternateContent>
    <mc:AlternateContent xmlns:mc="http://schemas.openxmlformats.org/markup-compatibility/2006">
      <mc:Choice Requires="x14">
        <control shapeId="15917" r:id="rId42" name="EMR_Device">
          <controlPr defaultSize="0" autoLine="0" r:id="rId43">
            <anchor moveWithCells="1">
              <from>
                <xdr:col>2</xdr:col>
                <xdr:colOff>295275</xdr:colOff>
                <xdr:row>21</xdr:row>
                <xdr:rowOff>9525</xdr:rowOff>
              </from>
              <to>
                <xdr:col>3</xdr:col>
                <xdr:colOff>619125</xdr:colOff>
                <xdr:row>22</xdr:row>
                <xdr:rowOff>95250</xdr:rowOff>
              </to>
            </anchor>
          </controlPr>
        </control>
      </mc:Choice>
      <mc:Fallback>
        <control shapeId="15917" r:id="rId42" name="EMR_Device"/>
      </mc:Fallback>
    </mc:AlternateContent>
    <mc:AlternateContent xmlns:mc="http://schemas.openxmlformats.org/markup-compatibility/2006">
      <mc:Choice Requires="x14">
        <control shapeId="15916" r:id="rId44" name="EMR_Panel">
          <controlPr defaultSize="0" autoLine="0" r:id="rId45">
            <anchor moveWithCells="1">
              <from>
                <xdr:col>0</xdr:col>
                <xdr:colOff>581025</xdr:colOff>
                <xdr:row>24</xdr:row>
                <xdr:rowOff>161925</xdr:rowOff>
              </from>
              <to>
                <xdr:col>2</xdr:col>
                <xdr:colOff>219075</xdr:colOff>
                <xdr:row>26</xdr:row>
                <xdr:rowOff>57150</xdr:rowOff>
              </to>
            </anchor>
          </controlPr>
        </control>
      </mc:Choice>
      <mc:Fallback>
        <control shapeId="15916" r:id="rId44" name="EMR_Panel"/>
      </mc:Fallback>
    </mc:AlternateContent>
    <mc:AlternateContent xmlns:mc="http://schemas.openxmlformats.org/markup-compatibility/2006">
      <mc:Choice Requires="x14">
        <control shapeId="15915" r:id="rId46" name="EMR_Transformer">
          <controlPr defaultSize="0" autoLine="0" r:id="rId47">
            <anchor moveWithCells="1">
              <from>
                <xdr:col>0</xdr:col>
                <xdr:colOff>581025</xdr:colOff>
                <xdr:row>23</xdr:row>
                <xdr:rowOff>0</xdr:rowOff>
              </from>
              <to>
                <xdr:col>2</xdr:col>
                <xdr:colOff>219075</xdr:colOff>
                <xdr:row>24</xdr:row>
                <xdr:rowOff>76200</xdr:rowOff>
              </to>
            </anchor>
          </controlPr>
        </control>
      </mc:Choice>
      <mc:Fallback>
        <control shapeId="15915" r:id="rId46" name="EMR_Transformer"/>
      </mc:Fallback>
    </mc:AlternateContent>
    <mc:AlternateContent xmlns:mc="http://schemas.openxmlformats.org/markup-compatibility/2006">
      <mc:Choice Requires="x14">
        <control shapeId="15914" r:id="rId48" name="EMR_Conduit">
          <controlPr defaultSize="0" autoLine="0" r:id="rId49">
            <anchor moveWithCells="1">
              <from>
                <xdr:col>0</xdr:col>
                <xdr:colOff>581025</xdr:colOff>
                <xdr:row>21</xdr:row>
                <xdr:rowOff>9525</xdr:rowOff>
              </from>
              <to>
                <xdr:col>2</xdr:col>
                <xdr:colOff>219075</xdr:colOff>
                <xdr:row>22</xdr:row>
                <xdr:rowOff>95250</xdr:rowOff>
              </to>
            </anchor>
          </controlPr>
        </control>
      </mc:Choice>
      <mc:Fallback>
        <control shapeId="15914" r:id="rId48" name="EMR_Conduit"/>
      </mc:Fallback>
    </mc:AlternateContent>
    <mc:AlternateContent xmlns:mc="http://schemas.openxmlformats.org/markup-compatibility/2006">
      <mc:Choice Requires="x14">
        <control shapeId="15912" r:id="rId50" name="MRR_Spec">
          <controlPr defaultSize="0" autoLine="0" r:id="rId51">
            <anchor moveWithCells="1">
              <from>
                <xdr:col>5</xdr:col>
                <xdr:colOff>409575</xdr:colOff>
                <xdr:row>14</xdr:row>
                <xdr:rowOff>66675</xdr:rowOff>
              </from>
              <to>
                <xdr:col>7</xdr:col>
                <xdr:colOff>57150</xdr:colOff>
                <xdr:row>15</xdr:row>
                <xdr:rowOff>161925</xdr:rowOff>
              </to>
            </anchor>
          </controlPr>
        </control>
      </mc:Choice>
      <mc:Fallback>
        <control shapeId="15912" r:id="rId50" name="MRR_Spec"/>
      </mc:Fallback>
    </mc:AlternateContent>
    <mc:AlternateContent xmlns:mc="http://schemas.openxmlformats.org/markup-compatibility/2006">
      <mc:Choice Requires="x14">
        <control shapeId="15911" r:id="rId52" name="MR_Pipe">
          <controlPr defaultSize="0" autoLine="0" r:id="rId53">
            <anchor moveWithCells="1">
              <from>
                <xdr:col>5</xdr:col>
                <xdr:colOff>409575</xdr:colOff>
                <xdr:row>12</xdr:row>
                <xdr:rowOff>85725</xdr:rowOff>
              </from>
              <to>
                <xdr:col>7</xdr:col>
                <xdr:colOff>47625</xdr:colOff>
                <xdr:row>13</xdr:row>
                <xdr:rowOff>161925</xdr:rowOff>
              </to>
            </anchor>
          </controlPr>
        </control>
      </mc:Choice>
      <mc:Fallback>
        <control shapeId="15911" r:id="rId52" name="MR_Pipe"/>
      </mc:Fallback>
    </mc:AlternateContent>
    <mc:AlternateContent xmlns:mc="http://schemas.openxmlformats.org/markup-compatibility/2006">
      <mc:Choice Requires="x14">
        <control shapeId="15910" r:id="rId54" name="MMR_Packaged">
          <controlPr defaultSize="0" autoLine="0" r:id="rId55">
            <anchor moveWithCells="1">
              <from>
                <xdr:col>4</xdr:col>
                <xdr:colOff>9525</xdr:colOff>
                <xdr:row>16</xdr:row>
                <xdr:rowOff>47625</xdr:rowOff>
              </from>
              <to>
                <xdr:col>5</xdr:col>
                <xdr:colOff>333375</xdr:colOff>
                <xdr:row>17</xdr:row>
                <xdr:rowOff>133350</xdr:rowOff>
              </to>
            </anchor>
          </controlPr>
        </control>
      </mc:Choice>
      <mc:Fallback>
        <control shapeId="15910" r:id="rId54" name="MMR_Packaged"/>
      </mc:Fallback>
    </mc:AlternateContent>
    <mc:AlternateContent xmlns:mc="http://schemas.openxmlformats.org/markup-compatibility/2006">
      <mc:Choice Requires="x14">
        <control shapeId="15909" r:id="rId56" name="MMR_Pump">
          <controlPr defaultSize="0" autoLine="0" r:id="rId57">
            <anchor moveWithCells="1">
              <from>
                <xdr:col>4</xdr:col>
                <xdr:colOff>9525</xdr:colOff>
                <xdr:row>14</xdr:row>
                <xdr:rowOff>66675</xdr:rowOff>
              </from>
              <to>
                <xdr:col>5</xdr:col>
                <xdr:colOff>342900</xdr:colOff>
                <xdr:row>15</xdr:row>
                <xdr:rowOff>152400</xdr:rowOff>
              </to>
            </anchor>
          </controlPr>
        </control>
      </mc:Choice>
      <mc:Fallback>
        <control shapeId="15909" r:id="rId56" name="MMR_Pump"/>
      </mc:Fallback>
    </mc:AlternateContent>
    <mc:AlternateContent xmlns:mc="http://schemas.openxmlformats.org/markup-compatibility/2006">
      <mc:Choice Requires="x14">
        <control shapeId="15908" r:id="rId58" name="MMR_HVAC">
          <controlPr defaultSize="0" autoLine="0" r:id="rId59">
            <anchor moveWithCells="1">
              <from>
                <xdr:col>4</xdr:col>
                <xdr:colOff>9525</xdr:colOff>
                <xdr:row>12</xdr:row>
                <xdr:rowOff>85725</xdr:rowOff>
              </from>
              <to>
                <xdr:col>5</xdr:col>
                <xdr:colOff>333375</xdr:colOff>
                <xdr:row>13</xdr:row>
                <xdr:rowOff>161925</xdr:rowOff>
              </to>
            </anchor>
          </controlPr>
        </control>
      </mc:Choice>
      <mc:Fallback>
        <control shapeId="15908" r:id="rId58" name="MMR_HVAC"/>
      </mc:Fallback>
    </mc:AlternateContent>
    <mc:AlternateContent xmlns:mc="http://schemas.openxmlformats.org/markup-compatibility/2006">
      <mc:Choice Requires="x14">
        <control shapeId="15907" r:id="rId60" name="MMR_Compressor">
          <controlPr defaultSize="0" autoLine="0" r:id="rId61">
            <anchor moveWithCells="1">
              <from>
                <xdr:col>2</xdr:col>
                <xdr:colOff>295275</xdr:colOff>
                <xdr:row>16</xdr:row>
                <xdr:rowOff>47625</xdr:rowOff>
              </from>
              <to>
                <xdr:col>3</xdr:col>
                <xdr:colOff>619125</xdr:colOff>
                <xdr:row>17</xdr:row>
                <xdr:rowOff>123825</xdr:rowOff>
              </to>
            </anchor>
          </controlPr>
        </control>
      </mc:Choice>
      <mc:Fallback>
        <control shapeId="15907" r:id="rId60" name="MMR_Compressor"/>
      </mc:Fallback>
    </mc:AlternateContent>
    <mc:AlternateContent xmlns:mc="http://schemas.openxmlformats.org/markup-compatibility/2006">
      <mc:Choice Requires="x14">
        <control shapeId="15906" r:id="rId62" name="MMR_Boiler">
          <controlPr defaultSize="0" autoLine="0" r:id="rId63">
            <anchor moveWithCells="1">
              <from>
                <xdr:col>2</xdr:col>
                <xdr:colOff>295275</xdr:colOff>
                <xdr:row>14</xdr:row>
                <xdr:rowOff>66675</xdr:rowOff>
              </from>
              <to>
                <xdr:col>3</xdr:col>
                <xdr:colOff>619125</xdr:colOff>
                <xdr:row>15</xdr:row>
                <xdr:rowOff>142875</xdr:rowOff>
              </to>
            </anchor>
          </controlPr>
        </control>
      </mc:Choice>
      <mc:Fallback>
        <control shapeId="15906" r:id="rId62" name="MMR_Boiler"/>
      </mc:Fallback>
    </mc:AlternateContent>
    <mc:AlternateContent xmlns:mc="http://schemas.openxmlformats.org/markup-compatibility/2006">
      <mc:Choice Requires="x14">
        <control shapeId="15905" r:id="rId64" name="MMR_Exchanger">
          <controlPr defaultSize="0" autoLine="0" r:id="rId65">
            <anchor moveWithCells="1">
              <from>
                <xdr:col>2</xdr:col>
                <xdr:colOff>295275</xdr:colOff>
                <xdr:row>12</xdr:row>
                <xdr:rowOff>85725</xdr:rowOff>
              </from>
              <to>
                <xdr:col>3</xdr:col>
                <xdr:colOff>619125</xdr:colOff>
                <xdr:row>13</xdr:row>
                <xdr:rowOff>161925</xdr:rowOff>
              </to>
            </anchor>
          </controlPr>
        </control>
      </mc:Choice>
      <mc:Fallback>
        <control shapeId="15905" r:id="rId64" name="MMR_Exchanger"/>
      </mc:Fallback>
    </mc:AlternateContent>
    <mc:AlternateContent xmlns:mc="http://schemas.openxmlformats.org/markup-compatibility/2006">
      <mc:Choice Requires="x14">
        <control shapeId="15904" r:id="rId66" name="MMR_Tank">
          <controlPr defaultSize="0" autoLine="0" r:id="rId67">
            <anchor moveWithCells="1">
              <from>
                <xdr:col>0</xdr:col>
                <xdr:colOff>581025</xdr:colOff>
                <xdr:row>16</xdr:row>
                <xdr:rowOff>47625</xdr:rowOff>
              </from>
              <to>
                <xdr:col>2</xdr:col>
                <xdr:colOff>219075</xdr:colOff>
                <xdr:row>17</xdr:row>
                <xdr:rowOff>133350</xdr:rowOff>
              </to>
            </anchor>
          </controlPr>
        </control>
      </mc:Choice>
      <mc:Fallback>
        <control shapeId="15904" r:id="rId66" name="MMR_Tank"/>
      </mc:Fallback>
    </mc:AlternateContent>
    <mc:AlternateContent xmlns:mc="http://schemas.openxmlformats.org/markup-compatibility/2006">
      <mc:Choice Requires="x14">
        <control shapeId="15903" r:id="rId68" name="MMR_Column">
          <controlPr defaultSize="0" autoLine="0" r:id="rId69">
            <anchor moveWithCells="1">
              <from>
                <xdr:col>0</xdr:col>
                <xdr:colOff>581025</xdr:colOff>
                <xdr:row>14</xdr:row>
                <xdr:rowOff>66675</xdr:rowOff>
              </from>
              <to>
                <xdr:col>2</xdr:col>
                <xdr:colOff>219075</xdr:colOff>
                <xdr:row>15</xdr:row>
                <xdr:rowOff>142875</xdr:rowOff>
              </to>
            </anchor>
          </controlPr>
        </control>
      </mc:Choice>
      <mc:Fallback>
        <control shapeId="15903" r:id="rId68" name="MMR_Column"/>
      </mc:Fallback>
    </mc:AlternateContent>
    <mc:AlternateContent xmlns:mc="http://schemas.openxmlformats.org/markup-compatibility/2006">
      <mc:Choice Requires="x14">
        <control shapeId="15902" r:id="rId70" name="MMR_Vessel">
          <controlPr defaultSize="0" autoLine="0" r:id="rId71">
            <anchor moveWithCells="1">
              <from>
                <xdr:col>0</xdr:col>
                <xdr:colOff>581025</xdr:colOff>
                <xdr:row>12</xdr:row>
                <xdr:rowOff>85725</xdr:rowOff>
              </from>
              <to>
                <xdr:col>2</xdr:col>
                <xdr:colOff>219075</xdr:colOff>
                <xdr:row>13</xdr:row>
                <xdr:rowOff>161925</xdr:rowOff>
              </to>
            </anchor>
          </controlPr>
        </control>
      </mc:Choice>
      <mc:Fallback>
        <control shapeId="15902" r:id="rId70" name="MMR_Vessel"/>
      </mc:Fallback>
    </mc:AlternateContent>
    <mc:AlternateContent xmlns:mc="http://schemas.openxmlformats.org/markup-compatibility/2006">
      <mc:Choice Requires="x14">
        <control shapeId="15881" r:id="rId72" name="Future2">
          <controlPr defaultSize="0" autoLine="0" r:id="rId73">
            <anchor moveWithCells="1">
              <from>
                <xdr:col>5</xdr:col>
                <xdr:colOff>371475</xdr:colOff>
                <xdr:row>7</xdr:row>
                <xdr:rowOff>85725</xdr:rowOff>
              </from>
              <to>
                <xdr:col>7</xdr:col>
                <xdr:colOff>95250</xdr:colOff>
                <xdr:row>10</xdr:row>
                <xdr:rowOff>9525</xdr:rowOff>
              </to>
            </anchor>
          </controlPr>
        </control>
      </mc:Choice>
      <mc:Fallback>
        <control shapeId="15881" r:id="rId72" name="Future2"/>
      </mc:Fallback>
    </mc:AlternateContent>
    <mc:AlternateContent xmlns:mc="http://schemas.openxmlformats.org/markup-compatibility/2006">
      <mc:Choice Requires="x14">
        <control shapeId="15880" r:id="rId74" name="ExpensesButton">
          <controlPr defaultSize="0" autoLine="0" r:id="rId75">
            <anchor moveWithCells="1">
              <from>
                <xdr:col>3</xdr:col>
                <xdr:colOff>647700</xdr:colOff>
                <xdr:row>7</xdr:row>
                <xdr:rowOff>85725</xdr:rowOff>
              </from>
              <to>
                <xdr:col>5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15880" r:id="rId74" name="ExpensesButton"/>
      </mc:Fallback>
    </mc:AlternateContent>
    <mc:AlternateContent xmlns:mc="http://schemas.openxmlformats.org/markup-compatibility/2006">
      <mc:Choice Requires="x14">
        <control shapeId="15879" r:id="rId76" name="MRPackage">
          <controlPr defaultSize="0" autoLine="0" r:id="rId77">
            <anchor moveWithCells="1">
              <from>
                <xdr:col>2</xdr:col>
                <xdr:colOff>247650</xdr:colOff>
                <xdr:row>7</xdr:row>
                <xdr:rowOff>85725</xdr:rowOff>
              </from>
              <to>
                <xdr:col>3</xdr:col>
                <xdr:colOff>657225</xdr:colOff>
                <xdr:row>10</xdr:row>
                <xdr:rowOff>9525</xdr:rowOff>
              </to>
            </anchor>
          </controlPr>
        </control>
      </mc:Choice>
      <mc:Fallback>
        <control shapeId="15879" r:id="rId76" name="MRPackage"/>
      </mc:Fallback>
    </mc:AlternateContent>
    <mc:AlternateContent xmlns:mc="http://schemas.openxmlformats.org/markup-compatibility/2006">
      <mc:Choice Requires="x14">
        <control shapeId="15796" r:id="rId78" name="ProjectInfo">
          <controlPr defaultSize="0" autoLine="0" r:id="rId79">
            <anchor moveWithCells="1">
              <from>
                <xdr:col>0</xdr:col>
                <xdr:colOff>533400</xdr:colOff>
                <xdr:row>7</xdr:row>
                <xdr:rowOff>85725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15873" r:id="rId78" name="ProjectInfo"/>
      </mc:Fallback>
    </mc:AlternateContent>
    <mc:AlternateContent xmlns:mc="http://schemas.openxmlformats.org/markup-compatibility/2006">
      <mc:Choice Requires="x14">
        <control shapeId="15870" r:id="rId80" name="ComboBox4">
          <controlPr defaultSize="0" autoLine="0" listFillRange="REFERENCE!B2:B5" r:id="rId81">
            <anchor moveWithCells="1">
              <from>
                <xdr:col>2</xdr:col>
                <xdr:colOff>619125</xdr:colOff>
                <xdr:row>21</xdr:row>
                <xdr:rowOff>104775</xdr:rowOff>
              </from>
              <to>
                <xdr:col>7</xdr:col>
                <xdr:colOff>38100</xdr:colOff>
                <xdr:row>23</xdr:row>
                <xdr:rowOff>76200</xdr:rowOff>
              </to>
            </anchor>
          </controlPr>
        </control>
      </mc:Choice>
      <mc:Fallback>
        <control shapeId="15870" r:id="rId80" name="ComboBox4"/>
      </mc:Fallback>
    </mc:AlternateContent>
    <mc:AlternateContent xmlns:mc="http://schemas.openxmlformats.org/markup-compatibility/2006">
      <mc:Choice Requires="x14">
        <control shapeId="15869" r:id="rId82" name="ComboBox3">
          <controlPr defaultSize="0" autoLine="0" listFillRange="REFERENCE!E2:E4" r:id="rId83">
            <anchor moveWithCells="1">
              <from>
                <xdr:col>2</xdr:col>
                <xdr:colOff>619125</xdr:colOff>
                <xdr:row>35</xdr:row>
                <xdr:rowOff>0</xdr:rowOff>
              </from>
              <to>
                <xdr:col>7</xdr:col>
                <xdr:colOff>38100</xdr:colOff>
                <xdr:row>36</xdr:row>
                <xdr:rowOff>152400</xdr:rowOff>
              </to>
            </anchor>
          </controlPr>
        </control>
      </mc:Choice>
      <mc:Fallback>
        <control shapeId="15869" r:id="rId82" name="ComboBox3"/>
      </mc:Fallback>
    </mc:AlternateContent>
    <mc:AlternateContent xmlns:mc="http://schemas.openxmlformats.org/markup-compatibility/2006">
      <mc:Choice Requires="x14">
        <control shapeId="15793" r:id="rId84" name="TextBox15">
          <controlPr defaultSize="0" autoLine="0" r:id="rId85">
            <anchor moveWithCells="1">
              <from>
                <xdr:col>6</xdr:col>
                <xdr:colOff>247650</xdr:colOff>
                <xdr:row>26</xdr:row>
                <xdr:rowOff>28575</xdr:rowOff>
              </from>
              <to>
                <xdr:col>7</xdr:col>
                <xdr:colOff>47625</xdr:colOff>
                <xdr:row>27</xdr:row>
                <xdr:rowOff>152400</xdr:rowOff>
              </to>
            </anchor>
          </controlPr>
        </control>
      </mc:Choice>
      <mc:Fallback>
        <control shapeId="15867" r:id="rId84" name="TextBox15"/>
      </mc:Fallback>
    </mc:AlternateContent>
    <mc:AlternateContent xmlns:mc="http://schemas.openxmlformats.org/markup-compatibility/2006">
      <mc:Choice Requires="x14">
        <control shapeId="15792" r:id="rId86" name="ComboBox2">
          <controlPr defaultSize="0" autoLine="0" listFillRange="REFERENCE!D2:D6" r:id="rId87">
            <anchor moveWithCells="1">
              <from>
                <xdr:col>2</xdr:col>
                <xdr:colOff>619125</xdr:colOff>
                <xdr:row>32</xdr:row>
                <xdr:rowOff>133350</xdr:rowOff>
              </from>
              <to>
                <xdr:col>7</xdr:col>
                <xdr:colOff>38100</xdr:colOff>
                <xdr:row>34</xdr:row>
                <xdr:rowOff>104775</xdr:rowOff>
              </to>
            </anchor>
          </controlPr>
        </control>
      </mc:Choice>
      <mc:Fallback>
        <control shapeId="15865" r:id="rId86" name="ComboBox2"/>
      </mc:Fallback>
    </mc:AlternateContent>
    <mc:AlternateContent xmlns:mc="http://schemas.openxmlformats.org/markup-compatibility/2006">
      <mc:Choice Requires="x14">
        <control shapeId="15864" r:id="rId88" name="TextBox14">
          <controlPr defaultSize="0" autoLine="0" r:id="rId89">
            <anchor moveWithCells="1">
              <from>
                <xdr:col>6</xdr:col>
                <xdr:colOff>247650</xdr:colOff>
                <xdr:row>30</xdr:row>
                <xdr:rowOff>104775</xdr:rowOff>
              </from>
              <to>
                <xdr:col>7</xdr:col>
                <xdr:colOff>47625</xdr:colOff>
                <xdr:row>32</xdr:row>
                <xdr:rowOff>57150</xdr:rowOff>
              </to>
            </anchor>
          </controlPr>
        </control>
      </mc:Choice>
      <mc:Fallback>
        <control shapeId="15864" r:id="rId88" name="TextBox14"/>
      </mc:Fallback>
    </mc:AlternateContent>
    <mc:AlternateContent xmlns:mc="http://schemas.openxmlformats.org/markup-compatibility/2006">
      <mc:Choice Requires="x14">
        <control shapeId="15791" r:id="rId90" name="TextBox13">
          <controlPr defaultSize="0" autoLine="0" r:id="rId91">
            <anchor moveWithCells="1">
              <from>
                <xdr:col>2</xdr:col>
                <xdr:colOff>619125</xdr:colOff>
                <xdr:row>30</xdr:row>
                <xdr:rowOff>104775</xdr:rowOff>
              </from>
              <to>
                <xdr:col>3</xdr:col>
                <xdr:colOff>419100</xdr:colOff>
                <xdr:row>32</xdr:row>
                <xdr:rowOff>57150</xdr:rowOff>
              </to>
            </anchor>
          </controlPr>
        </control>
      </mc:Choice>
      <mc:Fallback>
        <control shapeId="15863" r:id="rId90" name="TextBox13"/>
      </mc:Fallback>
    </mc:AlternateContent>
    <mc:AlternateContent xmlns:mc="http://schemas.openxmlformats.org/markup-compatibility/2006">
      <mc:Choice Requires="x14">
        <control shapeId="15790" r:id="rId92" name="TextBox11">
          <controlPr defaultSize="0" autoLine="0" r:id="rId93">
            <anchor moveWithCells="1">
              <from>
                <xdr:col>6</xdr:col>
                <xdr:colOff>247650</xdr:colOff>
                <xdr:row>28</xdr:row>
                <xdr:rowOff>57150</xdr:rowOff>
              </from>
              <to>
                <xdr:col>7</xdr:col>
                <xdr:colOff>47625</xdr:colOff>
                <xdr:row>30</xdr:row>
                <xdr:rowOff>19050</xdr:rowOff>
              </to>
            </anchor>
          </controlPr>
        </control>
      </mc:Choice>
      <mc:Fallback>
        <control shapeId="15862" r:id="rId92" name="TextBox11"/>
      </mc:Fallback>
    </mc:AlternateContent>
    <mc:AlternateContent xmlns:mc="http://schemas.openxmlformats.org/markup-compatibility/2006">
      <mc:Choice Requires="x14">
        <control shapeId="15861" r:id="rId94" name="TextBox9">
          <controlPr defaultSize="0" autoLine="0" r:id="rId95">
            <anchor moveWithCells="1">
              <from>
                <xdr:col>2</xdr:col>
                <xdr:colOff>619125</xdr:colOff>
                <xdr:row>28</xdr:row>
                <xdr:rowOff>66675</xdr:rowOff>
              </from>
              <to>
                <xdr:col>3</xdr:col>
                <xdr:colOff>419100</xdr:colOff>
                <xdr:row>30</xdr:row>
                <xdr:rowOff>19050</xdr:rowOff>
              </to>
            </anchor>
          </controlPr>
        </control>
      </mc:Choice>
      <mc:Fallback>
        <control shapeId="15861" r:id="rId94" name="TextBox9"/>
      </mc:Fallback>
    </mc:AlternateContent>
    <mc:AlternateContent xmlns:mc="http://schemas.openxmlformats.org/markup-compatibility/2006">
      <mc:Choice Requires="x14">
        <control shapeId="15859" r:id="rId96" name="TextBox1">
          <controlPr defaultSize="0" autoLine="0" r:id="rId97">
            <anchor moveWithCells="1">
              <from>
                <xdr:col>2</xdr:col>
                <xdr:colOff>619125</xdr:colOff>
                <xdr:row>17</xdr:row>
                <xdr:rowOff>28575</xdr:rowOff>
              </from>
              <to>
                <xdr:col>3</xdr:col>
                <xdr:colOff>581025</xdr:colOff>
                <xdr:row>18</xdr:row>
                <xdr:rowOff>152400</xdr:rowOff>
              </to>
            </anchor>
          </controlPr>
        </control>
      </mc:Choice>
      <mc:Fallback>
        <control shapeId="15859" r:id="rId96" name="TextBox1"/>
      </mc:Fallback>
    </mc:AlternateContent>
    <mc:AlternateContent xmlns:mc="http://schemas.openxmlformats.org/markup-compatibility/2006">
      <mc:Choice Requires="x14">
        <control shapeId="15858" r:id="rId98" name="ComboBox1">
          <controlPr defaultSize="0" autoLine="0" listFillRange="REFERENCE!C2:C7" r:id="rId99">
            <anchor moveWithCells="1">
              <from>
                <xdr:col>2</xdr:col>
                <xdr:colOff>619125</xdr:colOff>
                <xdr:row>14</xdr:row>
                <xdr:rowOff>133350</xdr:rowOff>
              </from>
              <to>
                <xdr:col>7</xdr:col>
                <xdr:colOff>38100</xdr:colOff>
                <xdr:row>16</xdr:row>
                <xdr:rowOff>104775</xdr:rowOff>
              </to>
            </anchor>
          </controlPr>
        </control>
      </mc:Choice>
      <mc:Fallback>
        <control shapeId="15858" r:id="rId98" name="ComboBox1"/>
      </mc:Fallback>
    </mc:AlternateContent>
    <mc:AlternateContent xmlns:mc="http://schemas.openxmlformats.org/markup-compatibility/2006">
      <mc:Choice Requires="x14">
        <control shapeId="15850" r:id="rId100" name="TextBox12">
          <controlPr defaultSize="0" autoLine="0" r:id="rId101">
            <anchor moveWithCells="1">
              <from>
                <xdr:col>2</xdr:col>
                <xdr:colOff>619125</xdr:colOff>
                <xdr:row>26</xdr:row>
                <xdr:rowOff>28575</xdr:rowOff>
              </from>
              <to>
                <xdr:col>3</xdr:col>
                <xdr:colOff>419100</xdr:colOff>
                <xdr:row>27</xdr:row>
                <xdr:rowOff>152400</xdr:rowOff>
              </to>
            </anchor>
          </controlPr>
        </control>
      </mc:Choice>
      <mc:Fallback>
        <control shapeId="15850" r:id="rId100" name="TextBox12"/>
      </mc:Fallback>
    </mc:AlternateContent>
    <mc:AlternateContent xmlns:mc="http://schemas.openxmlformats.org/markup-compatibility/2006">
      <mc:Choice Requires="x14">
        <control shapeId="15848" r:id="rId102" name="TextBox10">
          <controlPr defaultSize="0" autoLine="0" r:id="rId103">
            <anchor moveWithCells="1">
              <from>
                <xdr:col>2</xdr:col>
                <xdr:colOff>619125</xdr:colOff>
                <xdr:row>23</xdr:row>
                <xdr:rowOff>161925</xdr:rowOff>
              </from>
              <to>
                <xdr:col>7</xdr:col>
                <xdr:colOff>47625</xdr:colOff>
                <xdr:row>25</xdr:row>
                <xdr:rowOff>104775</xdr:rowOff>
              </to>
            </anchor>
          </controlPr>
        </control>
      </mc:Choice>
      <mc:Fallback>
        <control shapeId="15848" r:id="rId102" name="TextBox10"/>
      </mc:Fallback>
    </mc:AlternateContent>
    <mc:AlternateContent xmlns:mc="http://schemas.openxmlformats.org/markup-compatibility/2006">
      <mc:Choice Requires="x14">
        <control shapeId="15845" r:id="rId104" name="TextBox7">
          <controlPr defaultSize="0" autoLine="0" linkedCell="REFERENCE!Q2" r:id="rId105">
            <anchor moveWithCells="1">
              <from>
                <xdr:col>6</xdr:col>
                <xdr:colOff>257175</xdr:colOff>
                <xdr:row>16</xdr:row>
                <xdr:rowOff>171450</xdr:rowOff>
              </from>
              <to>
                <xdr:col>7</xdr:col>
                <xdr:colOff>47625</xdr:colOff>
                <xdr:row>18</xdr:row>
                <xdr:rowOff>123825</xdr:rowOff>
              </to>
            </anchor>
          </controlPr>
        </control>
      </mc:Choice>
      <mc:Fallback>
        <control shapeId="15845" r:id="rId104" name="TextBox7"/>
      </mc:Fallback>
    </mc:AlternateContent>
    <mc:AlternateContent xmlns:mc="http://schemas.openxmlformats.org/markup-compatibility/2006">
      <mc:Choice Requires="x14">
        <control shapeId="15844" r:id="rId106" name="TextBox6">
          <controlPr defaultSize="0" autoLine="0" r:id="rId107">
            <anchor moveWithCells="1">
              <from>
                <xdr:col>2</xdr:col>
                <xdr:colOff>619125</xdr:colOff>
                <xdr:row>19</xdr:row>
                <xdr:rowOff>66675</xdr:rowOff>
              </from>
              <to>
                <xdr:col>4</xdr:col>
                <xdr:colOff>190500</xdr:colOff>
                <xdr:row>21</xdr:row>
                <xdr:rowOff>19050</xdr:rowOff>
              </to>
            </anchor>
          </controlPr>
        </control>
      </mc:Choice>
      <mc:Fallback>
        <control shapeId="15844" r:id="rId106" name="TextBox6"/>
      </mc:Fallback>
    </mc:AlternateContent>
    <mc:AlternateContent xmlns:mc="http://schemas.openxmlformats.org/markup-compatibility/2006">
      <mc:Choice Requires="x14">
        <control shapeId="15843" r:id="rId108" name="ProjectNameTextBox">
          <controlPr defaultSize="0" autoLine="0" linkedCell="'60 MTO'!B3" r:id="rId109">
            <anchor moveWithCells="1">
              <from>
                <xdr:col>2</xdr:col>
                <xdr:colOff>619125</xdr:colOff>
                <xdr:row>10</xdr:row>
                <xdr:rowOff>66675</xdr:rowOff>
              </from>
              <to>
                <xdr:col>7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15843" r:id="rId108" name="ProjectNameTextBox"/>
      </mc:Fallback>
    </mc:AlternateContent>
    <mc:AlternateContent xmlns:mc="http://schemas.openxmlformats.org/markup-compatibility/2006">
      <mc:Choice Requires="x14">
        <control shapeId="15841" r:id="rId110" name="TextBox3">
          <controlPr defaultSize="0" autoLine="0" r:id="rId111">
            <anchor moveWithCells="1">
              <from>
                <xdr:col>6</xdr:col>
                <xdr:colOff>85725</xdr:colOff>
                <xdr:row>12</xdr:row>
                <xdr:rowOff>114300</xdr:rowOff>
              </from>
              <to>
                <xdr:col>7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5841" r:id="rId110" name="TextBox3"/>
      </mc:Fallback>
    </mc:AlternateContent>
    <mc:AlternateContent xmlns:mc="http://schemas.openxmlformats.org/markup-compatibility/2006">
      <mc:Choice Requires="x14">
        <control shapeId="15840" r:id="rId112" name="TextBox2">
          <controlPr defaultSize="0" autoLine="0" r:id="rId113">
            <anchor moveWithCells="1">
              <from>
                <xdr:col>2</xdr:col>
                <xdr:colOff>619125</xdr:colOff>
                <xdr:row>12</xdr:row>
                <xdr:rowOff>114300</xdr:rowOff>
              </from>
              <to>
                <xdr:col>3</xdr:col>
                <xdr:colOff>581025</xdr:colOff>
                <xdr:row>14</xdr:row>
                <xdr:rowOff>57150</xdr:rowOff>
              </to>
            </anchor>
          </controlPr>
        </control>
      </mc:Choice>
      <mc:Fallback>
        <control shapeId="15840" r:id="rId112" name="TextBox2"/>
      </mc:Fallback>
    </mc:AlternateContent>
    <mc:AlternateContent xmlns:mc="http://schemas.openxmlformats.org/markup-compatibility/2006">
      <mc:Choice Requires="x14">
        <control shapeId="15800" r:id="rId114" name="SmartPlant">
          <controlPr defaultSize="0" autoLine="0" r:id="rId115">
            <anchor moveWithCells="1">
              <from>
                <xdr:col>9</xdr:col>
                <xdr:colOff>476250</xdr:colOff>
                <xdr:row>32</xdr:row>
                <xdr:rowOff>66675</xdr:rowOff>
              </from>
              <to>
                <xdr:col>10</xdr:col>
                <xdr:colOff>542925</xdr:colOff>
                <xdr:row>33</xdr:row>
                <xdr:rowOff>152400</xdr:rowOff>
              </to>
            </anchor>
          </controlPr>
        </control>
      </mc:Choice>
      <mc:Fallback>
        <control shapeId="15800" r:id="rId114" name="SmartPlant"/>
      </mc:Fallback>
    </mc:AlternateContent>
    <mc:AlternateContent xmlns:mc="http://schemas.openxmlformats.org/markup-compatibility/2006">
      <mc:Choice Requires="x14">
        <control shapeId="15799" r:id="rId116" name="UniSim">
          <controlPr defaultSize="0" autoLine="0" r:id="rId117">
            <anchor moveWithCells="1">
              <from>
                <xdr:col>13</xdr:col>
                <xdr:colOff>114300</xdr:colOff>
                <xdr:row>32</xdr:row>
                <xdr:rowOff>66675</xdr:rowOff>
              </from>
              <to>
                <xdr:col>14</xdr:col>
                <xdr:colOff>180975</xdr:colOff>
                <xdr:row>33</xdr:row>
                <xdr:rowOff>152400</xdr:rowOff>
              </to>
            </anchor>
          </controlPr>
        </control>
      </mc:Choice>
      <mc:Fallback>
        <control shapeId="15799" r:id="rId116" name="UniSim"/>
      </mc:Fallback>
    </mc:AlternateContent>
    <mc:AlternateContent xmlns:mc="http://schemas.openxmlformats.org/markup-compatibility/2006">
      <mc:Choice Requires="x14">
        <control shapeId="15798" r:id="rId118" name="PathLoss">
          <controlPr defaultSize="0" autoLine="0" r:id="rId119">
            <anchor moveWithCells="1">
              <from>
                <xdr:col>12</xdr:col>
                <xdr:colOff>9525</xdr:colOff>
                <xdr:row>32</xdr:row>
                <xdr:rowOff>66675</xdr:rowOff>
              </from>
              <to>
                <xdr:col>13</xdr:col>
                <xdr:colOff>66675</xdr:colOff>
                <xdr:row>33</xdr:row>
                <xdr:rowOff>152400</xdr:rowOff>
              </to>
            </anchor>
          </controlPr>
        </control>
      </mc:Choice>
      <mc:Fallback>
        <control shapeId="15798" r:id="rId118" name="PathLoss"/>
      </mc:Fallback>
    </mc:AlternateContent>
    <mc:AlternateContent xmlns:mc="http://schemas.openxmlformats.org/markup-compatibility/2006">
      <mc:Choice Requires="x14">
        <control shapeId="15795" r:id="rId120" name="TCA">
          <controlPr defaultSize="0" autoLine="0" r:id="rId121">
            <anchor moveWithCells="1">
              <from>
                <xdr:col>10</xdr:col>
                <xdr:colOff>581025</xdr:colOff>
                <xdr:row>32</xdr:row>
                <xdr:rowOff>66675</xdr:rowOff>
              </from>
              <to>
                <xdr:col>11</xdr:col>
                <xdr:colOff>647700</xdr:colOff>
                <xdr:row>33</xdr:row>
                <xdr:rowOff>152400</xdr:rowOff>
              </to>
            </anchor>
          </controlPr>
        </control>
      </mc:Choice>
      <mc:Fallback>
        <control shapeId="15795" r:id="rId120" name="TCA"/>
      </mc:Fallback>
    </mc:AlternateContent>
    <mc:AlternateContent xmlns:mc="http://schemas.openxmlformats.org/markup-compatibility/2006">
      <mc:Choice Requires="x14">
        <control shapeId="15794" r:id="rId122" name="ETAP">
          <controlPr defaultSize="0" autoLine="0" r:id="rId123">
            <anchor moveWithCells="1">
              <from>
                <xdr:col>8</xdr:col>
                <xdr:colOff>371475</xdr:colOff>
                <xdr:row>32</xdr:row>
                <xdr:rowOff>66675</xdr:rowOff>
              </from>
              <to>
                <xdr:col>9</xdr:col>
                <xdr:colOff>438150</xdr:colOff>
                <xdr:row>33</xdr:row>
                <xdr:rowOff>152400</xdr:rowOff>
              </to>
            </anchor>
          </controlPr>
        </control>
      </mc:Choice>
      <mc:Fallback>
        <control shapeId="15794" r:id="rId122" name="ETAP"/>
      </mc:Fallback>
    </mc:AlternateContent>
    <mc:AlternateContent xmlns:mc="http://schemas.openxmlformats.org/markup-compatibility/2006">
      <mc:Choice Requires="x14">
        <control shapeId="15765" r:id="rId124" name="CON_TRN">
          <controlPr defaultSize="0" autoLine="0" r:id="rId125">
            <anchor moveWithCells="1">
              <from>
                <xdr:col>15</xdr:col>
                <xdr:colOff>571500</xdr:colOff>
                <xdr:row>35</xdr:row>
                <xdr:rowOff>38100</xdr:rowOff>
              </from>
              <to>
                <xdr:col>16</xdr:col>
                <xdr:colOff>400050</xdr:colOff>
                <xdr:row>36</xdr:row>
                <xdr:rowOff>123825</xdr:rowOff>
              </to>
            </anchor>
          </controlPr>
        </control>
      </mc:Choice>
      <mc:Fallback>
        <control shapeId="15765" r:id="rId124" name="CON_TRN"/>
      </mc:Fallback>
    </mc:AlternateContent>
    <mc:AlternateContent xmlns:mc="http://schemas.openxmlformats.org/markup-compatibility/2006">
      <mc:Choice Requires="x14">
        <control shapeId="15762" r:id="rId126" name="CON_LD">
          <controlPr defaultSize="0" autoLine="0" r:id="rId127">
            <anchor moveWithCells="1">
              <from>
                <xdr:col>19</xdr:col>
                <xdr:colOff>95250</xdr:colOff>
                <xdr:row>35</xdr:row>
                <xdr:rowOff>38100</xdr:rowOff>
              </from>
              <to>
                <xdr:col>19</xdr:col>
                <xdr:colOff>609600</xdr:colOff>
                <xdr:row>36</xdr:row>
                <xdr:rowOff>123825</xdr:rowOff>
              </to>
            </anchor>
          </controlPr>
        </control>
      </mc:Choice>
      <mc:Fallback>
        <control shapeId="15762" r:id="rId126" name="CON_LD"/>
      </mc:Fallback>
    </mc:AlternateContent>
    <mc:AlternateContent xmlns:mc="http://schemas.openxmlformats.org/markup-compatibility/2006">
      <mc:Choice Requires="x14">
        <control shapeId="15761" r:id="rId128" name="CON_SR">
          <controlPr defaultSize="0" autoLine="0" r:id="rId129">
            <anchor moveWithCells="1">
              <from>
                <xdr:col>18</xdr:col>
                <xdr:colOff>209550</xdr:colOff>
                <xdr:row>35</xdr:row>
                <xdr:rowOff>38100</xdr:rowOff>
              </from>
              <to>
                <xdr:col>19</xdr:col>
                <xdr:colOff>47625</xdr:colOff>
                <xdr:row>36</xdr:row>
                <xdr:rowOff>123825</xdr:rowOff>
              </to>
            </anchor>
          </controlPr>
        </control>
      </mc:Choice>
      <mc:Fallback>
        <control shapeId="15761" r:id="rId128" name="CON_SR"/>
      </mc:Fallback>
    </mc:AlternateContent>
    <mc:AlternateContent xmlns:mc="http://schemas.openxmlformats.org/markup-compatibility/2006">
      <mc:Choice Requires="x14">
        <control shapeId="15777" r:id="rId130" name="CON_INT">
          <controlPr defaultSize="0" autoLine="0" r:id="rId131">
            <anchor moveWithCells="1">
              <from>
                <xdr:col>17</xdr:col>
                <xdr:colOff>333375</xdr:colOff>
                <xdr:row>35</xdr:row>
                <xdr:rowOff>38100</xdr:rowOff>
              </from>
              <to>
                <xdr:col>18</xdr:col>
                <xdr:colOff>161925</xdr:colOff>
                <xdr:row>36</xdr:row>
                <xdr:rowOff>123825</xdr:rowOff>
              </to>
            </anchor>
          </controlPr>
        </control>
      </mc:Choice>
      <mc:Fallback>
        <control shapeId="15760" r:id="rId130" name="CON_INT"/>
      </mc:Fallback>
    </mc:AlternateContent>
    <mc:AlternateContent xmlns:mc="http://schemas.openxmlformats.org/markup-compatibility/2006">
      <mc:Choice Requires="x14">
        <control shapeId="15778" r:id="rId132" name="CON_JR">
          <controlPr defaultSize="0" autoLine="0" r:id="rId133">
            <anchor moveWithCells="1">
              <from>
                <xdr:col>16</xdr:col>
                <xdr:colOff>447675</xdr:colOff>
                <xdr:row>35</xdr:row>
                <xdr:rowOff>38100</xdr:rowOff>
              </from>
              <to>
                <xdr:col>17</xdr:col>
                <xdr:colOff>285750</xdr:colOff>
                <xdr:row>36</xdr:row>
                <xdr:rowOff>123825</xdr:rowOff>
              </to>
            </anchor>
          </controlPr>
        </control>
      </mc:Choice>
      <mc:Fallback>
        <control shapeId="15759" r:id="rId132" name="CON_JR"/>
      </mc:Fallback>
    </mc:AlternateContent>
    <mc:AlternateContent xmlns:mc="http://schemas.openxmlformats.org/markup-compatibility/2006">
      <mc:Choice Requires="x14">
        <control shapeId="15779" r:id="rId134" name="PRO_TRN">
          <controlPr defaultSize="0" autoLine="0" r:id="rId135">
            <anchor moveWithCells="1">
              <from>
                <xdr:col>15</xdr:col>
                <xdr:colOff>571500</xdr:colOff>
                <xdr:row>33</xdr:row>
                <xdr:rowOff>19050</xdr:rowOff>
              </from>
              <to>
                <xdr:col>16</xdr:col>
                <xdr:colOff>400050</xdr:colOff>
                <xdr:row>34</xdr:row>
                <xdr:rowOff>104775</xdr:rowOff>
              </to>
            </anchor>
          </controlPr>
        </control>
      </mc:Choice>
      <mc:Fallback>
        <control shapeId="15758" r:id="rId134" name="PRO_TRN"/>
      </mc:Fallback>
    </mc:AlternateContent>
    <mc:AlternateContent xmlns:mc="http://schemas.openxmlformats.org/markup-compatibility/2006">
      <mc:Choice Requires="x14">
        <control shapeId="15755" r:id="rId136" name="PRO_LD">
          <controlPr defaultSize="0" autoLine="0" r:id="rId137">
            <anchor moveWithCells="1">
              <from>
                <xdr:col>19</xdr:col>
                <xdr:colOff>95250</xdr:colOff>
                <xdr:row>33</xdr:row>
                <xdr:rowOff>19050</xdr:rowOff>
              </from>
              <to>
                <xdr:col>19</xdr:col>
                <xdr:colOff>609600</xdr:colOff>
                <xdr:row>34</xdr:row>
                <xdr:rowOff>104775</xdr:rowOff>
              </to>
            </anchor>
          </controlPr>
        </control>
      </mc:Choice>
      <mc:Fallback>
        <control shapeId="15755" r:id="rId136" name="PRO_LD"/>
      </mc:Fallback>
    </mc:AlternateContent>
    <mc:AlternateContent xmlns:mc="http://schemas.openxmlformats.org/markup-compatibility/2006">
      <mc:Choice Requires="x14">
        <control shapeId="15780" r:id="rId138" name="PRO_SR">
          <controlPr defaultSize="0" autoLine="0" r:id="rId139">
            <anchor moveWithCells="1">
              <from>
                <xdr:col>18</xdr:col>
                <xdr:colOff>209550</xdr:colOff>
                <xdr:row>33</xdr:row>
                <xdr:rowOff>19050</xdr:rowOff>
              </from>
              <to>
                <xdr:col>19</xdr:col>
                <xdr:colOff>47625</xdr:colOff>
                <xdr:row>34</xdr:row>
                <xdr:rowOff>104775</xdr:rowOff>
              </to>
            </anchor>
          </controlPr>
        </control>
      </mc:Choice>
      <mc:Fallback>
        <control shapeId="15754" r:id="rId138" name="PRO_SR"/>
      </mc:Fallback>
    </mc:AlternateContent>
    <mc:AlternateContent xmlns:mc="http://schemas.openxmlformats.org/markup-compatibility/2006">
      <mc:Choice Requires="x14">
        <control shapeId="15781" r:id="rId140" name="PRO_INT">
          <controlPr defaultSize="0" autoLine="0" r:id="rId141">
            <anchor moveWithCells="1">
              <from>
                <xdr:col>17</xdr:col>
                <xdr:colOff>333375</xdr:colOff>
                <xdr:row>33</xdr:row>
                <xdr:rowOff>19050</xdr:rowOff>
              </from>
              <to>
                <xdr:col>18</xdr:col>
                <xdr:colOff>161925</xdr:colOff>
                <xdr:row>34</xdr:row>
                <xdr:rowOff>104775</xdr:rowOff>
              </to>
            </anchor>
          </controlPr>
        </control>
      </mc:Choice>
      <mc:Fallback>
        <control shapeId="15753" r:id="rId140" name="PRO_INT"/>
      </mc:Fallback>
    </mc:AlternateContent>
    <mc:AlternateContent xmlns:mc="http://schemas.openxmlformats.org/markup-compatibility/2006">
      <mc:Choice Requires="x14">
        <control shapeId="15782" r:id="rId142" name="PRO_JR">
          <controlPr defaultSize="0" autoLine="0" r:id="rId143">
            <anchor moveWithCells="1">
              <from>
                <xdr:col>16</xdr:col>
                <xdr:colOff>447675</xdr:colOff>
                <xdr:row>33</xdr:row>
                <xdr:rowOff>19050</xdr:rowOff>
              </from>
              <to>
                <xdr:col>17</xdr:col>
                <xdr:colOff>285750</xdr:colOff>
                <xdr:row>34</xdr:row>
                <xdr:rowOff>104775</xdr:rowOff>
              </to>
            </anchor>
          </controlPr>
        </control>
      </mc:Choice>
      <mc:Fallback>
        <control shapeId="15752" r:id="rId142" name="PRO_JR"/>
      </mc:Fallback>
    </mc:AlternateContent>
    <mc:AlternateContent xmlns:mc="http://schemas.openxmlformats.org/markup-compatibility/2006">
      <mc:Choice Requires="x14">
        <control shapeId="15730" r:id="rId144" name="CSADM_TRN">
          <controlPr defaultSize="0" autoLine="0" r:id="rId145">
            <anchor moveWithCells="1">
              <from>
                <xdr:col>15</xdr:col>
                <xdr:colOff>581025</xdr:colOff>
                <xdr:row>27</xdr:row>
                <xdr:rowOff>95250</xdr:rowOff>
              </from>
              <to>
                <xdr:col>16</xdr:col>
                <xdr:colOff>409575</xdr:colOff>
                <xdr:row>29</xdr:row>
                <xdr:rowOff>0</xdr:rowOff>
              </to>
            </anchor>
          </controlPr>
        </control>
      </mc:Choice>
      <mc:Fallback>
        <control shapeId="15730" r:id="rId144" name="CSADM_TRN"/>
      </mc:Fallback>
    </mc:AlternateContent>
    <mc:AlternateContent xmlns:mc="http://schemas.openxmlformats.org/markup-compatibility/2006">
      <mc:Choice Requires="x14">
        <control shapeId="15728" r:id="rId146" name="CSADM_SP">
          <controlPr defaultSize="0" autoLine="0" r:id="rId147">
            <anchor moveWithCells="1">
              <from>
                <xdr:col>19</xdr:col>
                <xdr:colOff>666750</xdr:colOff>
                <xdr:row>27</xdr:row>
                <xdr:rowOff>95250</xdr:rowOff>
              </from>
              <to>
                <xdr:col>20</xdr:col>
                <xdr:colOff>495300</xdr:colOff>
                <xdr:row>29</xdr:row>
                <xdr:rowOff>0</xdr:rowOff>
              </to>
            </anchor>
          </controlPr>
        </control>
      </mc:Choice>
      <mc:Fallback>
        <control shapeId="15728" r:id="rId146" name="CSADM_SP"/>
      </mc:Fallback>
    </mc:AlternateContent>
    <mc:AlternateContent xmlns:mc="http://schemas.openxmlformats.org/markup-compatibility/2006">
      <mc:Choice Requires="x14">
        <control shapeId="15727" r:id="rId148" name="CSADM_LD">
          <controlPr defaultSize="0" autoLine="0" r:id="rId149">
            <anchor moveWithCells="1">
              <from>
                <xdr:col>19</xdr:col>
                <xdr:colOff>104775</xdr:colOff>
                <xdr:row>27</xdr:row>
                <xdr:rowOff>95250</xdr:rowOff>
              </from>
              <to>
                <xdr:col>19</xdr:col>
                <xdr:colOff>619125</xdr:colOff>
                <xdr:row>29</xdr:row>
                <xdr:rowOff>0</xdr:rowOff>
              </to>
            </anchor>
          </controlPr>
        </control>
      </mc:Choice>
      <mc:Fallback>
        <control shapeId="15727" r:id="rId148" name="CSADM_LD"/>
      </mc:Fallback>
    </mc:AlternateContent>
    <mc:AlternateContent xmlns:mc="http://schemas.openxmlformats.org/markup-compatibility/2006">
      <mc:Choice Requires="x14">
        <control shapeId="15726" r:id="rId150" name="CSADM_SR">
          <controlPr defaultSize="0" autoLine="0" r:id="rId151">
            <anchor moveWithCells="1">
              <from>
                <xdr:col>18</xdr:col>
                <xdr:colOff>219075</xdr:colOff>
                <xdr:row>27</xdr:row>
                <xdr:rowOff>95250</xdr:rowOff>
              </from>
              <to>
                <xdr:col>19</xdr:col>
                <xdr:colOff>57150</xdr:colOff>
                <xdr:row>29</xdr:row>
                <xdr:rowOff>0</xdr:rowOff>
              </to>
            </anchor>
          </controlPr>
        </control>
      </mc:Choice>
      <mc:Fallback>
        <control shapeId="15726" r:id="rId150" name="CSADM_SR"/>
      </mc:Fallback>
    </mc:AlternateContent>
    <mc:AlternateContent xmlns:mc="http://schemas.openxmlformats.org/markup-compatibility/2006">
      <mc:Choice Requires="x14">
        <control shapeId="15725" r:id="rId152" name="CSADM_INT">
          <controlPr defaultSize="0" autoLine="0" r:id="rId153">
            <anchor moveWithCells="1">
              <from>
                <xdr:col>17</xdr:col>
                <xdr:colOff>342900</xdr:colOff>
                <xdr:row>27</xdr:row>
                <xdr:rowOff>95250</xdr:rowOff>
              </from>
              <to>
                <xdr:col>18</xdr:col>
                <xdr:colOff>171450</xdr:colOff>
                <xdr:row>29</xdr:row>
                <xdr:rowOff>0</xdr:rowOff>
              </to>
            </anchor>
          </controlPr>
        </control>
      </mc:Choice>
      <mc:Fallback>
        <control shapeId="15725" r:id="rId152" name="CSADM_INT"/>
      </mc:Fallback>
    </mc:AlternateContent>
    <mc:AlternateContent xmlns:mc="http://schemas.openxmlformats.org/markup-compatibility/2006">
      <mc:Choice Requires="x14">
        <control shapeId="15724" r:id="rId154" name="CSADM_JR">
          <controlPr defaultSize="0" autoLine="0" r:id="rId155">
            <anchor moveWithCells="1">
              <from>
                <xdr:col>16</xdr:col>
                <xdr:colOff>457200</xdr:colOff>
                <xdr:row>27</xdr:row>
                <xdr:rowOff>95250</xdr:rowOff>
              </from>
              <to>
                <xdr:col>17</xdr:col>
                <xdr:colOff>295275</xdr:colOff>
                <xdr:row>29</xdr:row>
                <xdr:rowOff>0</xdr:rowOff>
              </to>
            </anchor>
          </controlPr>
        </control>
      </mc:Choice>
      <mc:Fallback>
        <control shapeId="15724" r:id="rId154" name="CSADM_JR"/>
      </mc:Fallback>
    </mc:AlternateContent>
    <mc:AlternateContent xmlns:mc="http://schemas.openxmlformats.org/markup-compatibility/2006">
      <mc:Choice Requires="x14">
        <control shapeId="15723" r:id="rId156" name="EICT_TRN">
          <controlPr defaultSize="0" autoLine="0" r:id="rId157">
            <anchor moveWithCells="1">
              <from>
                <xdr:col>15</xdr:col>
                <xdr:colOff>581025</xdr:colOff>
                <xdr:row>25</xdr:row>
                <xdr:rowOff>85725</xdr:rowOff>
              </from>
              <to>
                <xdr:col>16</xdr:col>
                <xdr:colOff>409575</xdr:colOff>
                <xdr:row>26</xdr:row>
                <xdr:rowOff>171450</xdr:rowOff>
              </to>
            </anchor>
          </controlPr>
        </control>
      </mc:Choice>
      <mc:Fallback>
        <control shapeId="15723" r:id="rId156" name="EICT_TRN"/>
      </mc:Fallback>
    </mc:AlternateContent>
    <mc:AlternateContent xmlns:mc="http://schemas.openxmlformats.org/markup-compatibility/2006">
      <mc:Choice Requires="x14">
        <control shapeId="15721" r:id="rId158" name="EICT_SP">
          <controlPr defaultSize="0" autoLine="0" r:id="rId159">
            <anchor moveWithCells="1">
              <from>
                <xdr:col>19</xdr:col>
                <xdr:colOff>666750</xdr:colOff>
                <xdr:row>25</xdr:row>
                <xdr:rowOff>85725</xdr:rowOff>
              </from>
              <to>
                <xdr:col>20</xdr:col>
                <xdr:colOff>495300</xdr:colOff>
                <xdr:row>26</xdr:row>
                <xdr:rowOff>171450</xdr:rowOff>
              </to>
            </anchor>
          </controlPr>
        </control>
      </mc:Choice>
      <mc:Fallback>
        <control shapeId="15721" r:id="rId158" name="EICT_SP"/>
      </mc:Fallback>
    </mc:AlternateContent>
    <mc:AlternateContent xmlns:mc="http://schemas.openxmlformats.org/markup-compatibility/2006">
      <mc:Choice Requires="x14">
        <control shapeId="15720" r:id="rId160" name="EICT_LD">
          <controlPr defaultSize="0" autoLine="0" r:id="rId161">
            <anchor moveWithCells="1">
              <from>
                <xdr:col>19</xdr:col>
                <xdr:colOff>104775</xdr:colOff>
                <xdr:row>25</xdr:row>
                <xdr:rowOff>85725</xdr:rowOff>
              </from>
              <to>
                <xdr:col>19</xdr:col>
                <xdr:colOff>619125</xdr:colOff>
                <xdr:row>26</xdr:row>
                <xdr:rowOff>171450</xdr:rowOff>
              </to>
            </anchor>
          </controlPr>
        </control>
      </mc:Choice>
      <mc:Fallback>
        <control shapeId="15720" r:id="rId160" name="EICT_LD"/>
      </mc:Fallback>
    </mc:AlternateContent>
    <mc:AlternateContent xmlns:mc="http://schemas.openxmlformats.org/markup-compatibility/2006">
      <mc:Choice Requires="x14">
        <control shapeId="15719" r:id="rId162" name="EICT_SR">
          <controlPr defaultSize="0" autoLine="0" r:id="rId163">
            <anchor moveWithCells="1">
              <from>
                <xdr:col>18</xdr:col>
                <xdr:colOff>219075</xdr:colOff>
                <xdr:row>25</xdr:row>
                <xdr:rowOff>85725</xdr:rowOff>
              </from>
              <to>
                <xdr:col>19</xdr:col>
                <xdr:colOff>57150</xdr:colOff>
                <xdr:row>26</xdr:row>
                <xdr:rowOff>171450</xdr:rowOff>
              </to>
            </anchor>
          </controlPr>
        </control>
      </mc:Choice>
      <mc:Fallback>
        <control shapeId="15719" r:id="rId162" name="EICT_SR"/>
      </mc:Fallback>
    </mc:AlternateContent>
    <mc:AlternateContent xmlns:mc="http://schemas.openxmlformats.org/markup-compatibility/2006">
      <mc:Choice Requires="x14">
        <control shapeId="15718" r:id="rId164" name="EICT_INT">
          <controlPr defaultSize="0" autoLine="0" r:id="rId165">
            <anchor moveWithCells="1">
              <from>
                <xdr:col>17</xdr:col>
                <xdr:colOff>342900</xdr:colOff>
                <xdr:row>25</xdr:row>
                <xdr:rowOff>85725</xdr:rowOff>
              </from>
              <to>
                <xdr:col>18</xdr:col>
                <xdr:colOff>171450</xdr:colOff>
                <xdr:row>26</xdr:row>
                <xdr:rowOff>171450</xdr:rowOff>
              </to>
            </anchor>
          </controlPr>
        </control>
      </mc:Choice>
      <mc:Fallback>
        <control shapeId="15718" r:id="rId164" name="EICT_INT"/>
      </mc:Fallback>
    </mc:AlternateContent>
    <mc:AlternateContent xmlns:mc="http://schemas.openxmlformats.org/markup-compatibility/2006">
      <mc:Choice Requires="x14">
        <control shapeId="15717" r:id="rId166" name="EICT_JR">
          <controlPr defaultSize="0" autoLine="0" r:id="rId167">
            <anchor moveWithCells="1">
              <from>
                <xdr:col>16</xdr:col>
                <xdr:colOff>457200</xdr:colOff>
                <xdr:row>25</xdr:row>
                <xdr:rowOff>85725</xdr:rowOff>
              </from>
              <to>
                <xdr:col>17</xdr:col>
                <xdr:colOff>295275</xdr:colOff>
                <xdr:row>26</xdr:row>
                <xdr:rowOff>171450</xdr:rowOff>
              </to>
            </anchor>
          </controlPr>
        </control>
      </mc:Choice>
      <mc:Fallback>
        <control shapeId="15717" r:id="rId166" name="EICT_JR"/>
      </mc:Fallback>
    </mc:AlternateContent>
    <mc:AlternateContent xmlns:mc="http://schemas.openxmlformats.org/markup-compatibility/2006">
      <mc:Choice Requires="x14">
        <control shapeId="15716" r:id="rId168" name="PPD_TRN">
          <controlPr defaultSize="0" autoLine="0" r:id="rId169">
            <anchor moveWithCells="1">
              <from>
                <xdr:col>15</xdr:col>
                <xdr:colOff>581025</xdr:colOff>
                <xdr:row>23</xdr:row>
                <xdr:rowOff>76200</xdr:rowOff>
              </from>
              <to>
                <xdr:col>16</xdr:col>
                <xdr:colOff>409575</xdr:colOff>
                <xdr:row>24</xdr:row>
                <xdr:rowOff>161925</xdr:rowOff>
              </to>
            </anchor>
          </controlPr>
        </control>
      </mc:Choice>
      <mc:Fallback>
        <control shapeId="15716" r:id="rId168" name="PPD_TRN"/>
      </mc:Fallback>
    </mc:AlternateContent>
    <mc:AlternateContent xmlns:mc="http://schemas.openxmlformats.org/markup-compatibility/2006">
      <mc:Choice Requires="x14">
        <control shapeId="15714" r:id="rId170" name="PPD_SP">
          <controlPr defaultSize="0" autoLine="0" r:id="rId171">
            <anchor moveWithCells="1">
              <from>
                <xdr:col>19</xdr:col>
                <xdr:colOff>666750</xdr:colOff>
                <xdr:row>23</xdr:row>
                <xdr:rowOff>76200</xdr:rowOff>
              </from>
              <to>
                <xdr:col>20</xdr:col>
                <xdr:colOff>495300</xdr:colOff>
                <xdr:row>24</xdr:row>
                <xdr:rowOff>161925</xdr:rowOff>
              </to>
            </anchor>
          </controlPr>
        </control>
      </mc:Choice>
      <mc:Fallback>
        <control shapeId="15714" r:id="rId170" name="PPD_SP"/>
      </mc:Fallback>
    </mc:AlternateContent>
    <mc:AlternateContent xmlns:mc="http://schemas.openxmlformats.org/markup-compatibility/2006">
      <mc:Choice Requires="x14">
        <control shapeId="15713" r:id="rId172" name="PPD_LD">
          <controlPr defaultSize="0" autoLine="0" r:id="rId173">
            <anchor moveWithCells="1">
              <from>
                <xdr:col>19</xdr:col>
                <xdr:colOff>104775</xdr:colOff>
                <xdr:row>23</xdr:row>
                <xdr:rowOff>76200</xdr:rowOff>
              </from>
              <to>
                <xdr:col>19</xdr:col>
                <xdr:colOff>619125</xdr:colOff>
                <xdr:row>24</xdr:row>
                <xdr:rowOff>161925</xdr:rowOff>
              </to>
            </anchor>
          </controlPr>
        </control>
      </mc:Choice>
      <mc:Fallback>
        <control shapeId="15713" r:id="rId172" name="PPD_LD"/>
      </mc:Fallback>
    </mc:AlternateContent>
    <mc:AlternateContent xmlns:mc="http://schemas.openxmlformats.org/markup-compatibility/2006">
      <mc:Choice Requires="x14">
        <control shapeId="15712" r:id="rId174" name="PPD_SR">
          <controlPr defaultSize="0" autoLine="0" r:id="rId175">
            <anchor moveWithCells="1">
              <from>
                <xdr:col>18</xdr:col>
                <xdr:colOff>219075</xdr:colOff>
                <xdr:row>23</xdr:row>
                <xdr:rowOff>76200</xdr:rowOff>
              </from>
              <to>
                <xdr:col>19</xdr:col>
                <xdr:colOff>57150</xdr:colOff>
                <xdr:row>24</xdr:row>
                <xdr:rowOff>161925</xdr:rowOff>
              </to>
            </anchor>
          </controlPr>
        </control>
      </mc:Choice>
      <mc:Fallback>
        <control shapeId="15712" r:id="rId174" name="PPD_SR"/>
      </mc:Fallback>
    </mc:AlternateContent>
    <mc:AlternateContent xmlns:mc="http://schemas.openxmlformats.org/markup-compatibility/2006">
      <mc:Choice Requires="x14">
        <control shapeId="15711" r:id="rId176" name="PPD_INT">
          <controlPr defaultSize="0" autoLine="0" r:id="rId177">
            <anchor moveWithCells="1">
              <from>
                <xdr:col>17</xdr:col>
                <xdr:colOff>342900</xdr:colOff>
                <xdr:row>23</xdr:row>
                <xdr:rowOff>76200</xdr:rowOff>
              </from>
              <to>
                <xdr:col>18</xdr:col>
                <xdr:colOff>171450</xdr:colOff>
                <xdr:row>24</xdr:row>
                <xdr:rowOff>161925</xdr:rowOff>
              </to>
            </anchor>
          </controlPr>
        </control>
      </mc:Choice>
      <mc:Fallback>
        <control shapeId="15711" r:id="rId176" name="PPD_INT"/>
      </mc:Fallback>
    </mc:AlternateContent>
    <mc:AlternateContent xmlns:mc="http://schemas.openxmlformats.org/markup-compatibility/2006">
      <mc:Choice Requires="x14">
        <control shapeId="15710" r:id="rId178" name="PPD_JR">
          <controlPr defaultSize="0" autoLine="0" r:id="rId179">
            <anchor moveWithCells="1">
              <from>
                <xdr:col>16</xdr:col>
                <xdr:colOff>457200</xdr:colOff>
                <xdr:row>23</xdr:row>
                <xdr:rowOff>76200</xdr:rowOff>
              </from>
              <to>
                <xdr:col>17</xdr:col>
                <xdr:colOff>295275</xdr:colOff>
                <xdr:row>24</xdr:row>
                <xdr:rowOff>161925</xdr:rowOff>
              </to>
            </anchor>
          </controlPr>
        </control>
      </mc:Choice>
      <mc:Fallback>
        <control shapeId="15710" r:id="rId178" name="PPD_JR"/>
      </mc:Fallback>
    </mc:AlternateContent>
    <mc:AlternateContent xmlns:mc="http://schemas.openxmlformats.org/markup-compatibility/2006">
      <mc:Choice Requires="x14">
        <control shapeId="15783" r:id="rId180" name="CSAT_TRN">
          <controlPr defaultSize="0" autoLine="0" r:id="rId181">
            <anchor moveWithCells="1">
              <from>
                <xdr:col>8</xdr:col>
                <xdr:colOff>371475</xdr:colOff>
                <xdr:row>29</xdr:row>
                <xdr:rowOff>66675</xdr:rowOff>
              </from>
              <to>
                <xdr:col>9</xdr:col>
                <xdr:colOff>200025</xdr:colOff>
                <xdr:row>30</xdr:row>
                <xdr:rowOff>161925</xdr:rowOff>
              </to>
            </anchor>
          </controlPr>
        </control>
      </mc:Choice>
      <mc:Fallback>
        <control shapeId="15695" r:id="rId180" name="CSAT_TRN"/>
      </mc:Fallback>
    </mc:AlternateContent>
    <mc:AlternateContent xmlns:mc="http://schemas.openxmlformats.org/markup-compatibility/2006">
      <mc:Choice Requires="x14">
        <control shapeId="15784" r:id="rId182" name="CSAT_SME">
          <controlPr defaultSize="0" autoLine="0" r:id="rId183">
            <anchor moveWithCells="1">
              <from>
                <xdr:col>13</xdr:col>
                <xdr:colOff>342900</xdr:colOff>
                <xdr:row>29</xdr:row>
                <xdr:rowOff>66675</xdr:rowOff>
              </from>
              <to>
                <xdr:col>14</xdr:col>
                <xdr:colOff>180975</xdr:colOff>
                <xdr:row>30</xdr:row>
                <xdr:rowOff>161925</xdr:rowOff>
              </to>
            </anchor>
          </controlPr>
        </control>
      </mc:Choice>
      <mc:Fallback>
        <control shapeId="15694" r:id="rId182" name="CSAT_SME"/>
      </mc:Fallback>
    </mc:AlternateContent>
    <mc:AlternateContent xmlns:mc="http://schemas.openxmlformats.org/markup-compatibility/2006">
      <mc:Choice Requires="x14">
        <control shapeId="15785" r:id="rId184" name="CSAT_SP">
          <controlPr defaultSize="0" autoLine="0" r:id="rId185">
            <anchor moveWithCells="1">
              <from>
                <xdr:col>12</xdr:col>
                <xdr:colOff>466725</xdr:colOff>
                <xdr:row>29</xdr:row>
                <xdr:rowOff>66675</xdr:rowOff>
              </from>
              <to>
                <xdr:col>13</xdr:col>
                <xdr:colOff>295275</xdr:colOff>
                <xdr:row>30</xdr:row>
                <xdr:rowOff>161925</xdr:rowOff>
              </to>
            </anchor>
          </controlPr>
        </control>
      </mc:Choice>
      <mc:Fallback>
        <control shapeId="15693" r:id="rId184" name="CSAT_SP"/>
      </mc:Fallback>
    </mc:AlternateContent>
    <mc:AlternateContent xmlns:mc="http://schemas.openxmlformats.org/markup-compatibility/2006">
      <mc:Choice Requires="x14">
        <control shapeId="15786" r:id="rId186" name="CSAT_LD">
          <controlPr defaultSize="0" autoLine="0" r:id="rId187">
            <anchor moveWithCells="1">
              <from>
                <xdr:col>11</xdr:col>
                <xdr:colOff>581025</xdr:colOff>
                <xdr:row>29</xdr:row>
                <xdr:rowOff>66675</xdr:rowOff>
              </from>
              <to>
                <xdr:col>12</xdr:col>
                <xdr:colOff>419100</xdr:colOff>
                <xdr:row>30</xdr:row>
                <xdr:rowOff>161925</xdr:rowOff>
              </to>
            </anchor>
          </controlPr>
        </control>
      </mc:Choice>
      <mc:Fallback>
        <control shapeId="15692" r:id="rId186" name="CSAT_LD"/>
      </mc:Fallback>
    </mc:AlternateContent>
    <mc:AlternateContent xmlns:mc="http://schemas.openxmlformats.org/markup-compatibility/2006">
      <mc:Choice Requires="x14">
        <control shapeId="15787" r:id="rId188" name="CSAT_SR">
          <controlPr defaultSize="0" autoLine="0" r:id="rId189">
            <anchor moveWithCells="1">
              <from>
                <xdr:col>11</xdr:col>
                <xdr:colOff>19050</xdr:colOff>
                <xdr:row>29</xdr:row>
                <xdr:rowOff>66675</xdr:rowOff>
              </from>
              <to>
                <xdr:col>11</xdr:col>
                <xdr:colOff>533400</xdr:colOff>
                <xdr:row>30</xdr:row>
                <xdr:rowOff>161925</xdr:rowOff>
              </to>
            </anchor>
          </controlPr>
        </control>
      </mc:Choice>
      <mc:Fallback>
        <control shapeId="15691" r:id="rId188" name="CSAT_SR"/>
      </mc:Fallback>
    </mc:AlternateContent>
    <mc:AlternateContent xmlns:mc="http://schemas.openxmlformats.org/markup-compatibility/2006">
      <mc:Choice Requires="x14">
        <control shapeId="15788" r:id="rId190" name="CSAT_INT">
          <controlPr defaultSize="0" autoLine="0" r:id="rId191">
            <anchor moveWithCells="1">
              <from>
                <xdr:col>10</xdr:col>
                <xdr:colOff>133350</xdr:colOff>
                <xdr:row>29</xdr:row>
                <xdr:rowOff>66675</xdr:rowOff>
              </from>
              <to>
                <xdr:col>10</xdr:col>
                <xdr:colOff>657225</xdr:colOff>
                <xdr:row>30</xdr:row>
                <xdr:rowOff>161925</xdr:rowOff>
              </to>
            </anchor>
          </controlPr>
        </control>
      </mc:Choice>
      <mc:Fallback>
        <control shapeId="15690" r:id="rId190" name="CSAT_INT"/>
      </mc:Fallback>
    </mc:AlternateContent>
    <mc:AlternateContent xmlns:mc="http://schemas.openxmlformats.org/markup-compatibility/2006">
      <mc:Choice Requires="x14">
        <control shapeId="15689" r:id="rId192" name="CSAT_JR">
          <controlPr defaultSize="0" autoLine="0" r:id="rId193">
            <anchor moveWithCells="1">
              <from>
                <xdr:col>9</xdr:col>
                <xdr:colOff>257175</xdr:colOff>
                <xdr:row>29</xdr:row>
                <xdr:rowOff>66675</xdr:rowOff>
              </from>
              <to>
                <xdr:col>10</xdr:col>
                <xdr:colOff>85725</xdr:colOff>
                <xdr:row>30</xdr:row>
                <xdr:rowOff>161925</xdr:rowOff>
              </to>
            </anchor>
          </controlPr>
        </control>
      </mc:Choice>
      <mc:Fallback>
        <control shapeId="15689" r:id="rId192" name="CSAT_JR"/>
      </mc:Fallback>
    </mc:AlternateContent>
    <mc:AlternateContent xmlns:mc="http://schemas.openxmlformats.org/markup-compatibility/2006">
      <mc:Choice Requires="x14">
        <control shapeId="15688" r:id="rId194" name="TCAT_TRN">
          <controlPr defaultSize="0" autoLine="0" r:id="rId195">
            <anchor moveWithCells="1">
              <from>
                <xdr:col>8</xdr:col>
                <xdr:colOff>371475</xdr:colOff>
                <xdr:row>27</xdr:row>
                <xdr:rowOff>47625</xdr:rowOff>
              </from>
              <to>
                <xdr:col>9</xdr:col>
                <xdr:colOff>200025</xdr:colOff>
                <xdr:row>28</xdr:row>
                <xdr:rowOff>133350</xdr:rowOff>
              </to>
            </anchor>
          </controlPr>
        </control>
      </mc:Choice>
      <mc:Fallback>
        <control shapeId="15688" r:id="rId194" name="TCAT_TRN"/>
      </mc:Fallback>
    </mc:AlternateContent>
    <mc:AlternateContent xmlns:mc="http://schemas.openxmlformats.org/markup-compatibility/2006">
      <mc:Choice Requires="x14">
        <control shapeId="15687" r:id="rId196" name="TCAT_SME">
          <controlPr defaultSize="0" autoLine="0" r:id="rId197">
            <anchor moveWithCells="1">
              <from>
                <xdr:col>13</xdr:col>
                <xdr:colOff>342900</xdr:colOff>
                <xdr:row>27</xdr:row>
                <xdr:rowOff>47625</xdr:rowOff>
              </from>
              <to>
                <xdr:col>14</xdr:col>
                <xdr:colOff>180975</xdr:colOff>
                <xdr:row>28</xdr:row>
                <xdr:rowOff>133350</xdr:rowOff>
              </to>
            </anchor>
          </controlPr>
        </control>
      </mc:Choice>
      <mc:Fallback>
        <control shapeId="15687" r:id="rId196" name="TCAT_SME"/>
      </mc:Fallback>
    </mc:AlternateContent>
    <mc:AlternateContent xmlns:mc="http://schemas.openxmlformats.org/markup-compatibility/2006">
      <mc:Choice Requires="x14">
        <control shapeId="15686" r:id="rId198" name="TCAT_SP">
          <controlPr defaultSize="0" autoLine="0" r:id="rId199">
            <anchor moveWithCells="1">
              <from>
                <xdr:col>12</xdr:col>
                <xdr:colOff>466725</xdr:colOff>
                <xdr:row>27</xdr:row>
                <xdr:rowOff>47625</xdr:rowOff>
              </from>
              <to>
                <xdr:col>13</xdr:col>
                <xdr:colOff>295275</xdr:colOff>
                <xdr:row>28</xdr:row>
                <xdr:rowOff>133350</xdr:rowOff>
              </to>
            </anchor>
          </controlPr>
        </control>
      </mc:Choice>
      <mc:Fallback>
        <control shapeId="15686" r:id="rId198" name="TCAT_SP"/>
      </mc:Fallback>
    </mc:AlternateContent>
    <mc:AlternateContent xmlns:mc="http://schemas.openxmlformats.org/markup-compatibility/2006">
      <mc:Choice Requires="x14">
        <control shapeId="15685" r:id="rId200" name="TCAT_LD">
          <controlPr defaultSize="0" autoLine="0" r:id="rId201">
            <anchor moveWithCells="1">
              <from>
                <xdr:col>11</xdr:col>
                <xdr:colOff>581025</xdr:colOff>
                <xdr:row>27</xdr:row>
                <xdr:rowOff>47625</xdr:rowOff>
              </from>
              <to>
                <xdr:col>12</xdr:col>
                <xdr:colOff>419100</xdr:colOff>
                <xdr:row>28</xdr:row>
                <xdr:rowOff>133350</xdr:rowOff>
              </to>
            </anchor>
          </controlPr>
        </control>
      </mc:Choice>
      <mc:Fallback>
        <control shapeId="15685" r:id="rId200" name="TCAT_LD"/>
      </mc:Fallback>
    </mc:AlternateContent>
    <mc:AlternateContent xmlns:mc="http://schemas.openxmlformats.org/markup-compatibility/2006">
      <mc:Choice Requires="x14">
        <control shapeId="15684" r:id="rId202" name="TCAT_SR">
          <controlPr defaultSize="0" autoLine="0" r:id="rId203">
            <anchor moveWithCells="1">
              <from>
                <xdr:col>11</xdr:col>
                <xdr:colOff>19050</xdr:colOff>
                <xdr:row>27</xdr:row>
                <xdr:rowOff>47625</xdr:rowOff>
              </from>
              <to>
                <xdr:col>11</xdr:col>
                <xdr:colOff>533400</xdr:colOff>
                <xdr:row>28</xdr:row>
                <xdr:rowOff>133350</xdr:rowOff>
              </to>
            </anchor>
          </controlPr>
        </control>
      </mc:Choice>
      <mc:Fallback>
        <control shapeId="15684" r:id="rId202" name="TCAT_SR"/>
      </mc:Fallback>
    </mc:AlternateContent>
    <mc:AlternateContent xmlns:mc="http://schemas.openxmlformats.org/markup-compatibility/2006">
      <mc:Choice Requires="x14">
        <control shapeId="15683" r:id="rId204" name="TCAT_INT">
          <controlPr defaultSize="0" autoLine="0" r:id="rId205">
            <anchor moveWithCells="1">
              <from>
                <xdr:col>10</xdr:col>
                <xdr:colOff>133350</xdr:colOff>
                <xdr:row>27</xdr:row>
                <xdr:rowOff>47625</xdr:rowOff>
              </from>
              <to>
                <xdr:col>10</xdr:col>
                <xdr:colOff>657225</xdr:colOff>
                <xdr:row>28</xdr:row>
                <xdr:rowOff>133350</xdr:rowOff>
              </to>
            </anchor>
          </controlPr>
        </control>
      </mc:Choice>
      <mc:Fallback>
        <control shapeId="15683" r:id="rId204" name="TCAT_INT"/>
      </mc:Fallback>
    </mc:AlternateContent>
    <mc:AlternateContent xmlns:mc="http://schemas.openxmlformats.org/markup-compatibility/2006">
      <mc:Choice Requires="x14">
        <control shapeId="15682" r:id="rId206" name="TCAT_JR">
          <controlPr defaultSize="0" autoLine="0" r:id="rId207">
            <anchor moveWithCells="1">
              <from>
                <xdr:col>9</xdr:col>
                <xdr:colOff>257175</xdr:colOff>
                <xdr:row>27</xdr:row>
                <xdr:rowOff>47625</xdr:rowOff>
              </from>
              <to>
                <xdr:col>10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5682" r:id="rId206" name="TCAT_JR"/>
      </mc:Fallback>
    </mc:AlternateContent>
    <mc:AlternateContent xmlns:mc="http://schemas.openxmlformats.org/markup-compatibility/2006">
      <mc:Choice Requires="x14">
        <control shapeId="15681" r:id="rId208" name="ICT_TRN">
          <controlPr defaultSize="0" autoLine="0" r:id="rId209">
            <anchor moveWithCells="1">
              <from>
                <xdr:col>8</xdr:col>
                <xdr:colOff>371475</xdr:colOff>
                <xdr:row>25</xdr:row>
                <xdr:rowOff>28575</xdr:rowOff>
              </from>
              <to>
                <xdr:col>9</xdr:col>
                <xdr:colOff>200025</xdr:colOff>
                <xdr:row>26</xdr:row>
                <xdr:rowOff>123825</xdr:rowOff>
              </to>
            </anchor>
          </controlPr>
        </control>
      </mc:Choice>
      <mc:Fallback>
        <control shapeId="15681" r:id="rId208" name="ICT_TRN"/>
      </mc:Fallback>
    </mc:AlternateContent>
    <mc:AlternateContent xmlns:mc="http://schemas.openxmlformats.org/markup-compatibility/2006">
      <mc:Choice Requires="x14">
        <control shapeId="15680" r:id="rId210" name="ICT_SME">
          <controlPr defaultSize="0" autoLine="0" r:id="rId211">
            <anchor moveWithCells="1">
              <from>
                <xdr:col>13</xdr:col>
                <xdr:colOff>342900</xdr:colOff>
                <xdr:row>25</xdr:row>
                <xdr:rowOff>28575</xdr:rowOff>
              </from>
              <to>
                <xdr:col>14</xdr:col>
                <xdr:colOff>180975</xdr:colOff>
                <xdr:row>26</xdr:row>
                <xdr:rowOff>123825</xdr:rowOff>
              </to>
            </anchor>
          </controlPr>
        </control>
      </mc:Choice>
      <mc:Fallback>
        <control shapeId="15680" r:id="rId210" name="ICT_SME"/>
      </mc:Fallback>
    </mc:AlternateContent>
    <mc:AlternateContent xmlns:mc="http://schemas.openxmlformats.org/markup-compatibility/2006">
      <mc:Choice Requires="x14">
        <control shapeId="15679" r:id="rId212" name="ICT_SP">
          <controlPr defaultSize="0" autoLine="0" r:id="rId213">
            <anchor moveWithCells="1">
              <from>
                <xdr:col>12</xdr:col>
                <xdr:colOff>466725</xdr:colOff>
                <xdr:row>25</xdr:row>
                <xdr:rowOff>28575</xdr:rowOff>
              </from>
              <to>
                <xdr:col>13</xdr:col>
                <xdr:colOff>295275</xdr:colOff>
                <xdr:row>26</xdr:row>
                <xdr:rowOff>123825</xdr:rowOff>
              </to>
            </anchor>
          </controlPr>
        </control>
      </mc:Choice>
      <mc:Fallback>
        <control shapeId="15679" r:id="rId212" name="ICT_SP"/>
      </mc:Fallback>
    </mc:AlternateContent>
    <mc:AlternateContent xmlns:mc="http://schemas.openxmlformats.org/markup-compatibility/2006">
      <mc:Choice Requires="x14">
        <control shapeId="15678" r:id="rId214" name="ICT_LD">
          <controlPr defaultSize="0" autoLine="0" r:id="rId215">
            <anchor moveWithCells="1">
              <from>
                <xdr:col>11</xdr:col>
                <xdr:colOff>581025</xdr:colOff>
                <xdr:row>25</xdr:row>
                <xdr:rowOff>28575</xdr:rowOff>
              </from>
              <to>
                <xdr:col>12</xdr:col>
                <xdr:colOff>419100</xdr:colOff>
                <xdr:row>26</xdr:row>
                <xdr:rowOff>123825</xdr:rowOff>
              </to>
            </anchor>
          </controlPr>
        </control>
      </mc:Choice>
      <mc:Fallback>
        <control shapeId="15678" r:id="rId214" name="ICT_LD"/>
      </mc:Fallback>
    </mc:AlternateContent>
    <mc:AlternateContent xmlns:mc="http://schemas.openxmlformats.org/markup-compatibility/2006">
      <mc:Choice Requires="x14">
        <control shapeId="15677" r:id="rId216" name="ICT_SR">
          <controlPr defaultSize="0" autoLine="0" r:id="rId217">
            <anchor moveWithCells="1">
              <from>
                <xdr:col>11</xdr:col>
                <xdr:colOff>19050</xdr:colOff>
                <xdr:row>25</xdr:row>
                <xdr:rowOff>28575</xdr:rowOff>
              </from>
              <to>
                <xdr:col>11</xdr:col>
                <xdr:colOff>533400</xdr:colOff>
                <xdr:row>26</xdr:row>
                <xdr:rowOff>123825</xdr:rowOff>
              </to>
            </anchor>
          </controlPr>
        </control>
      </mc:Choice>
      <mc:Fallback>
        <control shapeId="15677" r:id="rId216" name="ICT_SR"/>
      </mc:Fallback>
    </mc:AlternateContent>
    <mc:AlternateContent xmlns:mc="http://schemas.openxmlformats.org/markup-compatibility/2006">
      <mc:Choice Requires="x14">
        <control shapeId="15676" r:id="rId218" name="ICT_INT">
          <controlPr defaultSize="0" autoLine="0" r:id="rId219">
            <anchor moveWithCells="1">
              <from>
                <xdr:col>10</xdr:col>
                <xdr:colOff>133350</xdr:colOff>
                <xdr:row>25</xdr:row>
                <xdr:rowOff>28575</xdr:rowOff>
              </from>
              <to>
                <xdr:col>10</xdr:col>
                <xdr:colOff>657225</xdr:colOff>
                <xdr:row>26</xdr:row>
                <xdr:rowOff>123825</xdr:rowOff>
              </to>
            </anchor>
          </controlPr>
        </control>
      </mc:Choice>
      <mc:Fallback>
        <control shapeId="15676" r:id="rId218" name="ICT_INT"/>
      </mc:Fallback>
    </mc:AlternateContent>
    <mc:AlternateContent xmlns:mc="http://schemas.openxmlformats.org/markup-compatibility/2006">
      <mc:Choice Requires="x14">
        <control shapeId="15675" r:id="rId220" name="ICT_JR">
          <controlPr defaultSize="0" autoLine="0" r:id="rId221">
            <anchor moveWithCells="1">
              <from>
                <xdr:col>9</xdr:col>
                <xdr:colOff>257175</xdr:colOff>
                <xdr:row>25</xdr:row>
                <xdr:rowOff>28575</xdr:rowOff>
              </from>
              <to>
                <xdr:col>10</xdr:col>
                <xdr:colOff>85725</xdr:colOff>
                <xdr:row>26</xdr:row>
                <xdr:rowOff>123825</xdr:rowOff>
              </to>
            </anchor>
          </controlPr>
        </control>
      </mc:Choice>
      <mc:Fallback>
        <control shapeId="15675" r:id="rId220" name="ICT_JR"/>
      </mc:Fallback>
    </mc:AlternateContent>
    <mc:AlternateContent xmlns:mc="http://schemas.openxmlformats.org/markup-compatibility/2006">
      <mc:Choice Requires="x14">
        <control shapeId="15674" r:id="rId222" name="ET_TRN">
          <controlPr defaultSize="0" autoLine="0" r:id="rId223">
            <anchor moveWithCells="1">
              <from>
                <xdr:col>8</xdr:col>
                <xdr:colOff>371475</xdr:colOff>
                <xdr:row>23</xdr:row>
                <xdr:rowOff>19050</xdr:rowOff>
              </from>
              <to>
                <xdr:col>9</xdr:col>
                <xdr:colOff>200025</xdr:colOff>
                <xdr:row>24</xdr:row>
                <xdr:rowOff>104775</xdr:rowOff>
              </to>
            </anchor>
          </controlPr>
        </control>
      </mc:Choice>
      <mc:Fallback>
        <control shapeId="15674" r:id="rId222" name="ET_TRN"/>
      </mc:Fallback>
    </mc:AlternateContent>
    <mc:AlternateContent xmlns:mc="http://schemas.openxmlformats.org/markup-compatibility/2006">
      <mc:Choice Requires="x14">
        <control shapeId="15673" r:id="rId224" name="ET_SME">
          <controlPr defaultSize="0" autoLine="0" r:id="rId225">
            <anchor moveWithCells="1">
              <from>
                <xdr:col>13</xdr:col>
                <xdr:colOff>342900</xdr:colOff>
                <xdr:row>23</xdr:row>
                <xdr:rowOff>19050</xdr:rowOff>
              </from>
              <to>
                <xdr:col>14</xdr:col>
                <xdr:colOff>180975</xdr:colOff>
                <xdr:row>24</xdr:row>
                <xdr:rowOff>104775</xdr:rowOff>
              </to>
            </anchor>
          </controlPr>
        </control>
      </mc:Choice>
      <mc:Fallback>
        <control shapeId="15673" r:id="rId224" name="ET_SME"/>
      </mc:Fallback>
    </mc:AlternateContent>
    <mc:AlternateContent xmlns:mc="http://schemas.openxmlformats.org/markup-compatibility/2006">
      <mc:Choice Requires="x14">
        <control shapeId="15672" r:id="rId226" name="ET_SP">
          <controlPr defaultSize="0" autoLine="0" r:id="rId227">
            <anchor moveWithCells="1">
              <from>
                <xdr:col>12</xdr:col>
                <xdr:colOff>466725</xdr:colOff>
                <xdr:row>23</xdr:row>
                <xdr:rowOff>19050</xdr:rowOff>
              </from>
              <to>
                <xdr:col>13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5672" r:id="rId226" name="ET_SP"/>
      </mc:Fallback>
    </mc:AlternateContent>
    <mc:AlternateContent xmlns:mc="http://schemas.openxmlformats.org/markup-compatibility/2006">
      <mc:Choice Requires="x14">
        <control shapeId="15671" r:id="rId228" name="ET_LD">
          <controlPr defaultSize="0" autoLine="0" r:id="rId229">
            <anchor moveWithCells="1">
              <from>
                <xdr:col>11</xdr:col>
                <xdr:colOff>581025</xdr:colOff>
                <xdr:row>23</xdr:row>
                <xdr:rowOff>19050</xdr:rowOff>
              </from>
              <to>
                <xdr:col>12</xdr:col>
                <xdr:colOff>419100</xdr:colOff>
                <xdr:row>24</xdr:row>
                <xdr:rowOff>104775</xdr:rowOff>
              </to>
            </anchor>
          </controlPr>
        </control>
      </mc:Choice>
      <mc:Fallback>
        <control shapeId="15671" r:id="rId228" name="ET_LD"/>
      </mc:Fallback>
    </mc:AlternateContent>
    <mc:AlternateContent xmlns:mc="http://schemas.openxmlformats.org/markup-compatibility/2006">
      <mc:Choice Requires="x14">
        <control shapeId="15670" r:id="rId230" name="ET_SR">
          <controlPr defaultSize="0" autoLine="0" r:id="rId231">
            <anchor moveWithCells="1">
              <from>
                <xdr:col>11</xdr:col>
                <xdr:colOff>19050</xdr:colOff>
                <xdr:row>23</xdr:row>
                <xdr:rowOff>19050</xdr:rowOff>
              </from>
              <to>
                <xdr:col>11</xdr:col>
                <xdr:colOff>533400</xdr:colOff>
                <xdr:row>24</xdr:row>
                <xdr:rowOff>104775</xdr:rowOff>
              </to>
            </anchor>
          </controlPr>
        </control>
      </mc:Choice>
      <mc:Fallback>
        <control shapeId="15670" r:id="rId230" name="ET_SR"/>
      </mc:Fallback>
    </mc:AlternateContent>
    <mc:AlternateContent xmlns:mc="http://schemas.openxmlformats.org/markup-compatibility/2006">
      <mc:Choice Requires="x14">
        <control shapeId="15669" r:id="rId232" name="ET_INT">
          <controlPr defaultSize="0" autoLine="0" r:id="rId233">
            <anchor moveWithCells="1">
              <from>
                <xdr:col>10</xdr:col>
                <xdr:colOff>133350</xdr:colOff>
                <xdr:row>23</xdr:row>
                <xdr:rowOff>19050</xdr:rowOff>
              </from>
              <to>
                <xdr:col>10</xdr:col>
                <xdr:colOff>657225</xdr:colOff>
                <xdr:row>24</xdr:row>
                <xdr:rowOff>104775</xdr:rowOff>
              </to>
            </anchor>
          </controlPr>
        </control>
      </mc:Choice>
      <mc:Fallback>
        <control shapeId="15669" r:id="rId232" name="ET_INT"/>
      </mc:Fallback>
    </mc:AlternateContent>
    <mc:AlternateContent xmlns:mc="http://schemas.openxmlformats.org/markup-compatibility/2006">
      <mc:Choice Requires="x14">
        <control shapeId="15668" r:id="rId234" name="ET_JR">
          <controlPr defaultSize="0" autoLine="0" r:id="rId235">
            <anchor moveWithCells="1">
              <from>
                <xdr:col>9</xdr:col>
                <xdr:colOff>257175</xdr:colOff>
                <xdr:row>23</xdr:row>
                <xdr:rowOff>19050</xdr:rowOff>
              </from>
              <to>
                <xdr:col>10</xdr:col>
                <xdr:colOff>85725</xdr:colOff>
                <xdr:row>24</xdr:row>
                <xdr:rowOff>104775</xdr:rowOff>
              </to>
            </anchor>
          </controlPr>
        </control>
      </mc:Choice>
      <mc:Fallback>
        <control shapeId="15668" r:id="rId234" name="ET_JR"/>
      </mc:Fallback>
    </mc:AlternateContent>
    <mc:AlternateContent xmlns:mc="http://schemas.openxmlformats.org/markup-compatibility/2006">
      <mc:Choice Requires="x14">
        <control shapeId="15667" r:id="rId236" name="CSAE_EIT">
          <controlPr defaultSize="0" autoLine="0" r:id="rId237">
            <anchor moveWithCells="1">
              <from>
                <xdr:col>15</xdr:col>
                <xdr:colOff>581025</xdr:colOff>
                <xdr:row>18</xdr:row>
                <xdr:rowOff>9525</xdr:rowOff>
              </from>
              <to>
                <xdr:col>16</xdr:col>
                <xdr:colOff>409575</xdr:colOff>
                <xdr:row>19</xdr:row>
                <xdr:rowOff>95250</xdr:rowOff>
              </to>
            </anchor>
          </controlPr>
        </control>
      </mc:Choice>
      <mc:Fallback>
        <control shapeId="15667" r:id="rId236" name="CSAE_EIT"/>
      </mc:Fallback>
    </mc:AlternateContent>
    <mc:AlternateContent xmlns:mc="http://schemas.openxmlformats.org/markup-compatibility/2006">
      <mc:Choice Requires="x14">
        <control shapeId="15666" r:id="rId238" name="CSAE_SME">
          <controlPr defaultSize="0" autoLine="0" r:id="rId239">
            <anchor moveWithCells="1">
              <from>
                <xdr:col>20</xdr:col>
                <xdr:colOff>552450</xdr:colOff>
                <xdr:row>18</xdr:row>
                <xdr:rowOff>9525</xdr:rowOff>
              </from>
              <to>
                <xdr:col>21</xdr:col>
                <xdr:colOff>381000</xdr:colOff>
                <xdr:row>19</xdr:row>
                <xdr:rowOff>95250</xdr:rowOff>
              </to>
            </anchor>
          </controlPr>
        </control>
      </mc:Choice>
      <mc:Fallback>
        <control shapeId="15666" r:id="rId238" name="CSAE_SME"/>
      </mc:Fallback>
    </mc:AlternateContent>
    <mc:AlternateContent xmlns:mc="http://schemas.openxmlformats.org/markup-compatibility/2006">
      <mc:Choice Requires="x14">
        <control shapeId="15665" r:id="rId240" name="CSAE_SP">
          <controlPr defaultSize="0" autoLine="0" r:id="rId241">
            <anchor moveWithCells="1">
              <from>
                <xdr:col>19</xdr:col>
                <xdr:colOff>666750</xdr:colOff>
                <xdr:row>18</xdr:row>
                <xdr:rowOff>9525</xdr:rowOff>
              </from>
              <to>
                <xdr:col>20</xdr:col>
                <xdr:colOff>495300</xdr:colOff>
                <xdr:row>19</xdr:row>
                <xdr:rowOff>95250</xdr:rowOff>
              </to>
            </anchor>
          </controlPr>
        </control>
      </mc:Choice>
      <mc:Fallback>
        <control shapeId="15665" r:id="rId240" name="CSAE_SP"/>
      </mc:Fallback>
    </mc:AlternateContent>
    <mc:AlternateContent xmlns:mc="http://schemas.openxmlformats.org/markup-compatibility/2006">
      <mc:Choice Requires="x14">
        <control shapeId="15664" r:id="rId242" name="CSAE_LD">
          <controlPr defaultSize="0" autoLine="0" r:id="rId243">
            <anchor moveWithCells="1">
              <from>
                <xdr:col>19</xdr:col>
                <xdr:colOff>104775</xdr:colOff>
                <xdr:row>18</xdr:row>
                <xdr:rowOff>9525</xdr:rowOff>
              </from>
              <to>
                <xdr:col>19</xdr:col>
                <xdr:colOff>619125</xdr:colOff>
                <xdr:row>19</xdr:row>
                <xdr:rowOff>95250</xdr:rowOff>
              </to>
            </anchor>
          </controlPr>
        </control>
      </mc:Choice>
      <mc:Fallback>
        <control shapeId="15664" r:id="rId242" name="CSAE_LD"/>
      </mc:Fallback>
    </mc:AlternateContent>
    <mc:AlternateContent xmlns:mc="http://schemas.openxmlformats.org/markup-compatibility/2006">
      <mc:Choice Requires="x14">
        <control shapeId="15663" r:id="rId244" name="CSAE_SR">
          <controlPr defaultSize="0" autoLine="0" r:id="rId245">
            <anchor moveWithCells="1">
              <from>
                <xdr:col>18</xdr:col>
                <xdr:colOff>219075</xdr:colOff>
                <xdr:row>18</xdr:row>
                <xdr:rowOff>9525</xdr:rowOff>
              </from>
              <to>
                <xdr:col>19</xdr:col>
                <xdr:colOff>57150</xdr:colOff>
                <xdr:row>19</xdr:row>
                <xdr:rowOff>95250</xdr:rowOff>
              </to>
            </anchor>
          </controlPr>
        </control>
      </mc:Choice>
      <mc:Fallback>
        <control shapeId="15663" r:id="rId244" name="CSAE_SR"/>
      </mc:Fallback>
    </mc:AlternateContent>
    <mc:AlternateContent xmlns:mc="http://schemas.openxmlformats.org/markup-compatibility/2006">
      <mc:Choice Requires="x14">
        <control shapeId="15662" r:id="rId246" name="CSAE_INT">
          <controlPr defaultSize="0" autoLine="0" r:id="rId247">
            <anchor moveWithCells="1">
              <from>
                <xdr:col>17</xdr:col>
                <xdr:colOff>342900</xdr:colOff>
                <xdr:row>18</xdr:row>
                <xdr:rowOff>9525</xdr:rowOff>
              </from>
              <to>
                <xdr:col>18</xdr:col>
                <xdr:colOff>171450</xdr:colOff>
                <xdr:row>19</xdr:row>
                <xdr:rowOff>95250</xdr:rowOff>
              </to>
            </anchor>
          </controlPr>
        </control>
      </mc:Choice>
      <mc:Fallback>
        <control shapeId="15662" r:id="rId246" name="CSAE_INT"/>
      </mc:Fallback>
    </mc:AlternateContent>
    <mc:AlternateContent xmlns:mc="http://schemas.openxmlformats.org/markup-compatibility/2006">
      <mc:Choice Requires="x14">
        <control shapeId="15661" r:id="rId248" name="CSAE_JR">
          <controlPr defaultSize="0" autoLine="0" r:id="rId249">
            <anchor moveWithCells="1">
              <from>
                <xdr:col>16</xdr:col>
                <xdr:colOff>457200</xdr:colOff>
                <xdr:row>18</xdr:row>
                <xdr:rowOff>9525</xdr:rowOff>
              </from>
              <to>
                <xdr:col>17</xdr:col>
                <xdr:colOff>295275</xdr:colOff>
                <xdr:row>19</xdr:row>
                <xdr:rowOff>95250</xdr:rowOff>
              </to>
            </anchor>
          </controlPr>
        </control>
      </mc:Choice>
      <mc:Fallback>
        <control shapeId="15661" r:id="rId248" name="CSAE_JR"/>
      </mc:Fallback>
    </mc:AlternateContent>
    <mc:AlternateContent xmlns:mc="http://schemas.openxmlformats.org/markup-compatibility/2006">
      <mc:Choice Requires="x14">
        <control shapeId="15660" r:id="rId250" name="TCAE_EIT">
          <controlPr defaultSize="0" autoLine="0" r:id="rId251">
            <anchor moveWithCells="1">
              <from>
                <xdr:col>15</xdr:col>
                <xdr:colOff>581025</xdr:colOff>
                <xdr:row>15</xdr:row>
                <xdr:rowOff>171450</xdr:rowOff>
              </from>
              <to>
                <xdr:col>16</xdr:col>
                <xdr:colOff>409575</xdr:colOff>
                <xdr:row>17</xdr:row>
                <xdr:rowOff>76200</xdr:rowOff>
              </to>
            </anchor>
          </controlPr>
        </control>
      </mc:Choice>
      <mc:Fallback>
        <control shapeId="15660" r:id="rId250" name="TCAE_EIT"/>
      </mc:Fallback>
    </mc:AlternateContent>
    <mc:AlternateContent xmlns:mc="http://schemas.openxmlformats.org/markup-compatibility/2006">
      <mc:Choice Requires="x14">
        <control shapeId="15659" r:id="rId252" name="TCAE_SME">
          <controlPr defaultSize="0" autoLine="0" r:id="rId253">
            <anchor moveWithCells="1">
              <from>
                <xdr:col>20</xdr:col>
                <xdr:colOff>552450</xdr:colOff>
                <xdr:row>15</xdr:row>
                <xdr:rowOff>171450</xdr:rowOff>
              </from>
              <to>
                <xdr:col>21</xdr:col>
                <xdr:colOff>381000</xdr:colOff>
                <xdr:row>17</xdr:row>
                <xdr:rowOff>76200</xdr:rowOff>
              </to>
            </anchor>
          </controlPr>
        </control>
      </mc:Choice>
      <mc:Fallback>
        <control shapeId="15659" r:id="rId252" name="TCAE_SME"/>
      </mc:Fallback>
    </mc:AlternateContent>
    <mc:AlternateContent xmlns:mc="http://schemas.openxmlformats.org/markup-compatibility/2006">
      <mc:Choice Requires="x14">
        <control shapeId="15658" r:id="rId254" name="TCAE_SP">
          <controlPr defaultSize="0" autoLine="0" r:id="rId255">
            <anchor moveWithCells="1">
              <from>
                <xdr:col>19</xdr:col>
                <xdr:colOff>666750</xdr:colOff>
                <xdr:row>15</xdr:row>
                <xdr:rowOff>171450</xdr:rowOff>
              </from>
              <to>
                <xdr:col>20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15658" r:id="rId254" name="TCAE_SP"/>
      </mc:Fallback>
    </mc:AlternateContent>
    <mc:AlternateContent xmlns:mc="http://schemas.openxmlformats.org/markup-compatibility/2006">
      <mc:Choice Requires="x14">
        <control shapeId="15657" r:id="rId256" name="TCAE_LD">
          <controlPr defaultSize="0" autoLine="0" r:id="rId257">
            <anchor moveWithCells="1">
              <from>
                <xdr:col>19</xdr:col>
                <xdr:colOff>104775</xdr:colOff>
                <xdr:row>15</xdr:row>
                <xdr:rowOff>171450</xdr:rowOff>
              </from>
              <to>
                <xdr:col>19</xdr:col>
                <xdr:colOff>619125</xdr:colOff>
                <xdr:row>17</xdr:row>
                <xdr:rowOff>76200</xdr:rowOff>
              </to>
            </anchor>
          </controlPr>
        </control>
      </mc:Choice>
      <mc:Fallback>
        <control shapeId="15657" r:id="rId256" name="TCAE_LD"/>
      </mc:Fallback>
    </mc:AlternateContent>
    <mc:AlternateContent xmlns:mc="http://schemas.openxmlformats.org/markup-compatibility/2006">
      <mc:Choice Requires="x14">
        <control shapeId="15656" r:id="rId258" name="TCAE_SR">
          <controlPr defaultSize="0" autoLine="0" r:id="rId259">
            <anchor moveWithCells="1">
              <from>
                <xdr:col>18</xdr:col>
                <xdr:colOff>219075</xdr:colOff>
                <xdr:row>15</xdr:row>
                <xdr:rowOff>171450</xdr:rowOff>
              </from>
              <to>
                <xdr:col>19</xdr:col>
                <xdr:colOff>57150</xdr:colOff>
                <xdr:row>17</xdr:row>
                <xdr:rowOff>76200</xdr:rowOff>
              </to>
            </anchor>
          </controlPr>
        </control>
      </mc:Choice>
      <mc:Fallback>
        <control shapeId="15656" r:id="rId258" name="TCAE_SR"/>
      </mc:Fallback>
    </mc:AlternateContent>
    <mc:AlternateContent xmlns:mc="http://schemas.openxmlformats.org/markup-compatibility/2006">
      <mc:Choice Requires="x14">
        <control shapeId="15655" r:id="rId260" name="TCAE_INT">
          <controlPr defaultSize="0" autoLine="0" r:id="rId261">
            <anchor moveWithCells="1">
              <from>
                <xdr:col>17</xdr:col>
                <xdr:colOff>342900</xdr:colOff>
                <xdr:row>15</xdr:row>
                <xdr:rowOff>171450</xdr:rowOff>
              </from>
              <to>
                <xdr:col>18</xdr:col>
                <xdr:colOff>171450</xdr:colOff>
                <xdr:row>17</xdr:row>
                <xdr:rowOff>76200</xdr:rowOff>
              </to>
            </anchor>
          </controlPr>
        </control>
      </mc:Choice>
      <mc:Fallback>
        <control shapeId="15655" r:id="rId260" name="TCAE_INT"/>
      </mc:Fallback>
    </mc:AlternateContent>
    <mc:AlternateContent xmlns:mc="http://schemas.openxmlformats.org/markup-compatibility/2006">
      <mc:Choice Requires="x14">
        <control shapeId="15654" r:id="rId262" name="TCAE_JR">
          <controlPr defaultSize="0" autoLine="0" r:id="rId263">
            <anchor moveWithCells="1">
              <from>
                <xdr:col>16</xdr:col>
                <xdr:colOff>457200</xdr:colOff>
                <xdr:row>15</xdr:row>
                <xdr:rowOff>171450</xdr:rowOff>
              </from>
              <to>
                <xdr:col>17</xdr:col>
                <xdr:colOff>295275</xdr:colOff>
                <xdr:row>17</xdr:row>
                <xdr:rowOff>76200</xdr:rowOff>
              </to>
            </anchor>
          </controlPr>
        </control>
      </mc:Choice>
      <mc:Fallback>
        <control shapeId="15654" r:id="rId262" name="TCAE_JR"/>
      </mc:Fallback>
    </mc:AlternateContent>
    <mc:AlternateContent xmlns:mc="http://schemas.openxmlformats.org/markup-compatibility/2006">
      <mc:Choice Requires="x14">
        <control shapeId="15653" r:id="rId264" name="ICE_EIT">
          <controlPr defaultSize="0" autoLine="0" r:id="rId265">
            <anchor moveWithCells="1">
              <from>
                <xdr:col>15</xdr:col>
                <xdr:colOff>581025</xdr:colOff>
                <xdr:row>13</xdr:row>
                <xdr:rowOff>171450</xdr:rowOff>
              </from>
              <to>
                <xdr:col>16</xdr:col>
                <xdr:colOff>409575</xdr:colOff>
                <xdr:row>15</xdr:row>
                <xdr:rowOff>76200</xdr:rowOff>
              </to>
            </anchor>
          </controlPr>
        </control>
      </mc:Choice>
      <mc:Fallback>
        <control shapeId="15653" r:id="rId264" name="ICE_EIT"/>
      </mc:Fallback>
    </mc:AlternateContent>
    <mc:AlternateContent xmlns:mc="http://schemas.openxmlformats.org/markup-compatibility/2006">
      <mc:Choice Requires="x14">
        <control shapeId="15652" r:id="rId266" name="ICE_SME">
          <controlPr defaultSize="0" autoLine="0" r:id="rId267">
            <anchor moveWithCells="1">
              <from>
                <xdr:col>20</xdr:col>
                <xdr:colOff>552450</xdr:colOff>
                <xdr:row>13</xdr:row>
                <xdr:rowOff>171450</xdr:rowOff>
              </from>
              <to>
                <xdr:col>21</xdr:col>
                <xdr:colOff>381000</xdr:colOff>
                <xdr:row>15</xdr:row>
                <xdr:rowOff>76200</xdr:rowOff>
              </to>
            </anchor>
          </controlPr>
        </control>
      </mc:Choice>
      <mc:Fallback>
        <control shapeId="15652" r:id="rId266" name="ICE_SME"/>
      </mc:Fallback>
    </mc:AlternateContent>
    <mc:AlternateContent xmlns:mc="http://schemas.openxmlformats.org/markup-compatibility/2006">
      <mc:Choice Requires="x14">
        <control shapeId="15651" r:id="rId268" name="ICE_SP">
          <controlPr defaultSize="0" autoLine="0" r:id="rId269">
            <anchor moveWithCells="1">
              <from>
                <xdr:col>19</xdr:col>
                <xdr:colOff>666750</xdr:colOff>
                <xdr:row>13</xdr:row>
                <xdr:rowOff>171450</xdr:rowOff>
              </from>
              <to>
                <xdr:col>20</xdr:col>
                <xdr:colOff>495300</xdr:colOff>
                <xdr:row>15</xdr:row>
                <xdr:rowOff>76200</xdr:rowOff>
              </to>
            </anchor>
          </controlPr>
        </control>
      </mc:Choice>
      <mc:Fallback>
        <control shapeId="15651" r:id="rId268" name="ICE_SP"/>
      </mc:Fallback>
    </mc:AlternateContent>
    <mc:AlternateContent xmlns:mc="http://schemas.openxmlformats.org/markup-compatibility/2006">
      <mc:Choice Requires="x14">
        <control shapeId="15650" r:id="rId270" name="ICE_LD">
          <controlPr defaultSize="0" autoLine="0" r:id="rId271">
            <anchor moveWithCells="1">
              <from>
                <xdr:col>19</xdr:col>
                <xdr:colOff>104775</xdr:colOff>
                <xdr:row>13</xdr:row>
                <xdr:rowOff>171450</xdr:rowOff>
              </from>
              <to>
                <xdr:col>19</xdr:col>
                <xdr:colOff>619125</xdr:colOff>
                <xdr:row>15</xdr:row>
                <xdr:rowOff>76200</xdr:rowOff>
              </to>
            </anchor>
          </controlPr>
        </control>
      </mc:Choice>
      <mc:Fallback>
        <control shapeId="15650" r:id="rId270" name="ICE_LD"/>
      </mc:Fallback>
    </mc:AlternateContent>
    <mc:AlternateContent xmlns:mc="http://schemas.openxmlformats.org/markup-compatibility/2006">
      <mc:Choice Requires="x14">
        <control shapeId="15649" r:id="rId272" name="ICE_SR">
          <controlPr defaultSize="0" autoLine="0" r:id="rId273">
            <anchor moveWithCells="1">
              <from>
                <xdr:col>18</xdr:col>
                <xdr:colOff>219075</xdr:colOff>
                <xdr:row>13</xdr:row>
                <xdr:rowOff>171450</xdr:rowOff>
              </from>
              <to>
                <xdr:col>19</xdr:col>
                <xdr:colOff>57150</xdr:colOff>
                <xdr:row>15</xdr:row>
                <xdr:rowOff>76200</xdr:rowOff>
              </to>
            </anchor>
          </controlPr>
        </control>
      </mc:Choice>
      <mc:Fallback>
        <control shapeId="15649" r:id="rId272" name="ICE_SR"/>
      </mc:Fallback>
    </mc:AlternateContent>
    <mc:AlternateContent xmlns:mc="http://schemas.openxmlformats.org/markup-compatibility/2006">
      <mc:Choice Requires="x14">
        <control shapeId="15648" r:id="rId274" name="ICE_INT">
          <controlPr defaultSize="0" autoLine="0" r:id="rId275">
            <anchor moveWithCells="1">
              <from>
                <xdr:col>17</xdr:col>
                <xdr:colOff>342900</xdr:colOff>
                <xdr:row>13</xdr:row>
                <xdr:rowOff>171450</xdr:rowOff>
              </from>
              <to>
                <xdr:col>18</xdr:col>
                <xdr:colOff>171450</xdr:colOff>
                <xdr:row>15</xdr:row>
                <xdr:rowOff>76200</xdr:rowOff>
              </to>
            </anchor>
          </controlPr>
        </control>
      </mc:Choice>
      <mc:Fallback>
        <control shapeId="15648" r:id="rId274" name="ICE_INT"/>
      </mc:Fallback>
    </mc:AlternateContent>
    <mc:AlternateContent xmlns:mc="http://schemas.openxmlformats.org/markup-compatibility/2006">
      <mc:Choice Requires="x14">
        <control shapeId="15647" r:id="rId276" name="ICE_JR">
          <controlPr defaultSize="0" autoLine="0" r:id="rId277">
            <anchor moveWithCells="1">
              <from>
                <xdr:col>16</xdr:col>
                <xdr:colOff>457200</xdr:colOff>
                <xdr:row>13</xdr:row>
                <xdr:rowOff>171450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15647" r:id="rId276" name="ICE_JR"/>
      </mc:Fallback>
    </mc:AlternateContent>
    <mc:AlternateContent xmlns:mc="http://schemas.openxmlformats.org/markup-compatibility/2006">
      <mc:Choice Requires="x14">
        <control shapeId="15646" r:id="rId278" name="EE_EIT">
          <controlPr defaultSize="0" autoLine="0" r:id="rId279">
            <anchor moveWithCells="1">
              <from>
                <xdr:col>15</xdr:col>
                <xdr:colOff>581025</xdr:colOff>
                <xdr:row>11</xdr:row>
                <xdr:rowOff>142875</xdr:rowOff>
              </from>
              <to>
                <xdr:col>16</xdr:col>
                <xdr:colOff>409575</xdr:colOff>
                <xdr:row>13</xdr:row>
                <xdr:rowOff>47625</xdr:rowOff>
              </to>
            </anchor>
          </controlPr>
        </control>
      </mc:Choice>
      <mc:Fallback>
        <control shapeId="15646" r:id="rId278" name="EE_EIT"/>
      </mc:Fallback>
    </mc:AlternateContent>
    <mc:AlternateContent xmlns:mc="http://schemas.openxmlformats.org/markup-compatibility/2006">
      <mc:Choice Requires="x14">
        <control shapeId="15645" r:id="rId280" name="EE_SME">
          <controlPr defaultSize="0" autoLine="0" r:id="rId281">
            <anchor moveWithCells="1">
              <from>
                <xdr:col>20</xdr:col>
                <xdr:colOff>552450</xdr:colOff>
                <xdr:row>11</xdr:row>
                <xdr:rowOff>142875</xdr:rowOff>
              </from>
              <to>
                <xdr:col>21</xdr:col>
                <xdr:colOff>381000</xdr:colOff>
                <xdr:row>13</xdr:row>
                <xdr:rowOff>47625</xdr:rowOff>
              </to>
            </anchor>
          </controlPr>
        </control>
      </mc:Choice>
      <mc:Fallback>
        <control shapeId="15645" r:id="rId280" name="EE_SME"/>
      </mc:Fallback>
    </mc:AlternateContent>
    <mc:AlternateContent xmlns:mc="http://schemas.openxmlformats.org/markup-compatibility/2006">
      <mc:Choice Requires="x14">
        <control shapeId="15644" r:id="rId282" name="EE_SP">
          <controlPr defaultSize="0" autoLine="0" r:id="rId283">
            <anchor moveWithCells="1">
              <from>
                <xdr:col>19</xdr:col>
                <xdr:colOff>666750</xdr:colOff>
                <xdr:row>11</xdr:row>
                <xdr:rowOff>142875</xdr:rowOff>
              </from>
              <to>
                <xdr:col>20</xdr:col>
                <xdr:colOff>495300</xdr:colOff>
                <xdr:row>13</xdr:row>
                <xdr:rowOff>47625</xdr:rowOff>
              </to>
            </anchor>
          </controlPr>
        </control>
      </mc:Choice>
      <mc:Fallback>
        <control shapeId="15644" r:id="rId282" name="EE_SP"/>
      </mc:Fallback>
    </mc:AlternateContent>
    <mc:AlternateContent xmlns:mc="http://schemas.openxmlformats.org/markup-compatibility/2006">
      <mc:Choice Requires="x14">
        <control shapeId="15643" r:id="rId284" name="EE_LD">
          <controlPr defaultSize="0" autoLine="0" r:id="rId285">
            <anchor moveWithCells="1">
              <from>
                <xdr:col>19</xdr:col>
                <xdr:colOff>104775</xdr:colOff>
                <xdr:row>11</xdr:row>
                <xdr:rowOff>142875</xdr:rowOff>
              </from>
              <to>
                <xdr:col>19</xdr:col>
                <xdr:colOff>619125</xdr:colOff>
                <xdr:row>13</xdr:row>
                <xdr:rowOff>47625</xdr:rowOff>
              </to>
            </anchor>
          </controlPr>
        </control>
      </mc:Choice>
      <mc:Fallback>
        <control shapeId="15643" r:id="rId284" name="EE_LD"/>
      </mc:Fallback>
    </mc:AlternateContent>
    <mc:AlternateContent xmlns:mc="http://schemas.openxmlformats.org/markup-compatibility/2006">
      <mc:Choice Requires="x14">
        <control shapeId="15642" r:id="rId286" name="EE_SR">
          <controlPr defaultSize="0" autoLine="0" r:id="rId287">
            <anchor moveWithCells="1">
              <from>
                <xdr:col>18</xdr:col>
                <xdr:colOff>219075</xdr:colOff>
                <xdr:row>11</xdr:row>
                <xdr:rowOff>142875</xdr:rowOff>
              </from>
              <to>
                <xdr:col>19</xdr:col>
                <xdr:colOff>57150</xdr:colOff>
                <xdr:row>13</xdr:row>
                <xdr:rowOff>47625</xdr:rowOff>
              </to>
            </anchor>
          </controlPr>
        </control>
      </mc:Choice>
      <mc:Fallback>
        <control shapeId="15642" r:id="rId286" name="EE_SR"/>
      </mc:Fallback>
    </mc:AlternateContent>
    <mc:AlternateContent xmlns:mc="http://schemas.openxmlformats.org/markup-compatibility/2006">
      <mc:Choice Requires="x14">
        <control shapeId="15641" r:id="rId288" name="EE_INT">
          <controlPr defaultSize="0" autoLine="0" r:id="rId289">
            <anchor moveWithCells="1">
              <from>
                <xdr:col>17</xdr:col>
                <xdr:colOff>342900</xdr:colOff>
                <xdr:row>11</xdr:row>
                <xdr:rowOff>142875</xdr:rowOff>
              </from>
              <to>
                <xdr:col>18</xdr:col>
                <xdr:colOff>171450</xdr:colOff>
                <xdr:row>13</xdr:row>
                <xdr:rowOff>47625</xdr:rowOff>
              </to>
            </anchor>
          </controlPr>
        </control>
      </mc:Choice>
      <mc:Fallback>
        <control shapeId="15641" r:id="rId288" name="EE_INT"/>
      </mc:Fallback>
    </mc:AlternateContent>
    <mc:AlternateContent xmlns:mc="http://schemas.openxmlformats.org/markup-compatibility/2006">
      <mc:Choice Requires="x14">
        <control shapeId="15640" r:id="rId290" name="EE_JR">
          <controlPr defaultSize="0" autoLine="0" r:id="rId291">
            <anchor moveWithCells="1">
              <from>
                <xdr:col>16</xdr:col>
                <xdr:colOff>457200</xdr:colOff>
                <xdr:row>11</xdr:row>
                <xdr:rowOff>142875</xdr:rowOff>
              </from>
              <to>
                <xdr:col>17</xdr:col>
                <xdr:colOff>295275</xdr:colOff>
                <xdr:row>13</xdr:row>
                <xdr:rowOff>47625</xdr:rowOff>
              </to>
            </anchor>
          </controlPr>
        </control>
      </mc:Choice>
      <mc:Fallback>
        <control shapeId="15640" r:id="rId290" name="EE_JR"/>
      </mc:Fallback>
    </mc:AlternateContent>
    <mc:AlternateContent xmlns:mc="http://schemas.openxmlformats.org/markup-compatibility/2006">
      <mc:Choice Requires="x14">
        <control shapeId="15639" r:id="rId292" name="ME_EIT">
          <controlPr defaultSize="0" autoLine="0" r:id="rId293">
            <anchor moveWithCells="1">
              <from>
                <xdr:col>15</xdr:col>
                <xdr:colOff>581025</xdr:colOff>
                <xdr:row>9</xdr:row>
                <xdr:rowOff>133350</xdr:rowOff>
              </from>
              <to>
                <xdr:col>16</xdr:col>
                <xdr:colOff>409575</xdr:colOff>
                <xdr:row>11</xdr:row>
                <xdr:rowOff>38100</xdr:rowOff>
              </to>
            </anchor>
          </controlPr>
        </control>
      </mc:Choice>
      <mc:Fallback>
        <control shapeId="15639" r:id="rId292" name="ME_EIT"/>
      </mc:Fallback>
    </mc:AlternateContent>
    <mc:AlternateContent xmlns:mc="http://schemas.openxmlformats.org/markup-compatibility/2006">
      <mc:Choice Requires="x14">
        <control shapeId="15638" r:id="rId294" name="ME_SME">
          <controlPr defaultSize="0" autoLine="0" r:id="rId295">
            <anchor moveWithCells="1">
              <from>
                <xdr:col>20</xdr:col>
                <xdr:colOff>552450</xdr:colOff>
                <xdr:row>9</xdr:row>
                <xdr:rowOff>133350</xdr:rowOff>
              </from>
              <to>
                <xdr:col>21</xdr:col>
                <xdr:colOff>381000</xdr:colOff>
                <xdr:row>11</xdr:row>
                <xdr:rowOff>38100</xdr:rowOff>
              </to>
            </anchor>
          </controlPr>
        </control>
      </mc:Choice>
      <mc:Fallback>
        <control shapeId="15638" r:id="rId294" name="ME_SME"/>
      </mc:Fallback>
    </mc:AlternateContent>
    <mc:AlternateContent xmlns:mc="http://schemas.openxmlformats.org/markup-compatibility/2006">
      <mc:Choice Requires="x14">
        <control shapeId="15637" r:id="rId296" name="ME_SP">
          <controlPr defaultSize="0" autoLine="0" r:id="rId297">
            <anchor moveWithCells="1">
              <from>
                <xdr:col>19</xdr:col>
                <xdr:colOff>666750</xdr:colOff>
                <xdr:row>9</xdr:row>
                <xdr:rowOff>133350</xdr:rowOff>
              </from>
              <to>
                <xdr:col>20</xdr:col>
                <xdr:colOff>495300</xdr:colOff>
                <xdr:row>11</xdr:row>
                <xdr:rowOff>38100</xdr:rowOff>
              </to>
            </anchor>
          </controlPr>
        </control>
      </mc:Choice>
      <mc:Fallback>
        <control shapeId="15637" r:id="rId296" name="ME_SP"/>
      </mc:Fallback>
    </mc:AlternateContent>
    <mc:AlternateContent xmlns:mc="http://schemas.openxmlformats.org/markup-compatibility/2006">
      <mc:Choice Requires="x14">
        <control shapeId="15636" r:id="rId298" name="ME_LD">
          <controlPr defaultSize="0" autoLine="0" r:id="rId299">
            <anchor moveWithCells="1">
              <from>
                <xdr:col>19</xdr:col>
                <xdr:colOff>104775</xdr:colOff>
                <xdr:row>9</xdr:row>
                <xdr:rowOff>133350</xdr:rowOff>
              </from>
              <to>
                <xdr:col>19</xdr:col>
                <xdr:colOff>619125</xdr:colOff>
                <xdr:row>11</xdr:row>
                <xdr:rowOff>38100</xdr:rowOff>
              </to>
            </anchor>
          </controlPr>
        </control>
      </mc:Choice>
      <mc:Fallback>
        <control shapeId="15636" r:id="rId298" name="ME_LD"/>
      </mc:Fallback>
    </mc:AlternateContent>
    <mc:AlternateContent xmlns:mc="http://schemas.openxmlformats.org/markup-compatibility/2006">
      <mc:Choice Requires="x14">
        <control shapeId="15635" r:id="rId300" name="ME_SR">
          <controlPr defaultSize="0" autoLine="0" r:id="rId301">
            <anchor moveWithCells="1">
              <from>
                <xdr:col>18</xdr:col>
                <xdr:colOff>219075</xdr:colOff>
                <xdr:row>9</xdr:row>
                <xdr:rowOff>133350</xdr:rowOff>
              </from>
              <to>
                <xdr:col>19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15635" r:id="rId300" name="ME_SR"/>
      </mc:Fallback>
    </mc:AlternateContent>
    <mc:AlternateContent xmlns:mc="http://schemas.openxmlformats.org/markup-compatibility/2006">
      <mc:Choice Requires="x14">
        <control shapeId="15634" r:id="rId302" name="ME_INT">
          <controlPr defaultSize="0" autoLine="0" r:id="rId303">
            <anchor moveWithCells="1">
              <from>
                <xdr:col>17</xdr:col>
                <xdr:colOff>342900</xdr:colOff>
                <xdr:row>9</xdr:row>
                <xdr:rowOff>133350</xdr:rowOff>
              </from>
              <to>
                <xdr:col>18</xdr:col>
                <xdr:colOff>171450</xdr:colOff>
                <xdr:row>11</xdr:row>
                <xdr:rowOff>38100</xdr:rowOff>
              </to>
            </anchor>
          </controlPr>
        </control>
      </mc:Choice>
      <mc:Fallback>
        <control shapeId="15634" r:id="rId302" name="ME_INT"/>
      </mc:Fallback>
    </mc:AlternateContent>
    <mc:AlternateContent xmlns:mc="http://schemas.openxmlformats.org/markup-compatibility/2006">
      <mc:Choice Requires="x14">
        <control shapeId="15633" r:id="rId304" name="ME_JR">
          <controlPr defaultSize="0" autoLine="0" r:id="rId305">
            <anchor moveWithCells="1">
              <from>
                <xdr:col>16</xdr:col>
                <xdr:colOff>457200</xdr:colOff>
                <xdr:row>9</xdr:row>
                <xdr:rowOff>133350</xdr:rowOff>
              </from>
              <to>
                <xdr:col>17</xdr:col>
                <xdr:colOff>295275</xdr:colOff>
                <xdr:row>11</xdr:row>
                <xdr:rowOff>38100</xdr:rowOff>
              </to>
            </anchor>
          </controlPr>
        </control>
      </mc:Choice>
      <mc:Fallback>
        <control shapeId="15633" r:id="rId304" name="ME_JR"/>
      </mc:Fallback>
    </mc:AlternateContent>
    <mc:AlternateContent xmlns:mc="http://schemas.openxmlformats.org/markup-compatibility/2006">
      <mc:Choice Requires="x14">
        <control shapeId="15632" r:id="rId306" name="PrE_EIT">
          <controlPr defaultSize="0" autoLine="0" r:id="rId307">
            <anchor moveWithCells="1">
              <from>
                <xdr:col>15</xdr:col>
                <xdr:colOff>581025</xdr:colOff>
                <xdr:row>7</xdr:row>
                <xdr:rowOff>114300</xdr:rowOff>
              </from>
              <to>
                <xdr:col>16</xdr:col>
                <xdr:colOff>409575</xdr:colOff>
                <xdr:row>9</xdr:row>
                <xdr:rowOff>19050</xdr:rowOff>
              </to>
            </anchor>
          </controlPr>
        </control>
      </mc:Choice>
      <mc:Fallback>
        <control shapeId="15632" r:id="rId306" name="PrE_EIT"/>
      </mc:Fallback>
    </mc:AlternateContent>
    <mc:AlternateContent xmlns:mc="http://schemas.openxmlformats.org/markup-compatibility/2006">
      <mc:Choice Requires="x14">
        <control shapeId="15631" r:id="rId308" name="PrE_SME">
          <controlPr defaultSize="0" autoLine="0" r:id="rId309">
            <anchor moveWithCells="1">
              <from>
                <xdr:col>20</xdr:col>
                <xdr:colOff>552450</xdr:colOff>
                <xdr:row>7</xdr:row>
                <xdr:rowOff>114300</xdr:rowOff>
              </from>
              <to>
                <xdr:col>21</xdr:col>
                <xdr:colOff>381000</xdr:colOff>
                <xdr:row>9</xdr:row>
                <xdr:rowOff>19050</xdr:rowOff>
              </to>
            </anchor>
          </controlPr>
        </control>
      </mc:Choice>
      <mc:Fallback>
        <control shapeId="15631" r:id="rId308" name="PrE_SME"/>
      </mc:Fallback>
    </mc:AlternateContent>
    <mc:AlternateContent xmlns:mc="http://schemas.openxmlformats.org/markup-compatibility/2006">
      <mc:Choice Requires="x14">
        <control shapeId="15630" r:id="rId310" name="PrE_SP">
          <controlPr defaultSize="0" autoLine="0" r:id="rId311">
            <anchor moveWithCells="1">
              <from>
                <xdr:col>19</xdr:col>
                <xdr:colOff>666750</xdr:colOff>
                <xdr:row>7</xdr:row>
                <xdr:rowOff>114300</xdr:rowOff>
              </from>
              <to>
                <xdr:col>20</xdr:col>
                <xdr:colOff>495300</xdr:colOff>
                <xdr:row>9</xdr:row>
                <xdr:rowOff>19050</xdr:rowOff>
              </to>
            </anchor>
          </controlPr>
        </control>
      </mc:Choice>
      <mc:Fallback>
        <control shapeId="15630" r:id="rId310" name="PrE_SP"/>
      </mc:Fallback>
    </mc:AlternateContent>
    <mc:AlternateContent xmlns:mc="http://schemas.openxmlformats.org/markup-compatibility/2006">
      <mc:Choice Requires="x14">
        <control shapeId="15629" r:id="rId312" name="PrE_LD">
          <controlPr defaultSize="0" autoLine="0" r:id="rId313">
            <anchor moveWithCells="1">
              <from>
                <xdr:col>19</xdr:col>
                <xdr:colOff>104775</xdr:colOff>
                <xdr:row>7</xdr:row>
                <xdr:rowOff>114300</xdr:rowOff>
              </from>
              <to>
                <xdr:col>19</xdr:col>
                <xdr:colOff>619125</xdr:colOff>
                <xdr:row>9</xdr:row>
                <xdr:rowOff>19050</xdr:rowOff>
              </to>
            </anchor>
          </controlPr>
        </control>
      </mc:Choice>
      <mc:Fallback>
        <control shapeId="15629" r:id="rId312" name="PrE_LD"/>
      </mc:Fallback>
    </mc:AlternateContent>
    <mc:AlternateContent xmlns:mc="http://schemas.openxmlformats.org/markup-compatibility/2006">
      <mc:Choice Requires="x14">
        <control shapeId="15628" r:id="rId314" name="PrE_SR">
          <controlPr defaultSize="0" autoLine="0" r:id="rId315">
            <anchor moveWithCells="1">
              <from>
                <xdr:col>18</xdr:col>
                <xdr:colOff>219075</xdr:colOff>
                <xdr:row>7</xdr:row>
                <xdr:rowOff>114300</xdr:rowOff>
              </from>
              <to>
                <xdr:col>19</xdr:col>
                <xdr:colOff>57150</xdr:colOff>
                <xdr:row>9</xdr:row>
                <xdr:rowOff>19050</xdr:rowOff>
              </to>
            </anchor>
          </controlPr>
        </control>
      </mc:Choice>
      <mc:Fallback>
        <control shapeId="15628" r:id="rId314" name="PrE_SR"/>
      </mc:Fallback>
    </mc:AlternateContent>
    <mc:AlternateContent xmlns:mc="http://schemas.openxmlformats.org/markup-compatibility/2006">
      <mc:Choice Requires="x14">
        <control shapeId="15627" r:id="rId316" name="PrE_INT">
          <controlPr defaultSize="0" autoLine="0" r:id="rId317">
            <anchor moveWithCells="1">
              <from>
                <xdr:col>17</xdr:col>
                <xdr:colOff>342900</xdr:colOff>
                <xdr:row>7</xdr:row>
                <xdr:rowOff>114300</xdr:rowOff>
              </from>
              <to>
                <xdr:col>18</xdr:col>
                <xdr:colOff>171450</xdr:colOff>
                <xdr:row>9</xdr:row>
                <xdr:rowOff>19050</xdr:rowOff>
              </to>
            </anchor>
          </controlPr>
        </control>
      </mc:Choice>
      <mc:Fallback>
        <control shapeId="15627" r:id="rId316" name="PrE_INT"/>
      </mc:Fallback>
    </mc:AlternateContent>
    <mc:AlternateContent xmlns:mc="http://schemas.openxmlformats.org/markup-compatibility/2006">
      <mc:Choice Requires="x14">
        <control shapeId="15626" r:id="rId318" name="PrE_JR">
          <controlPr defaultSize="0" autoLine="0" r:id="rId319">
            <anchor moveWithCells="1">
              <from>
                <xdr:col>16</xdr:col>
                <xdr:colOff>457200</xdr:colOff>
                <xdr:row>7</xdr:row>
                <xdr:rowOff>114300</xdr:rowOff>
              </from>
              <to>
                <xdr:col>17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15626" r:id="rId318" name="PrE_JR"/>
      </mc:Fallback>
    </mc:AlternateContent>
    <mc:AlternateContent xmlns:mc="http://schemas.openxmlformats.org/markup-compatibility/2006">
      <mc:Choice Requires="x14">
        <control shapeId="15415" r:id="rId320" name="PC_TRN">
          <controlPr defaultSize="0" autoLine="0" r:id="rId321">
            <anchor moveWithCells="1">
              <from>
                <xdr:col>8</xdr:col>
                <xdr:colOff>409575</xdr:colOff>
                <xdr:row>18</xdr:row>
                <xdr:rowOff>9525</xdr:rowOff>
              </from>
              <to>
                <xdr:col>9</xdr:col>
                <xdr:colOff>238125</xdr:colOff>
                <xdr:row>19</xdr:row>
                <xdr:rowOff>95250</xdr:rowOff>
              </to>
            </anchor>
          </controlPr>
        </control>
      </mc:Choice>
      <mc:Fallback>
        <control shapeId="15415" r:id="rId320" name="PC_TRN"/>
      </mc:Fallback>
    </mc:AlternateContent>
    <mc:AlternateContent xmlns:mc="http://schemas.openxmlformats.org/markup-compatibility/2006">
      <mc:Choice Requires="x14">
        <control shapeId="15413" r:id="rId322" name="PC_SP">
          <controlPr defaultSize="0" autoLine="0" r:id="rId323">
            <anchor moveWithCells="1">
              <from>
                <xdr:col>12</xdr:col>
                <xdr:colOff>504825</xdr:colOff>
                <xdr:row>18</xdr:row>
                <xdr:rowOff>9525</xdr:rowOff>
              </from>
              <to>
                <xdr:col>13</xdr:col>
                <xdr:colOff>333375</xdr:colOff>
                <xdr:row>19</xdr:row>
                <xdr:rowOff>95250</xdr:rowOff>
              </to>
            </anchor>
          </controlPr>
        </control>
      </mc:Choice>
      <mc:Fallback>
        <control shapeId="15413" r:id="rId322" name="PC_SP"/>
      </mc:Fallback>
    </mc:AlternateContent>
    <mc:AlternateContent xmlns:mc="http://schemas.openxmlformats.org/markup-compatibility/2006">
      <mc:Choice Requires="x14">
        <control shapeId="15412" r:id="rId324" name="PC_LD">
          <controlPr defaultSize="0" autoLine="0" r:id="rId325">
            <anchor moveWithCells="1">
              <from>
                <xdr:col>11</xdr:col>
                <xdr:colOff>619125</xdr:colOff>
                <xdr:row>18</xdr:row>
                <xdr:rowOff>9525</xdr:rowOff>
              </from>
              <to>
                <xdr:col>12</xdr:col>
                <xdr:colOff>457200</xdr:colOff>
                <xdr:row>19</xdr:row>
                <xdr:rowOff>95250</xdr:rowOff>
              </to>
            </anchor>
          </controlPr>
        </control>
      </mc:Choice>
      <mc:Fallback>
        <control shapeId="15412" r:id="rId324" name="PC_LD"/>
      </mc:Fallback>
    </mc:AlternateContent>
    <mc:AlternateContent xmlns:mc="http://schemas.openxmlformats.org/markup-compatibility/2006">
      <mc:Choice Requires="x14">
        <control shapeId="15411" r:id="rId326" name="PC_SR">
          <controlPr defaultSize="0" autoLine="0" r:id="rId327">
            <anchor moveWithCells="1">
              <from>
                <xdr:col>11</xdr:col>
                <xdr:colOff>57150</xdr:colOff>
                <xdr:row>18</xdr:row>
                <xdr:rowOff>9525</xdr:rowOff>
              </from>
              <to>
                <xdr:col>11</xdr:col>
                <xdr:colOff>571500</xdr:colOff>
                <xdr:row>19</xdr:row>
                <xdr:rowOff>95250</xdr:rowOff>
              </to>
            </anchor>
          </controlPr>
        </control>
      </mc:Choice>
      <mc:Fallback>
        <control shapeId="15411" r:id="rId326" name="PC_SR"/>
      </mc:Fallback>
    </mc:AlternateContent>
    <mc:AlternateContent xmlns:mc="http://schemas.openxmlformats.org/markup-compatibility/2006">
      <mc:Choice Requires="x14">
        <control shapeId="15410" r:id="rId328" name="PC_INT">
          <controlPr defaultSize="0" autoLine="0" r:id="rId329">
            <anchor moveWithCells="1">
              <from>
                <xdr:col>10</xdr:col>
                <xdr:colOff>171450</xdr:colOff>
                <xdr:row>18</xdr:row>
                <xdr:rowOff>9525</xdr:rowOff>
              </from>
              <to>
                <xdr:col>11</xdr:col>
                <xdr:colOff>9525</xdr:colOff>
                <xdr:row>19</xdr:row>
                <xdr:rowOff>95250</xdr:rowOff>
              </to>
            </anchor>
          </controlPr>
        </control>
      </mc:Choice>
      <mc:Fallback>
        <control shapeId="15410" r:id="rId328" name="PC_INT"/>
      </mc:Fallback>
    </mc:AlternateContent>
    <mc:AlternateContent xmlns:mc="http://schemas.openxmlformats.org/markup-compatibility/2006">
      <mc:Choice Requires="x14">
        <control shapeId="15409" r:id="rId330" name="PC_JR">
          <controlPr defaultSize="0" autoLine="0" r:id="rId331">
            <anchor moveWithCells="1">
              <from>
                <xdr:col>9</xdr:col>
                <xdr:colOff>295275</xdr:colOff>
                <xdr:row>18</xdr:row>
                <xdr:rowOff>9525</xdr:rowOff>
              </from>
              <to>
                <xdr:col>10</xdr:col>
                <xdr:colOff>123825</xdr:colOff>
                <xdr:row>19</xdr:row>
                <xdr:rowOff>95250</xdr:rowOff>
              </to>
            </anchor>
          </controlPr>
        </control>
      </mc:Choice>
      <mc:Fallback>
        <control shapeId="15409" r:id="rId330" name="PC_JR"/>
      </mc:Fallback>
    </mc:AlternateContent>
    <mc:AlternateContent xmlns:mc="http://schemas.openxmlformats.org/markup-compatibility/2006">
      <mc:Choice Requires="x14">
        <control shapeId="15408" r:id="rId332" name="PCO_TRN">
          <controlPr defaultSize="0" autoLine="0" r:id="rId333">
            <anchor moveWithCells="1">
              <from>
                <xdr:col>8</xdr:col>
                <xdr:colOff>409575</xdr:colOff>
                <xdr:row>15</xdr:row>
                <xdr:rowOff>171450</xdr:rowOff>
              </from>
              <to>
                <xdr:col>9</xdr:col>
                <xdr:colOff>238125</xdr:colOff>
                <xdr:row>17</xdr:row>
                <xdr:rowOff>76200</xdr:rowOff>
              </to>
            </anchor>
          </controlPr>
        </control>
      </mc:Choice>
      <mc:Fallback>
        <control shapeId="15408" r:id="rId332" name="PCO_TRN"/>
      </mc:Fallback>
    </mc:AlternateContent>
    <mc:AlternateContent xmlns:mc="http://schemas.openxmlformats.org/markup-compatibility/2006">
      <mc:Choice Requires="x14">
        <control shapeId="15405" r:id="rId334" name="PCO_LD">
          <controlPr defaultSize="0" autoLine="0" r:id="rId335">
            <anchor moveWithCells="1">
              <from>
                <xdr:col>11</xdr:col>
                <xdr:colOff>619125</xdr:colOff>
                <xdr:row>15</xdr:row>
                <xdr:rowOff>171450</xdr:rowOff>
              </from>
              <to>
                <xdr:col>12</xdr:col>
                <xdr:colOff>457200</xdr:colOff>
                <xdr:row>17</xdr:row>
                <xdr:rowOff>76200</xdr:rowOff>
              </to>
            </anchor>
          </controlPr>
        </control>
      </mc:Choice>
      <mc:Fallback>
        <control shapeId="15405" r:id="rId334" name="PCO_LD"/>
      </mc:Fallback>
    </mc:AlternateContent>
    <mc:AlternateContent xmlns:mc="http://schemas.openxmlformats.org/markup-compatibility/2006">
      <mc:Choice Requires="x14">
        <control shapeId="15404" r:id="rId336" name="PCO_SR">
          <controlPr defaultSize="0" autoLine="0" r:id="rId337">
            <anchor moveWithCells="1">
              <from>
                <xdr:col>11</xdr:col>
                <xdr:colOff>57150</xdr:colOff>
                <xdr:row>15</xdr:row>
                <xdr:rowOff>171450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5404" r:id="rId336" name="PCO_SR"/>
      </mc:Fallback>
    </mc:AlternateContent>
    <mc:AlternateContent xmlns:mc="http://schemas.openxmlformats.org/markup-compatibility/2006">
      <mc:Choice Requires="x14">
        <control shapeId="15403" r:id="rId338" name="PCO_INT">
          <controlPr defaultSize="0" autoLine="0" r:id="rId339">
            <anchor moveWithCells="1">
              <from>
                <xdr:col>10</xdr:col>
                <xdr:colOff>171450</xdr:colOff>
                <xdr:row>15</xdr:row>
                <xdr:rowOff>171450</xdr:rowOff>
              </from>
              <to>
                <xdr:col>11</xdr:col>
                <xdr:colOff>9525</xdr:colOff>
                <xdr:row>17</xdr:row>
                <xdr:rowOff>76200</xdr:rowOff>
              </to>
            </anchor>
          </controlPr>
        </control>
      </mc:Choice>
      <mc:Fallback>
        <control shapeId="15403" r:id="rId338" name="PCO_INT"/>
      </mc:Fallback>
    </mc:AlternateContent>
    <mc:AlternateContent xmlns:mc="http://schemas.openxmlformats.org/markup-compatibility/2006">
      <mc:Choice Requires="x14">
        <control shapeId="15402" r:id="rId340" name="PCO_JR">
          <controlPr defaultSize="0" autoLine="0" r:id="rId341">
            <anchor moveWithCells="1">
              <from>
                <xdr:col>9</xdr:col>
                <xdr:colOff>295275</xdr:colOff>
                <xdr:row>15</xdr:row>
                <xdr:rowOff>171450</xdr:rowOff>
              </from>
              <to>
                <xdr:col>10</xdr:col>
                <xdr:colOff>123825</xdr:colOff>
                <xdr:row>17</xdr:row>
                <xdr:rowOff>76200</xdr:rowOff>
              </to>
            </anchor>
          </controlPr>
        </control>
      </mc:Choice>
      <mc:Fallback>
        <control shapeId="15402" r:id="rId340" name="PCO_JR"/>
      </mc:Fallback>
    </mc:AlternateContent>
    <mc:AlternateContent xmlns:mc="http://schemas.openxmlformats.org/markup-compatibility/2006">
      <mc:Choice Requires="x14">
        <control shapeId="15401" r:id="rId342" name="PE_EIT">
          <controlPr defaultSize="0" autoLine="0" r:id="rId343">
            <anchor moveWithCells="1">
              <from>
                <xdr:col>8</xdr:col>
                <xdr:colOff>409575</xdr:colOff>
                <xdr:row>13</xdr:row>
                <xdr:rowOff>171450</xdr:rowOff>
              </from>
              <to>
                <xdr:col>9</xdr:col>
                <xdr:colOff>238125</xdr:colOff>
                <xdr:row>15</xdr:row>
                <xdr:rowOff>76200</xdr:rowOff>
              </to>
            </anchor>
          </controlPr>
        </control>
      </mc:Choice>
      <mc:Fallback>
        <control shapeId="15401" r:id="rId342" name="PE_EIT"/>
      </mc:Fallback>
    </mc:AlternateContent>
    <mc:AlternateContent xmlns:mc="http://schemas.openxmlformats.org/markup-compatibility/2006">
      <mc:Choice Requires="x14">
        <control shapeId="15398" r:id="rId344" name="PE_LD">
          <controlPr defaultSize="0" autoLine="0" r:id="rId345">
            <anchor moveWithCells="1">
              <from>
                <xdr:col>11</xdr:col>
                <xdr:colOff>619125</xdr:colOff>
                <xdr:row>13</xdr:row>
                <xdr:rowOff>171450</xdr:rowOff>
              </from>
              <to>
                <xdr:col>12</xdr:col>
                <xdr:colOff>457200</xdr:colOff>
                <xdr:row>15</xdr:row>
                <xdr:rowOff>76200</xdr:rowOff>
              </to>
            </anchor>
          </controlPr>
        </control>
      </mc:Choice>
      <mc:Fallback>
        <control shapeId="15398" r:id="rId344" name="PE_LD"/>
      </mc:Fallback>
    </mc:AlternateContent>
    <mc:AlternateContent xmlns:mc="http://schemas.openxmlformats.org/markup-compatibility/2006">
      <mc:Choice Requires="x14">
        <control shapeId="15397" r:id="rId346" name="PE_SR">
          <controlPr defaultSize="0" autoLine="0" r:id="rId347">
            <anchor moveWithCells="1">
              <from>
                <xdr:col>11</xdr:col>
                <xdr:colOff>57150</xdr:colOff>
                <xdr:row>13</xdr:row>
                <xdr:rowOff>171450</xdr:rowOff>
              </from>
              <to>
                <xdr:col>11</xdr:col>
                <xdr:colOff>571500</xdr:colOff>
                <xdr:row>15</xdr:row>
                <xdr:rowOff>76200</xdr:rowOff>
              </to>
            </anchor>
          </controlPr>
        </control>
      </mc:Choice>
      <mc:Fallback>
        <control shapeId="15397" r:id="rId346" name="PE_SR"/>
      </mc:Fallback>
    </mc:AlternateContent>
    <mc:AlternateContent xmlns:mc="http://schemas.openxmlformats.org/markup-compatibility/2006">
      <mc:Choice Requires="x14">
        <control shapeId="15396" r:id="rId348" name="PE_INT">
          <controlPr defaultSize="0" autoLine="0" r:id="rId349">
            <anchor moveWithCells="1">
              <from>
                <xdr:col>10</xdr:col>
                <xdr:colOff>171450</xdr:colOff>
                <xdr:row>13</xdr:row>
                <xdr:rowOff>171450</xdr:rowOff>
              </from>
              <to>
                <xdr:col>11</xdr:col>
                <xdr:colOff>9525</xdr:colOff>
                <xdr:row>15</xdr:row>
                <xdr:rowOff>76200</xdr:rowOff>
              </to>
            </anchor>
          </controlPr>
        </control>
      </mc:Choice>
      <mc:Fallback>
        <control shapeId="15396" r:id="rId348" name="PE_INT"/>
      </mc:Fallback>
    </mc:AlternateContent>
    <mc:AlternateContent xmlns:mc="http://schemas.openxmlformats.org/markup-compatibility/2006">
      <mc:Choice Requires="x14">
        <control shapeId="15395" r:id="rId350" name="PE_JR">
          <controlPr defaultSize="0" autoLine="0" r:id="rId351">
            <anchor moveWithCells="1">
              <from>
                <xdr:col>9</xdr:col>
                <xdr:colOff>295275</xdr:colOff>
                <xdr:row>13</xdr:row>
                <xdr:rowOff>171450</xdr:rowOff>
              </from>
              <to>
                <xdr:col>10</xdr:col>
                <xdr:colOff>123825</xdr:colOff>
                <xdr:row>15</xdr:row>
                <xdr:rowOff>76200</xdr:rowOff>
              </to>
            </anchor>
          </controlPr>
        </control>
      </mc:Choice>
      <mc:Fallback>
        <control shapeId="15395" r:id="rId350" name="PE_JR"/>
      </mc:Fallback>
    </mc:AlternateContent>
    <mc:AlternateContent xmlns:mc="http://schemas.openxmlformats.org/markup-compatibility/2006">
      <mc:Choice Requires="x14">
        <control shapeId="15394" r:id="rId352" name="DC_TRN">
          <controlPr defaultSize="0" autoLine="0" r:id="rId353">
            <anchor moveWithCells="1">
              <from>
                <xdr:col>8</xdr:col>
                <xdr:colOff>409575</xdr:colOff>
                <xdr:row>11</xdr:row>
                <xdr:rowOff>142875</xdr:rowOff>
              </from>
              <to>
                <xdr:col>9</xdr:col>
                <xdr:colOff>238125</xdr:colOff>
                <xdr:row>13</xdr:row>
                <xdr:rowOff>47625</xdr:rowOff>
              </to>
            </anchor>
          </controlPr>
        </control>
      </mc:Choice>
      <mc:Fallback>
        <control shapeId="15394" r:id="rId352" name="DC_TRN"/>
      </mc:Fallback>
    </mc:AlternateContent>
    <mc:AlternateContent xmlns:mc="http://schemas.openxmlformats.org/markup-compatibility/2006">
      <mc:Choice Requires="x14">
        <control shapeId="15391" r:id="rId354" name="DC_LD">
          <controlPr defaultSize="0" autoLine="0" r:id="rId355">
            <anchor moveWithCells="1">
              <from>
                <xdr:col>11</xdr:col>
                <xdr:colOff>619125</xdr:colOff>
                <xdr:row>11</xdr:row>
                <xdr:rowOff>142875</xdr:rowOff>
              </from>
              <to>
                <xdr:col>12</xdr:col>
                <xdr:colOff>457200</xdr:colOff>
                <xdr:row>13</xdr:row>
                <xdr:rowOff>47625</xdr:rowOff>
              </to>
            </anchor>
          </controlPr>
        </control>
      </mc:Choice>
      <mc:Fallback>
        <control shapeId="15391" r:id="rId354" name="DC_LD"/>
      </mc:Fallback>
    </mc:AlternateContent>
    <mc:AlternateContent xmlns:mc="http://schemas.openxmlformats.org/markup-compatibility/2006">
      <mc:Choice Requires="x14">
        <control shapeId="15390" r:id="rId356" name="DC_SR">
          <controlPr defaultSize="0" autoLine="0" r:id="rId357">
            <anchor moveWithCells="1">
              <from>
                <xdr:col>11</xdr:col>
                <xdr:colOff>57150</xdr:colOff>
                <xdr:row>11</xdr:row>
                <xdr:rowOff>142875</xdr:rowOff>
              </from>
              <to>
                <xdr:col>11</xdr:col>
                <xdr:colOff>571500</xdr:colOff>
                <xdr:row>13</xdr:row>
                <xdr:rowOff>47625</xdr:rowOff>
              </to>
            </anchor>
          </controlPr>
        </control>
      </mc:Choice>
      <mc:Fallback>
        <control shapeId="15390" r:id="rId356" name="DC_SR"/>
      </mc:Fallback>
    </mc:AlternateContent>
    <mc:AlternateContent xmlns:mc="http://schemas.openxmlformats.org/markup-compatibility/2006">
      <mc:Choice Requires="x14">
        <control shapeId="15389" r:id="rId358" name="DC_INT">
          <controlPr defaultSize="0" autoLine="0" r:id="rId359">
            <anchor moveWithCells="1">
              <from>
                <xdr:col>10</xdr:col>
                <xdr:colOff>171450</xdr:colOff>
                <xdr:row>11</xdr:row>
                <xdr:rowOff>142875</xdr:rowOff>
              </from>
              <to>
                <xdr:col>11</xdr:col>
                <xdr:colOff>9525</xdr:colOff>
                <xdr:row>13</xdr:row>
                <xdr:rowOff>47625</xdr:rowOff>
              </to>
            </anchor>
          </controlPr>
        </control>
      </mc:Choice>
      <mc:Fallback>
        <control shapeId="15389" r:id="rId358" name="DC_INT"/>
      </mc:Fallback>
    </mc:AlternateContent>
    <mc:AlternateContent xmlns:mc="http://schemas.openxmlformats.org/markup-compatibility/2006">
      <mc:Choice Requires="x14">
        <control shapeId="15388" r:id="rId360" name="DC_JR">
          <controlPr defaultSize="0" autoLine="0" r:id="rId361">
            <anchor moveWithCells="1">
              <from>
                <xdr:col>9</xdr:col>
                <xdr:colOff>295275</xdr:colOff>
                <xdr:row>11</xdr:row>
                <xdr:rowOff>142875</xdr:rowOff>
              </from>
              <to>
                <xdr:col>10</xdr:col>
                <xdr:colOff>123825</xdr:colOff>
                <xdr:row>13</xdr:row>
                <xdr:rowOff>47625</xdr:rowOff>
              </to>
            </anchor>
          </controlPr>
        </control>
      </mc:Choice>
      <mc:Fallback>
        <control shapeId="15388" r:id="rId360" name="DC_JR"/>
      </mc:Fallback>
    </mc:AlternateContent>
    <mc:AlternateContent xmlns:mc="http://schemas.openxmlformats.org/markup-compatibility/2006">
      <mc:Choice Requires="x14">
        <control shapeId="15387" r:id="rId362" name="AD_TRN">
          <controlPr defaultSize="0" autoLine="0" r:id="rId363">
            <anchor moveWithCells="1">
              <from>
                <xdr:col>8</xdr:col>
                <xdr:colOff>409575</xdr:colOff>
                <xdr:row>9</xdr:row>
                <xdr:rowOff>133350</xdr:rowOff>
              </from>
              <to>
                <xdr:col>9</xdr:col>
                <xdr:colOff>238125</xdr:colOff>
                <xdr:row>11</xdr:row>
                <xdr:rowOff>38100</xdr:rowOff>
              </to>
            </anchor>
          </controlPr>
        </control>
      </mc:Choice>
      <mc:Fallback>
        <control shapeId="15387" r:id="rId362" name="AD_TRN"/>
      </mc:Fallback>
    </mc:AlternateContent>
    <mc:AlternateContent xmlns:mc="http://schemas.openxmlformats.org/markup-compatibility/2006">
      <mc:Choice Requires="x14">
        <control shapeId="15383" r:id="rId364" name="AD_SR">
          <controlPr defaultSize="0" autoLine="0" r:id="rId365">
            <anchor moveWithCells="1">
              <from>
                <xdr:col>11</xdr:col>
                <xdr:colOff>57150</xdr:colOff>
                <xdr:row>9</xdr:row>
                <xdr:rowOff>133350</xdr:rowOff>
              </from>
              <to>
                <xdr:col>11</xdr:col>
                <xdr:colOff>571500</xdr:colOff>
                <xdr:row>11</xdr:row>
                <xdr:rowOff>38100</xdr:rowOff>
              </to>
            </anchor>
          </controlPr>
        </control>
      </mc:Choice>
      <mc:Fallback>
        <control shapeId="15383" r:id="rId364" name="AD_SR"/>
      </mc:Fallback>
    </mc:AlternateContent>
    <mc:AlternateContent xmlns:mc="http://schemas.openxmlformats.org/markup-compatibility/2006">
      <mc:Choice Requires="x14">
        <control shapeId="15382" r:id="rId366" name="AD_INT">
          <controlPr defaultSize="0" autoLine="0" r:id="rId367">
            <anchor moveWithCells="1">
              <from>
                <xdr:col>10</xdr:col>
                <xdr:colOff>171450</xdr:colOff>
                <xdr:row>9</xdr:row>
                <xdr:rowOff>133350</xdr:rowOff>
              </from>
              <to>
                <xdr:col>11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15382" r:id="rId366" name="AD_INT"/>
      </mc:Fallback>
    </mc:AlternateContent>
    <mc:AlternateContent xmlns:mc="http://schemas.openxmlformats.org/markup-compatibility/2006">
      <mc:Choice Requires="x14">
        <control shapeId="15381" r:id="rId368" name="AD_JR">
          <controlPr defaultSize="0" autoLine="0" r:id="rId369">
            <anchor moveWithCells="1">
              <from>
                <xdr:col>9</xdr:col>
                <xdr:colOff>295275</xdr:colOff>
                <xdr:row>9</xdr:row>
                <xdr:rowOff>133350</xdr:rowOff>
              </from>
              <to>
                <xdr:col>10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5381" r:id="rId368" name="AD_JR"/>
      </mc:Fallback>
    </mc:AlternateContent>
    <mc:AlternateContent xmlns:mc="http://schemas.openxmlformats.org/markup-compatibility/2006">
      <mc:Choice Requires="x14">
        <control shapeId="15372" r:id="rId370" name="PM_SME">
          <controlPr defaultSize="0" autoLine="0" r:id="rId371">
            <anchor moveWithCells="1">
              <from>
                <xdr:col>13</xdr:col>
                <xdr:colOff>381000</xdr:colOff>
                <xdr:row>7</xdr:row>
                <xdr:rowOff>114300</xdr:rowOff>
              </from>
              <to>
                <xdr:col>14</xdr:col>
                <xdr:colOff>219075</xdr:colOff>
                <xdr:row>9</xdr:row>
                <xdr:rowOff>19050</xdr:rowOff>
              </to>
            </anchor>
          </controlPr>
        </control>
      </mc:Choice>
      <mc:Fallback>
        <control shapeId="15372" r:id="rId370" name="PM_SME"/>
      </mc:Fallback>
    </mc:AlternateContent>
    <mc:AlternateContent xmlns:mc="http://schemas.openxmlformats.org/markup-compatibility/2006">
      <mc:Choice Requires="x14">
        <control shapeId="15371" r:id="rId372" name="PM_SP">
          <controlPr defaultSize="0" autoLine="0" r:id="rId373">
            <anchor moveWithCells="1">
              <from>
                <xdr:col>12</xdr:col>
                <xdr:colOff>504825</xdr:colOff>
                <xdr:row>7</xdr:row>
                <xdr:rowOff>114300</xdr:rowOff>
              </from>
              <to>
                <xdr:col>13</xdr:col>
                <xdr:colOff>333375</xdr:colOff>
                <xdr:row>9</xdr:row>
                <xdr:rowOff>19050</xdr:rowOff>
              </to>
            </anchor>
          </controlPr>
        </control>
      </mc:Choice>
      <mc:Fallback>
        <control shapeId="15371" r:id="rId372" name="PM_SP"/>
      </mc:Fallback>
    </mc:AlternateContent>
    <mc:AlternateContent xmlns:mc="http://schemas.openxmlformats.org/markup-compatibility/2006">
      <mc:Choice Requires="x14">
        <control shapeId="15370" r:id="rId374" name="PM_LD">
          <controlPr defaultSize="0" autoLine="0" r:id="rId375">
            <anchor moveWithCells="1">
              <from>
                <xdr:col>11</xdr:col>
                <xdr:colOff>619125</xdr:colOff>
                <xdr:row>7</xdr:row>
                <xdr:rowOff>114300</xdr:rowOff>
              </from>
              <to>
                <xdr:col>12</xdr:col>
                <xdr:colOff>457200</xdr:colOff>
                <xdr:row>9</xdr:row>
                <xdr:rowOff>19050</xdr:rowOff>
              </to>
            </anchor>
          </controlPr>
        </control>
      </mc:Choice>
      <mc:Fallback>
        <control shapeId="15370" r:id="rId374" name="PM_LD"/>
      </mc:Fallback>
    </mc:AlternateContent>
    <mc:AlternateContent xmlns:mc="http://schemas.openxmlformats.org/markup-compatibility/2006">
      <mc:Choice Requires="x14">
        <control shapeId="15369" r:id="rId376" name="PM_SR">
          <controlPr defaultSize="0" autoLine="0" r:id="rId377">
            <anchor moveWithCells="1">
              <from>
                <xdr:col>11</xdr:col>
                <xdr:colOff>57150</xdr:colOff>
                <xdr:row>7</xdr:row>
                <xdr:rowOff>114300</xdr:rowOff>
              </from>
              <to>
                <xdr:col>11</xdr:col>
                <xdr:colOff>571500</xdr:colOff>
                <xdr:row>9</xdr:row>
                <xdr:rowOff>19050</xdr:rowOff>
              </to>
            </anchor>
          </controlPr>
        </control>
      </mc:Choice>
      <mc:Fallback>
        <control shapeId="15369" r:id="rId376" name="PM_SR"/>
      </mc:Fallback>
    </mc:AlternateContent>
    <mc:AlternateContent xmlns:mc="http://schemas.openxmlformats.org/markup-compatibility/2006">
      <mc:Choice Requires="x14">
        <control shapeId="15368" r:id="rId378" name="PM_INT">
          <controlPr defaultSize="0" autoLine="0" r:id="rId379">
            <anchor moveWithCells="1">
              <from>
                <xdr:col>10</xdr:col>
                <xdr:colOff>171450</xdr:colOff>
                <xdr:row>7</xdr:row>
                <xdr:rowOff>114300</xdr:rowOff>
              </from>
              <to>
                <xdr:col>11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15368" r:id="rId378" name="PM_INT"/>
      </mc:Fallback>
    </mc:AlternateContent>
    <mc:AlternateContent xmlns:mc="http://schemas.openxmlformats.org/markup-compatibility/2006">
      <mc:Choice Requires="x14">
        <control shapeId="15366" r:id="rId380" name="PM_JR">
          <controlPr defaultSize="0" autoLine="0" r:id="rId381">
            <anchor moveWithCells="1">
              <from>
                <xdr:col>9</xdr:col>
                <xdr:colOff>295275</xdr:colOff>
                <xdr:row>7</xdr:row>
                <xdr:rowOff>114300</xdr:rowOff>
              </from>
              <to>
                <xdr:col>10</xdr:col>
                <xdr:colOff>123825</xdr:colOff>
                <xdr:row>9</xdr:row>
                <xdr:rowOff>19050</xdr:rowOff>
              </to>
            </anchor>
          </controlPr>
        </control>
      </mc:Choice>
      <mc:Fallback>
        <control shapeId="15366" r:id="rId380" name="PM_JR"/>
      </mc:Fallback>
    </mc:AlternateContent>
    <mc:AlternateContent xmlns:mc="http://schemas.openxmlformats.org/markup-compatibility/2006">
      <mc:Choice Requires="x14">
        <control shapeId="15956" r:id="rId382" name="SiteVisit">
          <controlPr defaultSize="0" autoLine="0" r:id="rId383">
            <anchor moveWithCells="1">
              <from>
                <xdr:col>0</xdr:col>
                <xdr:colOff>581025</xdr:colOff>
                <xdr:row>12</xdr:row>
                <xdr:rowOff>66675</xdr:rowOff>
              </from>
              <to>
                <xdr:col>2</xdr:col>
                <xdr:colOff>219075</xdr:colOff>
                <xdr:row>13</xdr:row>
                <xdr:rowOff>142875</xdr:rowOff>
              </to>
            </anchor>
          </controlPr>
        </control>
      </mc:Choice>
      <mc:Fallback>
        <control shapeId="15956" r:id="rId382" name="SiteVisit"/>
      </mc:Fallback>
    </mc:AlternateContent>
    <mc:AlternateContent xmlns:mc="http://schemas.openxmlformats.org/markup-compatibility/2006">
      <mc:Choice Requires="x14">
        <control shapeId="15957" r:id="rId384" name="CourierCheckbox">
          <controlPr defaultSize="0" autoLine="0" r:id="rId385">
            <anchor moveWithCells="1">
              <from>
                <xdr:col>0</xdr:col>
                <xdr:colOff>581025</xdr:colOff>
                <xdr:row>14</xdr:row>
                <xdr:rowOff>47625</xdr:rowOff>
              </from>
              <to>
                <xdr:col>2</xdr:col>
                <xdr:colOff>219075</xdr:colOff>
                <xdr:row>15</xdr:row>
                <xdr:rowOff>123825</xdr:rowOff>
              </to>
            </anchor>
          </controlPr>
        </control>
      </mc:Choice>
      <mc:Fallback>
        <control shapeId="15957" r:id="rId384" name="CourierCheckbox"/>
      </mc:Fallback>
    </mc:AlternateContent>
    <mc:AlternateContent xmlns:mc="http://schemas.openxmlformats.org/markup-compatibility/2006">
      <mc:Choice Requires="x14">
        <control shapeId="15958" r:id="rId386" name="ArcFlashCheckbox">
          <controlPr defaultSize="0" autoLine="0" r:id="rId387">
            <anchor moveWithCells="1">
              <from>
                <xdr:col>0</xdr:col>
                <xdr:colOff>581025</xdr:colOff>
                <xdr:row>16</xdr:row>
                <xdr:rowOff>28575</xdr:rowOff>
              </from>
              <to>
                <xdr:col>2</xdr:col>
                <xdr:colOff>219075</xdr:colOff>
                <xdr:row>17</xdr:row>
                <xdr:rowOff>114300</xdr:rowOff>
              </to>
            </anchor>
          </controlPr>
        </control>
      </mc:Choice>
      <mc:Fallback>
        <control shapeId="15958" r:id="rId386" name="ArcFlashCheckbox"/>
      </mc:Fallback>
    </mc:AlternateContent>
    <mc:AlternateContent xmlns:mc="http://schemas.openxmlformats.org/markup-compatibility/2006">
      <mc:Choice Requires="x14">
        <control shapeId="15992" r:id="rId388" name="APPLY">
          <controlPr defaultSize="0" autoLine="0" r:id="rId389">
            <anchor moveWithCells="1">
              <from>
                <xdr:col>19</xdr:col>
                <xdr:colOff>676275</xdr:colOff>
                <xdr:row>1</xdr:row>
                <xdr:rowOff>66675</xdr:rowOff>
              </from>
              <to>
                <xdr:col>21</xdr:col>
                <xdr:colOff>409575</xdr:colOff>
                <xdr:row>3</xdr:row>
                <xdr:rowOff>171450</xdr:rowOff>
              </to>
            </anchor>
          </controlPr>
        </control>
      </mc:Choice>
      <mc:Fallback>
        <control shapeId="15992" r:id="rId388" name="APPLY"/>
      </mc:Fallback>
    </mc:AlternateContent>
    <mc:AlternateContent xmlns:mc="http://schemas.openxmlformats.org/markup-compatibility/2006">
      <mc:Choice Requires="x14">
        <control shapeId="15789" r:id="rId390" name="MechStressCheckbox">
          <controlPr defaultSize="0" autoLine="0" r:id="rId391">
            <anchor moveWithCells="1">
              <from>
                <xdr:col>2</xdr:col>
                <xdr:colOff>314325</xdr:colOff>
                <xdr:row>12</xdr:row>
                <xdr:rowOff>66675</xdr:rowOff>
              </from>
              <to>
                <xdr:col>3</xdr:col>
                <xdr:colOff>638175</xdr:colOff>
                <xdr:row>13</xdr:row>
                <xdr:rowOff>142875</xdr:rowOff>
              </to>
            </anchor>
          </controlPr>
        </control>
      </mc:Choice>
      <mc:Fallback>
        <control shapeId="16013" r:id="rId390" name="MechStressCheckbox"/>
      </mc:Fallback>
    </mc:AlternateContent>
    <mc:AlternateContent xmlns:mc="http://schemas.openxmlformats.org/markup-compatibility/2006">
      <mc:Choice Requires="x14">
        <control shapeId="16014" r:id="rId392" name="TPSCPPCheckbox">
          <controlPr defaultSize="0" autoLine="0" r:id="rId393">
            <anchor moveWithCells="1">
              <from>
                <xdr:col>2</xdr:col>
                <xdr:colOff>314325</xdr:colOff>
                <xdr:row>14</xdr:row>
                <xdr:rowOff>47625</xdr:rowOff>
              </from>
              <to>
                <xdr:col>3</xdr:col>
                <xdr:colOff>638175</xdr:colOff>
                <xdr:row>15</xdr:row>
                <xdr:rowOff>123825</xdr:rowOff>
              </to>
            </anchor>
          </controlPr>
        </control>
      </mc:Choice>
      <mc:Fallback>
        <control shapeId="16014" r:id="rId392" name="TPSCPPCheckbox"/>
      </mc:Fallback>
    </mc:AlternateContent>
    <mc:AlternateContent xmlns:mc="http://schemas.openxmlformats.org/markup-compatibility/2006">
      <mc:Choice Requires="x14">
        <control shapeId="15776" r:id="rId394" name="TCAProgrammingCheckbox">
          <controlPr defaultSize="0" autoLine="0" r:id="rId395">
            <anchor moveWithCells="1">
              <from>
                <xdr:col>2</xdr:col>
                <xdr:colOff>314325</xdr:colOff>
                <xdr:row>16</xdr:row>
                <xdr:rowOff>28575</xdr:rowOff>
              </from>
              <to>
                <xdr:col>3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6015" r:id="rId394" name="TCAProgrammingCheckbox"/>
      </mc:Fallback>
    </mc:AlternateContent>
    <mc:AlternateContent xmlns:mc="http://schemas.openxmlformats.org/markup-compatibility/2006">
      <mc:Choice Requires="x14">
        <control shapeId="16016" r:id="rId396" name="TPSCCSACheckbox">
          <controlPr defaultSize="0" autoLine="0" r:id="rId397">
            <anchor moveWithCells="1">
              <from>
                <xdr:col>4</xdr:col>
                <xdr:colOff>47625</xdr:colOff>
                <xdr:row>12</xdr:row>
                <xdr:rowOff>57150</xdr:rowOff>
              </from>
              <to>
                <xdr:col>5</xdr:col>
                <xdr:colOff>371475</xdr:colOff>
                <xdr:row>13</xdr:row>
                <xdr:rowOff>133350</xdr:rowOff>
              </to>
            </anchor>
          </controlPr>
        </control>
      </mc:Choice>
      <mc:Fallback>
        <control shapeId="16016" r:id="rId396" name="TPSCCSACheck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9A69D-CB50-44D6-8935-B3C6E8CB402A}">
  <sheetPr codeName="Sheet1">
    <pageSetUpPr fitToPage="1"/>
  </sheetPr>
  <dimension ref="A1:J37"/>
  <sheetViews>
    <sheetView workbookViewId="0">
      <selection activeCell="E14" sqref="E14"/>
    </sheetView>
  </sheetViews>
  <sheetFormatPr defaultRowHeight="14.25" x14ac:dyDescent="0.2"/>
  <cols>
    <col min="1" max="1" width="8.125" customWidth="1"/>
    <col min="2" max="2" width="21.5" bestFit="1" customWidth="1"/>
    <col min="3" max="3" width="11.875" customWidth="1"/>
    <col min="4" max="7" width="8.625" customWidth="1"/>
    <col min="8" max="8" width="9.25" customWidth="1"/>
    <col min="9" max="9" width="9.75" customWidth="1"/>
    <col min="10" max="10" width="9.125" customWidth="1"/>
    <col min="11" max="11" width="14.375" customWidth="1"/>
    <col min="12" max="221" width="8.875" customWidth="1"/>
  </cols>
  <sheetData>
    <row r="1" spans="1:10" x14ac:dyDescent="0.2">
      <c r="A1" s="17" t="s">
        <v>233</v>
      </c>
    </row>
    <row r="2" spans="1:10" x14ac:dyDescent="0.2">
      <c r="A2" s="6" t="s">
        <v>232</v>
      </c>
      <c r="B2" s="6" t="s">
        <v>154</v>
      </c>
      <c r="C2" s="6" t="s">
        <v>155</v>
      </c>
      <c r="D2" s="6" t="s">
        <v>156</v>
      </c>
      <c r="E2" s="6" t="s">
        <v>157</v>
      </c>
      <c r="F2" s="6" t="s">
        <v>158</v>
      </c>
      <c r="G2" s="6" t="s">
        <v>159</v>
      </c>
      <c r="H2" s="6" t="s">
        <v>160</v>
      </c>
      <c r="I2" s="6" t="s">
        <v>161</v>
      </c>
      <c r="J2" s="6" t="s">
        <v>162</v>
      </c>
    </row>
    <row r="3" spans="1:10" s="21" customFormat="1" ht="57" x14ac:dyDescent="0.2">
      <c r="A3" s="19" t="s">
        <v>147</v>
      </c>
      <c r="B3" s="18" t="s">
        <v>148</v>
      </c>
      <c r="C3" s="18" t="s">
        <v>163</v>
      </c>
      <c r="D3" s="18" t="s">
        <v>164</v>
      </c>
      <c r="E3" s="18" t="s">
        <v>165</v>
      </c>
      <c r="F3" s="18" t="s">
        <v>166</v>
      </c>
      <c r="G3" s="18" t="s">
        <v>167</v>
      </c>
      <c r="H3" s="18" t="s">
        <v>168</v>
      </c>
      <c r="I3" s="20" t="s">
        <v>169</v>
      </c>
      <c r="J3" s="18" t="s">
        <v>170</v>
      </c>
    </row>
    <row r="4" spans="1:10" s="16" customFormat="1" x14ac:dyDescent="0.2">
      <c r="A4" s="58">
        <v>1</v>
      </c>
      <c r="B4" s="59" t="s">
        <v>171</v>
      </c>
      <c r="C4" s="59">
        <v>60</v>
      </c>
      <c r="D4" s="59">
        <v>65</v>
      </c>
      <c r="E4" s="59">
        <v>80</v>
      </c>
      <c r="F4" s="60">
        <v>95</v>
      </c>
      <c r="G4" s="59" t="s">
        <v>149</v>
      </c>
      <c r="H4" s="59" t="s">
        <v>149</v>
      </c>
      <c r="I4" s="59" t="s">
        <v>149</v>
      </c>
      <c r="J4" s="59" t="s">
        <v>149</v>
      </c>
    </row>
    <row r="5" spans="1:10" x14ac:dyDescent="0.2">
      <c r="A5" s="61">
        <v>2</v>
      </c>
      <c r="B5" s="62" t="s">
        <v>172</v>
      </c>
      <c r="C5" s="59">
        <v>60</v>
      </c>
      <c r="D5" s="59">
        <v>65</v>
      </c>
      <c r="E5" s="59">
        <v>80</v>
      </c>
      <c r="F5" s="59">
        <v>100</v>
      </c>
      <c r="G5" s="59">
        <v>120</v>
      </c>
      <c r="H5" s="59" t="s">
        <v>149</v>
      </c>
      <c r="I5" s="59" t="s">
        <v>149</v>
      </c>
      <c r="J5" s="59" t="s">
        <v>149</v>
      </c>
    </row>
    <row r="6" spans="1:10" x14ac:dyDescent="0.2">
      <c r="A6" s="61">
        <v>3</v>
      </c>
      <c r="B6" s="62" t="s">
        <v>173</v>
      </c>
      <c r="C6" s="59">
        <v>75</v>
      </c>
      <c r="D6" s="59">
        <v>110</v>
      </c>
      <c r="E6" s="59">
        <v>130</v>
      </c>
      <c r="F6" s="59">
        <v>140</v>
      </c>
      <c r="G6" s="59">
        <v>150</v>
      </c>
      <c r="H6" s="59">
        <v>160</v>
      </c>
      <c r="I6" s="59" t="s">
        <v>149</v>
      </c>
      <c r="J6" s="59" t="s">
        <v>149</v>
      </c>
    </row>
    <row r="7" spans="1:10" x14ac:dyDescent="0.2">
      <c r="A7" s="61">
        <v>4</v>
      </c>
      <c r="B7" s="62" t="s">
        <v>174</v>
      </c>
      <c r="C7" s="59">
        <v>110</v>
      </c>
      <c r="D7" s="59">
        <v>115</v>
      </c>
      <c r="E7" s="59">
        <v>140</v>
      </c>
      <c r="F7" s="59">
        <v>155</v>
      </c>
      <c r="G7" s="59">
        <v>175</v>
      </c>
      <c r="H7" s="59">
        <v>195</v>
      </c>
      <c r="I7" s="59">
        <v>230</v>
      </c>
      <c r="J7" s="60">
        <v>250</v>
      </c>
    </row>
    <row r="8" spans="1:10" x14ac:dyDescent="0.2">
      <c r="A8" s="61">
        <v>5</v>
      </c>
      <c r="B8" s="62" t="s">
        <v>175</v>
      </c>
      <c r="C8" s="59">
        <v>105</v>
      </c>
      <c r="D8" s="59">
        <v>110</v>
      </c>
      <c r="E8" s="59">
        <v>135</v>
      </c>
      <c r="F8" s="59">
        <v>150</v>
      </c>
      <c r="G8" s="59">
        <v>170</v>
      </c>
      <c r="H8" s="59">
        <v>185</v>
      </c>
      <c r="I8" s="59">
        <v>220</v>
      </c>
      <c r="J8" s="59" t="s">
        <v>149</v>
      </c>
    </row>
    <row r="9" spans="1:10" x14ac:dyDescent="0.2">
      <c r="A9" s="61">
        <v>6</v>
      </c>
      <c r="B9" s="63" t="s">
        <v>176</v>
      </c>
      <c r="C9" s="59">
        <v>90</v>
      </c>
      <c r="D9" s="59">
        <v>105</v>
      </c>
      <c r="E9" s="59">
        <v>115</v>
      </c>
      <c r="F9" s="59">
        <v>140</v>
      </c>
      <c r="G9" s="59">
        <v>155</v>
      </c>
      <c r="H9" s="59">
        <v>160</v>
      </c>
      <c r="I9" s="59" t="s">
        <v>149</v>
      </c>
      <c r="J9" s="59" t="s">
        <v>149</v>
      </c>
    </row>
    <row r="10" spans="1:10" x14ac:dyDescent="0.2">
      <c r="A10" s="61">
        <v>7</v>
      </c>
      <c r="B10" s="64" t="s">
        <v>177</v>
      </c>
      <c r="C10" s="59">
        <v>80</v>
      </c>
      <c r="D10" s="59">
        <v>100</v>
      </c>
      <c r="E10" s="59">
        <v>120</v>
      </c>
      <c r="F10" s="59">
        <v>140</v>
      </c>
      <c r="G10" s="59">
        <v>155</v>
      </c>
      <c r="H10" s="59" t="s">
        <v>149</v>
      </c>
      <c r="I10" s="59" t="s">
        <v>149</v>
      </c>
      <c r="J10" s="59" t="s">
        <v>149</v>
      </c>
    </row>
    <row r="11" spans="1:10" x14ac:dyDescent="0.2">
      <c r="A11" s="61">
        <v>8</v>
      </c>
      <c r="B11" s="64" t="s">
        <v>178</v>
      </c>
      <c r="C11" s="59">
        <v>105</v>
      </c>
      <c r="D11" s="59">
        <v>115</v>
      </c>
      <c r="E11" s="59">
        <v>130</v>
      </c>
      <c r="F11" s="59">
        <v>140</v>
      </c>
      <c r="G11" s="59">
        <v>150</v>
      </c>
      <c r="H11" s="59" t="s">
        <v>149</v>
      </c>
      <c r="I11" s="59" t="s">
        <v>149</v>
      </c>
      <c r="J11" s="59" t="s">
        <v>149</v>
      </c>
    </row>
    <row r="12" spans="1:10" x14ac:dyDescent="0.2">
      <c r="A12" s="61">
        <v>9</v>
      </c>
      <c r="B12" s="64" t="s">
        <v>179</v>
      </c>
      <c r="C12" s="59">
        <v>115</v>
      </c>
      <c r="D12" s="59">
        <v>120</v>
      </c>
      <c r="E12" s="59">
        <v>145</v>
      </c>
      <c r="F12" s="59">
        <v>160</v>
      </c>
      <c r="G12" s="59">
        <v>180</v>
      </c>
      <c r="H12" s="59" t="s">
        <v>149</v>
      </c>
      <c r="I12" s="59" t="s">
        <v>149</v>
      </c>
      <c r="J12" s="59" t="s">
        <v>149</v>
      </c>
    </row>
    <row r="13" spans="1:10" x14ac:dyDescent="0.2">
      <c r="A13" s="61">
        <v>10</v>
      </c>
      <c r="B13" s="64" t="s">
        <v>180</v>
      </c>
      <c r="C13" s="59" t="s">
        <v>149</v>
      </c>
      <c r="D13" s="59">
        <v>125</v>
      </c>
      <c r="E13" s="59">
        <v>150</v>
      </c>
      <c r="F13" s="59">
        <v>165</v>
      </c>
      <c r="G13" s="59">
        <v>180</v>
      </c>
      <c r="H13" s="59" t="s">
        <v>149</v>
      </c>
      <c r="I13" s="59" t="s">
        <v>149</v>
      </c>
      <c r="J13" s="59" t="s">
        <v>149</v>
      </c>
    </row>
    <row r="14" spans="1:10" ht="28.5" x14ac:dyDescent="0.2">
      <c r="A14" s="61">
        <v>11</v>
      </c>
      <c r="B14" s="65" t="s">
        <v>181</v>
      </c>
      <c r="C14" s="59" t="s">
        <v>149</v>
      </c>
      <c r="D14" s="59">
        <v>135</v>
      </c>
      <c r="E14" s="59">
        <v>150</v>
      </c>
      <c r="F14" s="59">
        <v>170</v>
      </c>
      <c r="G14" s="59">
        <v>180</v>
      </c>
      <c r="H14" s="59">
        <v>195</v>
      </c>
      <c r="I14" s="59" t="s">
        <v>149</v>
      </c>
      <c r="J14" s="59" t="s">
        <v>149</v>
      </c>
    </row>
    <row r="15" spans="1:10" ht="19.7" customHeight="1" x14ac:dyDescent="0.2">
      <c r="A15" s="61">
        <v>12</v>
      </c>
      <c r="B15" s="64" t="s">
        <v>182</v>
      </c>
      <c r="C15" s="59" t="s">
        <v>149</v>
      </c>
      <c r="D15" s="59">
        <v>140</v>
      </c>
      <c r="E15" s="59">
        <v>165</v>
      </c>
      <c r="F15" s="59">
        <v>180</v>
      </c>
      <c r="G15" s="59">
        <v>195</v>
      </c>
      <c r="H15" s="59">
        <v>220</v>
      </c>
      <c r="I15" s="59">
        <v>240</v>
      </c>
      <c r="J15" s="59" t="s">
        <v>149</v>
      </c>
    </row>
    <row r="16" spans="1:10" x14ac:dyDescent="0.2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">
      <c r="A17" s="6" t="s">
        <v>183</v>
      </c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">
      <c r="A18" s="6">
        <v>1</v>
      </c>
      <c r="B18" s="6" t="s">
        <v>184</v>
      </c>
      <c r="C18" s="6"/>
      <c r="D18" s="6"/>
      <c r="E18" s="6"/>
      <c r="F18" s="6"/>
      <c r="G18" s="6"/>
      <c r="H18" s="6"/>
      <c r="I18" s="6"/>
      <c r="J18" s="6"/>
    </row>
    <row r="19" spans="1:10" x14ac:dyDescent="0.2">
      <c r="A19" s="6"/>
      <c r="B19" s="6" t="s">
        <v>185</v>
      </c>
      <c r="C19" s="6"/>
      <c r="D19" s="6"/>
      <c r="E19" s="6"/>
      <c r="F19" s="6"/>
      <c r="G19" s="6"/>
      <c r="H19" s="6"/>
      <c r="I19" s="6"/>
      <c r="J19" s="6"/>
    </row>
    <row r="20" spans="1:10" x14ac:dyDescent="0.2">
      <c r="A20" s="6">
        <v>2</v>
      </c>
      <c r="B20" s="6" t="s">
        <v>186</v>
      </c>
      <c r="C20" s="6"/>
      <c r="D20" s="6"/>
      <c r="E20" s="6"/>
      <c r="F20" s="6"/>
      <c r="G20" s="6"/>
      <c r="H20" s="6"/>
      <c r="I20" s="6"/>
      <c r="J20" s="6"/>
    </row>
    <row r="21" spans="1:10" x14ac:dyDescent="0.2">
      <c r="A21" s="6">
        <v>3</v>
      </c>
      <c r="B21" s="6" t="s">
        <v>187</v>
      </c>
      <c r="C21" s="6"/>
      <c r="D21" s="6"/>
      <c r="E21" s="6"/>
      <c r="F21" s="6"/>
      <c r="G21" s="6"/>
      <c r="H21" s="6"/>
      <c r="I21" s="6"/>
      <c r="J21" s="6"/>
    </row>
    <row r="22" spans="1:10" x14ac:dyDescent="0.2">
      <c r="A22" s="6">
        <v>4</v>
      </c>
      <c r="B22" s="6" t="s">
        <v>188</v>
      </c>
      <c r="C22" s="6"/>
      <c r="D22" s="6"/>
      <c r="E22" s="6"/>
      <c r="F22" s="6"/>
      <c r="G22" s="6"/>
      <c r="H22" s="6"/>
      <c r="I22" s="6"/>
      <c r="J22" s="6"/>
    </row>
    <row r="23" spans="1:10" x14ac:dyDescent="0.2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">
      <c r="A24" s="6" t="s">
        <v>189</v>
      </c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">
      <c r="A25" s="6">
        <v>1</v>
      </c>
      <c r="B25" s="6" t="s">
        <v>190</v>
      </c>
      <c r="C25" s="6"/>
      <c r="D25" s="6"/>
      <c r="E25" s="6"/>
      <c r="F25" s="6"/>
      <c r="G25" s="6"/>
      <c r="H25" s="6"/>
      <c r="I25" s="6"/>
      <c r="J25" s="6"/>
    </row>
    <row r="26" spans="1:10" x14ac:dyDescent="0.2">
      <c r="A26" s="6">
        <v>2</v>
      </c>
      <c r="B26" s="6" t="s">
        <v>191</v>
      </c>
      <c r="C26" s="6"/>
      <c r="D26" s="6"/>
      <c r="E26" s="6"/>
      <c r="F26" s="6"/>
      <c r="G26" s="6"/>
      <c r="H26" s="6"/>
      <c r="I26" s="6"/>
      <c r="J26" s="6"/>
    </row>
    <row r="27" spans="1:10" x14ac:dyDescent="0.2">
      <c r="A27" s="6"/>
      <c r="B27" s="6" t="s">
        <v>192</v>
      </c>
      <c r="C27" s="6"/>
      <c r="D27" s="6"/>
      <c r="E27" s="6"/>
      <c r="F27" s="6"/>
      <c r="G27" s="6"/>
      <c r="H27" s="6"/>
      <c r="I27" s="6"/>
      <c r="J27" s="6"/>
    </row>
    <row r="28" spans="1:10" x14ac:dyDescent="0.2">
      <c r="A28" s="6">
        <v>3</v>
      </c>
      <c r="B28" s="6" t="s">
        <v>193</v>
      </c>
      <c r="C28" s="6"/>
      <c r="D28" s="6"/>
      <c r="E28" s="6"/>
      <c r="F28" s="6"/>
      <c r="G28" s="6"/>
      <c r="H28" s="6"/>
      <c r="I28" s="6"/>
      <c r="J28" s="6"/>
    </row>
    <row r="29" spans="1:10" x14ac:dyDescent="0.2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">
      <c r="A30" s="6" t="s">
        <v>194</v>
      </c>
      <c r="B30" s="6"/>
      <c r="C30" s="6"/>
      <c r="D30" s="6"/>
      <c r="E30" s="6" t="s">
        <v>195</v>
      </c>
      <c r="F30" s="6"/>
      <c r="G30" s="6"/>
      <c r="H30" s="6"/>
      <c r="I30" s="6"/>
      <c r="J30" s="6"/>
    </row>
    <row r="31" spans="1:10" x14ac:dyDescent="0.2">
      <c r="A31" s="6"/>
      <c r="B31" s="22" t="s">
        <v>196</v>
      </c>
      <c r="C31" s="23">
        <v>20</v>
      </c>
      <c r="D31" s="6"/>
      <c r="E31" s="6"/>
      <c r="F31" s="24" t="s">
        <v>197</v>
      </c>
      <c r="G31" s="25"/>
      <c r="H31" s="26"/>
      <c r="I31" s="27">
        <v>0.05</v>
      </c>
      <c r="J31" s="6"/>
    </row>
    <row r="32" spans="1:10" x14ac:dyDescent="0.2">
      <c r="A32" s="6"/>
      <c r="B32" s="22" t="s">
        <v>198</v>
      </c>
      <c r="C32" s="23">
        <v>20</v>
      </c>
      <c r="D32" s="6"/>
      <c r="E32" s="6"/>
      <c r="F32" s="24" t="s">
        <v>199</v>
      </c>
      <c r="G32" s="25"/>
      <c r="H32" s="26"/>
      <c r="I32" s="28">
        <v>0.95</v>
      </c>
      <c r="J32" s="6"/>
    </row>
    <row r="33" spans="1:10" x14ac:dyDescent="0.2">
      <c r="A33" s="6"/>
      <c r="B33" s="22" t="s">
        <v>200</v>
      </c>
      <c r="C33" s="23">
        <v>15</v>
      </c>
      <c r="D33" s="6"/>
      <c r="E33" s="6"/>
      <c r="F33" s="24" t="s">
        <v>201</v>
      </c>
      <c r="G33" s="25"/>
      <c r="H33" s="26"/>
      <c r="I33" s="27">
        <v>0.15</v>
      </c>
      <c r="J33" s="6"/>
    </row>
    <row r="34" spans="1:10" x14ac:dyDescent="0.2">
      <c r="A34" s="6"/>
      <c r="B34" s="22" t="s">
        <v>202</v>
      </c>
      <c r="C34" s="23">
        <v>65</v>
      </c>
      <c r="D34" s="6"/>
      <c r="E34" s="6"/>
      <c r="F34" s="24" t="s">
        <v>203</v>
      </c>
      <c r="G34" s="25"/>
      <c r="H34" s="26"/>
      <c r="I34" s="27">
        <v>0.15</v>
      </c>
      <c r="J34" s="6"/>
    </row>
    <row r="35" spans="1:10" x14ac:dyDescent="0.2">
      <c r="A35" s="6"/>
      <c r="B35" s="22" t="s">
        <v>204</v>
      </c>
      <c r="C35" s="29">
        <v>0.1</v>
      </c>
      <c r="D35" s="6"/>
      <c r="E35" s="6"/>
      <c r="F35" s="24" t="s">
        <v>205</v>
      </c>
      <c r="G35" s="25"/>
      <c r="H35" s="26"/>
      <c r="I35" s="22"/>
      <c r="J35" s="6"/>
    </row>
    <row r="36" spans="1:10" x14ac:dyDescent="0.2">
      <c r="A36" s="6"/>
      <c r="B36" s="22" t="s">
        <v>284</v>
      </c>
      <c r="C36" s="23">
        <v>20</v>
      </c>
      <c r="D36" s="6"/>
      <c r="E36" s="6"/>
      <c r="F36" s="24" t="s">
        <v>206</v>
      </c>
      <c r="G36" s="25"/>
      <c r="H36" s="26"/>
      <c r="I36" s="22" t="s">
        <v>207</v>
      </c>
      <c r="J36" s="6"/>
    </row>
    <row r="37" spans="1:10" x14ac:dyDescent="0.2">
      <c r="A37" s="6"/>
      <c r="B37" s="22" t="s">
        <v>285</v>
      </c>
      <c r="C37" s="23">
        <v>500</v>
      </c>
      <c r="D37" s="6"/>
      <c r="I37" s="6"/>
      <c r="J37" s="6"/>
    </row>
  </sheetData>
  <sheetProtection selectLockedCells="1" selectUnlockedCells="1"/>
  <pageMargins left="0.43307086614173229" right="0.31496062992125984" top="2.0866141732283467" bottom="0.74803149606299213" header="0.31496062992125984" footer="0.31496062992125984"/>
  <pageSetup paperSize="9" scale="87" fitToHeight="0" orientation="portrait" r:id="rId1"/>
  <headerFooter>
    <oddHeader>&amp;L
&amp;CCONFIDENTIAL AND PROPRIETARY
Engineering, Procurement and Construction Management Services Schedule of Applicable Rates and Charges
Keyera
Effective January 1, 2024
Canadian Dollars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9354-64D3-4B4D-A2E7-BAA653762EF1}">
  <sheetPr codeName="Sheet7"/>
  <dimension ref="A1:Q13"/>
  <sheetViews>
    <sheetView workbookViewId="0">
      <selection activeCell="G3" sqref="G3"/>
    </sheetView>
  </sheetViews>
  <sheetFormatPr defaultRowHeight="14.25" x14ac:dyDescent="0.2"/>
  <cols>
    <col min="1" max="1" width="9.75" bestFit="1" customWidth="1"/>
    <col min="2" max="2" width="11.625" bestFit="1" customWidth="1"/>
    <col min="3" max="3" width="16.125" bestFit="1" customWidth="1"/>
    <col min="4" max="4" width="9.25" bestFit="1" customWidth="1"/>
    <col min="5" max="5" width="9.75" bestFit="1" customWidth="1"/>
    <col min="16" max="16" width="19.875" customWidth="1"/>
  </cols>
  <sheetData>
    <row r="1" spans="1:17" x14ac:dyDescent="0.2">
      <c r="A1" t="s">
        <v>243</v>
      </c>
      <c r="B1" t="s">
        <v>800</v>
      </c>
      <c r="C1" t="s">
        <v>242</v>
      </c>
      <c r="D1" t="s">
        <v>256</v>
      </c>
      <c r="E1" t="s">
        <v>243</v>
      </c>
      <c r="G1" t="s">
        <v>809</v>
      </c>
      <c r="I1" t="s">
        <v>962</v>
      </c>
      <c r="J1" t="s">
        <v>963</v>
      </c>
      <c r="K1" t="s">
        <v>964</v>
      </c>
      <c r="M1" t="s">
        <v>966</v>
      </c>
      <c r="N1" s="228" t="s">
        <v>965</v>
      </c>
      <c r="P1" t="s">
        <v>967</v>
      </c>
      <c r="Q1" t="s">
        <v>968</v>
      </c>
    </row>
    <row r="2" spans="1:17" x14ac:dyDescent="0.2">
      <c r="A2">
        <v>0.5</v>
      </c>
      <c r="B2" t="s">
        <v>244</v>
      </c>
      <c r="C2" t="s">
        <v>245</v>
      </c>
      <c r="D2" t="s">
        <v>258</v>
      </c>
      <c r="E2" t="s">
        <v>246</v>
      </c>
      <c r="G2" s="45"/>
      <c r="P2" t="b">
        <v>1</v>
      </c>
      <c r="Q2" t="s">
        <v>496</v>
      </c>
    </row>
    <row r="3" spans="1:17" x14ac:dyDescent="0.2">
      <c r="A3">
        <v>1</v>
      </c>
      <c r="B3" t="s">
        <v>247</v>
      </c>
      <c r="C3" t="s">
        <v>248</v>
      </c>
      <c r="D3" t="s">
        <v>259</v>
      </c>
      <c r="E3" t="s">
        <v>249</v>
      </c>
      <c r="G3" s="138"/>
      <c r="P3">
        <f>IF(P2, 0.5, 1)</f>
        <v>0.5</v>
      </c>
    </row>
    <row r="4" spans="1:17" x14ac:dyDescent="0.2">
      <c r="A4">
        <v>1.5</v>
      </c>
      <c r="B4" t="s">
        <v>250</v>
      </c>
      <c r="C4" t="s">
        <v>251</v>
      </c>
      <c r="D4" t="s">
        <v>260</v>
      </c>
      <c r="E4" t="s">
        <v>252</v>
      </c>
      <c r="G4" s="31"/>
    </row>
    <row r="5" spans="1:17" x14ac:dyDescent="0.2">
      <c r="A5">
        <v>2</v>
      </c>
      <c r="B5" t="s">
        <v>253</v>
      </c>
      <c r="C5" t="s">
        <v>254</v>
      </c>
      <c r="D5" t="s">
        <v>261</v>
      </c>
      <c r="G5" s="46"/>
    </row>
    <row r="6" spans="1:17" x14ac:dyDescent="0.2">
      <c r="A6" s="42">
        <v>2.5</v>
      </c>
      <c r="C6" t="s">
        <v>255</v>
      </c>
      <c r="D6" t="s">
        <v>262</v>
      </c>
    </row>
    <row r="7" spans="1:17" x14ac:dyDescent="0.2">
      <c r="A7" s="42">
        <v>3</v>
      </c>
      <c r="C7" t="s">
        <v>257</v>
      </c>
    </row>
    <row r="8" spans="1:17" x14ac:dyDescent="0.2">
      <c r="A8" s="42">
        <v>3.5</v>
      </c>
    </row>
    <row r="9" spans="1:17" x14ac:dyDescent="0.2">
      <c r="A9" s="42">
        <v>4</v>
      </c>
    </row>
    <row r="10" spans="1:17" x14ac:dyDescent="0.2">
      <c r="A10" s="42">
        <v>4.5</v>
      </c>
    </row>
    <row r="11" spans="1:17" x14ac:dyDescent="0.2">
      <c r="A11" s="42">
        <v>5</v>
      </c>
    </row>
    <row r="12" spans="1:17" x14ac:dyDescent="0.2">
      <c r="A12" s="42">
        <v>5.5</v>
      </c>
    </row>
    <row r="13" spans="1:17" x14ac:dyDescent="0.2">
      <c r="A13" s="4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CE230-EC01-4781-841E-5CA2EE58397C}">
  <sheetPr codeName="Sheet19">
    <pageSetUpPr fitToPage="1"/>
  </sheetPr>
  <dimension ref="A2:I13"/>
  <sheetViews>
    <sheetView workbookViewId="0">
      <selection activeCell="B18" sqref="B18"/>
    </sheetView>
  </sheetViews>
  <sheetFormatPr defaultColWidth="8.75" defaultRowHeight="14.25" x14ac:dyDescent="0.2"/>
  <cols>
    <col min="1" max="1" width="9.875" customWidth="1"/>
    <col min="2" max="2" width="43.5" bestFit="1" customWidth="1"/>
    <col min="3" max="3" width="10.75" style="2" customWidth="1"/>
    <col min="4" max="4" width="10.875" style="2" customWidth="1"/>
    <col min="5" max="5" width="12.75" style="73" customWidth="1"/>
    <col min="7" max="7" width="9.75" bestFit="1" customWidth="1"/>
    <col min="8" max="8" width="12" bestFit="1" customWidth="1"/>
  </cols>
  <sheetData>
    <row r="2" spans="1:9" s="3" customFormat="1" ht="24" customHeight="1" x14ac:dyDescent="0.2">
      <c r="A2" s="51" t="s">
        <v>300</v>
      </c>
      <c r="B2" s="1" t="s">
        <v>236</v>
      </c>
      <c r="C2" s="1" t="s">
        <v>99</v>
      </c>
      <c r="D2" s="1" t="str">
        <f>'60 L2'!D2</f>
        <v>Man Hours</v>
      </c>
      <c r="E2" s="74" t="str">
        <f>'60 L2'!E2</f>
        <v>Cost</v>
      </c>
      <c r="G2" s="10" t="s">
        <v>126</v>
      </c>
      <c r="H2" s="13" t="s">
        <v>142</v>
      </c>
      <c r="I2" s="3" t="s">
        <v>238</v>
      </c>
    </row>
    <row r="3" spans="1:9" s="4" customFormat="1" ht="20.100000000000001" customHeight="1" x14ac:dyDescent="0.2">
      <c r="A3" s="128" t="s">
        <v>496</v>
      </c>
      <c r="B3" s="129" t="s">
        <v>725</v>
      </c>
      <c r="C3" s="8" t="s">
        <v>135</v>
      </c>
      <c r="D3" s="14">
        <f>'60 L2'!D7</f>
        <v>0</v>
      </c>
      <c r="E3" s="14">
        <f>'60 L2'!E7</f>
        <v>0</v>
      </c>
      <c r="G3" s="11" t="str">
        <f>IFERROR(#REF!/#REF!,"")</f>
        <v/>
      </c>
      <c r="H3" s="15" t="str">
        <f>IFERROR(#REF!/#REF!,"")</f>
        <v/>
      </c>
      <c r="I3" s="75" t="str">
        <f>IFERROR(#REF!/#REF!,"")</f>
        <v/>
      </c>
    </row>
    <row r="4" spans="1:9" s="4" customFormat="1" ht="20.100000000000001" customHeight="1" x14ac:dyDescent="0.2">
      <c r="A4" s="126">
        <v>20</v>
      </c>
      <c r="B4" s="130" t="s">
        <v>729</v>
      </c>
      <c r="C4" s="8" t="str">
        <f>'60 L2'!C10</f>
        <v>hr</v>
      </c>
      <c r="D4" s="14">
        <f>'60 L2'!D10</f>
        <v>0</v>
      </c>
      <c r="E4" s="14">
        <f>'60 L2'!E10</f>
        <v>0</v>
      </c>
      <c r="G4" s="11" t="str">
        <f>IFERROR(#REF!/#REF!,"")</f>
        <v/>
      </c>
      <c r="H4" s="15" t="str">
        <f>IFERROR(#REF!/#REF!,"")</f>
        <v/>
      </c>
      <c r="I4" s="75" t="str">
        <f>IFERROR(#REF!/#REF!,"")</f>
        <v/>
      </c>
    </row>
    <row r="5" spans="1:9" s="4" customFormat="1" ht="20.100000000000001" customHeight="1" x14ac:dyDescent="0.2">
      <c r="A5" s="126" t="s">
        <v>535</v>
      </c>
      <c r="B5" s="130" t="s">
        <v>208</v>
      </c>
      <c r="C5" s="8" t="str">
        <f>'60 L2'!C15</f>
        <v>hr</v>
      </c>
      <c r="D5" s="14">
        <f>'60 L2'!D18</f>
        <v>0</v>
      </c>
      <c r="E5" s="14">
        <f>'60 L2'!E18</f>
        <v>0</v>
      </c>
      <c r="G5" s="11" t="str">
        <f>IFERROR(#REF!/#REF!,"")</f>
        <v/>
      </c>
      <c r="H5" s="15" t="str">
        <f>IFERROR(#REF!/#REF!,"")</f>
        <v/>
      </c>
      <c r="I5" s="75" t="str">
        <f>IFERROR(#REF!/#REF!,"")</f>
        <v/>
      </c>
    </row>
    <row r="6" spans="1:9" s="4" customFormat="1" ht="20.100000000000001" customHeight="1" x14ac:dyDescent="0.2">
      <c r="A6" s="126" t="s">
        <v>613</v>
      </c>
      <c r="B6" s="130" t="s">
        <v>213</v>
      </c>
      <c r="C6" s="8" t="str">
        <f>'60 L2'!C20</f>
        <v>hr</v>
      </c>
      <c r="D6" s="14">
        <f>'60 L2'!D23</f>
        <v>0</v>
      </c>
      <c r="E6" s="14">
        <f>'60 L2'!E23</f>
        <v>0</v>
      </c>
      <c r="G6" s="11"/>
      <c r="H6" s="15"/>
      <c r="I6" s="75" t="str">
        <f>IFERROR(#REF!/#REF!,"")</f>
        <v/>
      </c>
    </row>
    <row r="7" spans="1:9" s="4" customFormat="1" ht="20.100000000000001" customHeight="1" x14ac:dyDescent="0.2">
      <c r="A7" s="126" t="s">
        <v>685</v>
      </c>
      <c r="B7" s="130" t="s">
        <v>952</v>
      </c>
      <c r="C7" s="8" t="str">
        <f>'60 L2'!C29</f>
        <v>hr</v>
      </c>
      <c r="D7" s="14">
        <f>'60 L2'!D29</f>
        <v>0</v>
      </c>
      <c r="E7" s="14">
        <f>'60 L2'!E29</f>
        <v>0</v>
      </c>
      <c r="G7" s="11"/>
      <c r="H7" s="15"/>
      <c r="I7" s="75" t="str">
        <f>IFERROR(#REF!/#REF!,"")</f>
        <v/>
      </c>
    </row>
    <row r="8" spans="1:9" s="4" customFormat="1" ht="20.100000000000001" customHeight="1" x14ac:dyDescent="0.2">
      <c r="A8" s="126" t="s">
        <v>153</v>
      </c>
      <c r="B8" s="130" t="s">
        <v>710</v>
      </c>
      <c r="C8" s="8" t="str">
        <f>'60 L2'!C24</f>
        <v>hr</v>
      </c>
      <c r="D8" s="14">
        <f>'60 L2'!D31</f>
        <v>0</v>
      </c>
      <c r="E8" s="14">
        <f>'60 L2'!E31</f>
        <v>0</v>
      </c>
      <c r="G8" s="11"/>
      <c r="H8" s="15"/>
      <c r="I8" s="75" t="str">
        <f>IFERROR(#REF!/#REF!,"")</f>
        <v/>
      </c>
    </row>
    <row r="9" spans="1:9" s="5" customFormat="1" ht="20.100000000000001" customHeight="1" x14ac:dyDescent="0.2">
      <c r="A9" s="70"/>
      <c r="B9" s="67" t="s">
        <v>237</v>
      </c>
      <c r="C9" s="71"/>
      <c r="D9" s="68">
        <f>SUM(D3:D8)</f>
        <v>0</v>
      </c>
      <c r="E9" s="69">
        <f>SUM(E3:E8)</f>
        <v>0</v>
      </c>
      <c r="G9" s="11"/>
      <c r="H9" s="15" t="str">
        <f>IFERROR(#REF!/#REF!,"")</f>
        <v/>
      </c>
      <c r="I9" s="76" t="str">
        <f>IFERROR(#REF!/#REF!,"")</f>
        <v/>
      </c>
    </row>
    <row r="10" spans="1:9" x14ac:dyDescent="0.2">
      <c r="B10" s="2"/>
      <c r="C10" s="3"/>
      <c r="D10" s="3"/>
      <c r="E10" s="72"/>
      <c r="G10" s="12" t="str">
        <f>IFERROR(#REF!/(#REF!-#REF!),"")</f>
        <v/>
      </c>
      <c r="H10" s="9" t="s">
        <v>136</v>
      </c>
      <c r="I10" s="77"/>
    </row>
    <row r="11" spans="1:9" ht="17.25" customHeight="1" x14ac:dyDescent="0.2">
      <c r="A11" s="88"/>
      <c r="B11" s="89" t="s">
        <v>947</v>
      </c>
      <c r="C11" s="90"/>
      <c r="D11" s="202"/>
      <c r="E11" s="226">
        <f>'60 L2'!E37</f>
        <v>0</v>
      </c>
    </row>
    <row r="13" spans="1:9" ht="16.5" customHeight="1" x14ac:dyDescent="0.2">
      <c r="A13" s="224"/>
      <c r="B13" s="224" t="s">
        <v>951</v>
      </c>
      <c r="C13" s="90"/>
      <c r="D13" s="90"/>
      <c r="E13" s="225">
        <f>E11+E9</f>
        <v>0</v>
      </c>
    </row>
  </sheetData>
  <sheetProtection selectLockedCells="1"/>
  <phoneticPr fontId="12" type="noConversion"/>
  <pageMargins left="0.70866141732283472" right="0.70866141732283472" top="1.1417322834645669" bottom="0.74803149606299213" header="0.31496062992125984" footer="0.31496062992125984"/>
  <pageSetup scale="72" orientation="landscape" r:id="rId1"/>
  <headerFooter>
    <oddHeader xml:space="preserve">&amp;LProject Name:  &amp;F
Estimate Class:  &amp; 3;&amp;10  
Accuracy: &amp; +/- 20 %&amp;C
&amp;"Cambria,Bold"&amp;14Appendix A: Level 1 Estimate&amp;R&amp;G
Date: &amp;D
</oddHeader>
    <oddFooter>&amp;RPage 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1702-A9D6-4140-AAE2-81615D98D9F7}">
  <sheetPr codeName="Sheet17">
    <pageSetUpPr fitToPage="1"/>
  </sheetPr>
  <dimension ref="A1:J39"/>
  <sheetViews>
    <sheetView workbookViewId="0">
      <selection activeCell="E7" sqref="E7"/>
    </sheetView>
  </sheetViews>
  <sheetFormatPr defaultColWidth="8.75" defaultRowHeight="15" customHeight="1" x14ac:dyDescent="0.2"/>
  <cols>
    <col min="1" max="1" width="11.75" style="66" customWidth="1"/>
    <col min="2" max="2" width="45.5" style="78" customWidth="1"/>
    <col min="3" max="3" width="10.75" style="79" customWidth="1"/>
    <col min="4" max="4" width="11.75" style="189" customWidth="1"/>
    <col min="5" max="5" width="14.375" style="184" bestFit="1" customWidth="1"/>
    <col min="6" max="6" width="6.125" style="78" customWidth="1"/>
    <col min="7" max="7" width="11.25" style="79" customWidth="1"/>
    <col min="8" max="8" width="11" style="78" customWidth="1"/>
    <col min="9" max="9" width="11.5" style="195" customWidth="1"/>
    <col min="10" max="10" width="8.75" style="78"/>
    <col min="11" max="11" width="3" style="78" bestFit="1" customWidth="1"/>
    <col min="12" max="12" width="8.75" style="78"/>
    <col min="13" max="13" width="3.75" style="78" customWidth="1"/>
    <col min="14" max="16384" width="8.75" style="78"/>
  </cols>
  <sheetData>
    <row r="1" spans="1:9" ht="29.25" customHeight="1" x14ac:dyDescent="0.2">
      <c r="F1" s="80"/>
      <c r="G1" s="78"/>
      <c r="H1" s="79"/>
      <c r="I1" s="184"/>
    </row>
    <row r="2" spans="1:9" s="3" customFormat="1" ht="14.25" x14ac:dyDescent="0.2">
      <c r="A2" s="81" t="s">
        <v>300</v>
      </c>
      <c r="B2" s="82" t="s">
        <v>961</v>
      </c>
      <c r="C2" s="82" t="s">
        <v>99</v>
      </c>
      <c r="D2" s="190" t="s">
        <v>227</v>
      </c>
      <c r="E2" s="185" t="s">
        <v>228</v>
      </c>
      <c r="G2" s="83" t="s">
        <v>137</v>
      </c>
      <c r="H2" s="13" t="s">
        <v>141</v>
      </c>
      <c r="I2" s="194" t="s">
        <v>239</v>
      </c>
    </row>
    <row r="3" spans="1:9" ht="15" customHeight="1" x14ac:dyDescent="0.2">
      <c r="A3" s="114" t="s">
        <v>474</v>
      </c>
      <c r="B3" s="199" t="s">
        <v>4</v>
      </c>
      <c r="C3" s="87" t="str">
        <f>'60 MTO'!C33</f>
        <v>hr</v>
      </c>
      <c r="D3" s="192">
        <f>'60 MTO'!F7</f>
        <v>0</v>
      </c>
      <c r="E3" s="187">
        <f>'60 MTO'!G7</f>
        <v>0</v>
      </c>
      <c r="G3" s="85" t="str">
        <f t="shared" ref="G3:G24" si="0">IFERROR(D3/$D$32,"")</f>
        <v/>
      </c>
      <c r="H3" s="86" t="str">
        <f>IFERROR(#REF!/#REF!,"")</f>
        <v/>
      </c>
    </row>
    <row r="4" spans="1:9" ht="15" customHeight="1" x14ac:dyDescent="0.2">
      <c r="A4" s="114" t="s">
        <v>453</v>
      </c>
      <c r="B4" s="199" t="s">
        <v>17</v>
      </c>
      <c r="C4" s="84" t="str">
        <f>'60 MTO'!C7</f>
        <v>hr</v>
      </c>
      <c r="D4" s="192">
        <f>'60 MTO'!F14</f>
        <v>0</v>
      </c>
      <c r="E4" s="187">
        <f>'60 MTO'!G14</f>
        <v>0</v>
      </c>
      <c r="G4" s="85" t="str">
        <f t="shared" si="0"/>
        <v/>
      </c>
      <c r="H4" s="86" t="str">
        <f>IFERROR(#REF!/#REF!,"")</f>
        <v/>
      </c>
    </row>
    <row r="5" spans="1:9" ht="15" customHeight="1" x14ac:dyDescent="0.2">
      <c r="A5" s="114" t="s">
        <v>509</v>
      </c>
      <c r="B5" s="199" t="s">
        <v>22</v>
      </c>
      <c r="C5" s="84" t="str">
        <f>'60 MTO'!C42</f>
        <v>hr</v>
      </c>
      <c r="D5" s="192">
        <f>'60 MTO'!F21</f>
        <v>0</v>
      </c>
      <c r="E5" s="187">
        <f>'60 MTO'!G21</f>
        <v>0</v>
      </c>
      <c r="G5" s="85" t="str">
        <f t="shared" si="0"/>
        <v/>
      </c>
      <c r="H5" s="86" t="str">
        <f>IFERROR(#REF!/#REF!,"")</f>
        <v/>
      </c>
    </row>
    <row r="6" spans="1:9" ht="15" customHeight="1" x14ac:dyDescent="0.2">
      <c r="A6" s="114" t="s">
        <v>513</v>
      </c>
      <c r="B6" s="199" t="s">
        <v>482</v>
      </c>
      <c r="C6" s="84" t="str">
        <f>'60 MTO'!C25</f>
        <v>hr</v>
      </c>
      <c r="D6" s="192">
        <f>'60 MTO'!F25</f>
        <v>0</v>
      </c>
      <c r="E6" s="187">
        <f>'60 MTO'!G25</f>
        <v>0</v>
      </c>
      <c r="G6" s="85" t="str">
        <f t="shared" si="0"/>
        <v/>
      </c>
      <c r="H6" s="86" t="str">
        <f>IFERROR(#REF!/#REF!,"")</f>
        <v/>
      </c>
    </row>
    <row r="7" spans="1:9" s="3" customFormat="1" ht="15" customHeight="1" x14ac:dyDescent="0.2">
      <c r="A7" s="122" t="s">
        <v>496</v>
      </c>
      <c r="B7" s="123" t="s">
        <v>725</v>
      </c>
      <c r="C7" s="124"/>
      <c r="D7" s="191">
        <f>SUM(D3:D6)</f>
        <v>0</v>
      </c>
      <c r="E7" s="186">
        <f>SUM(E3:E6, E36)</f>
        <v>0</v>
      </c>
      <c r="G7" s="85" t="str">
        <f t="shared" si="0"/>
        <v/>
      </c>
      <c r="H7" s="13"/>
      <c r="I7" s="196"/>
    </row>
    <row r="8" spans="1:9" ht="15" customHeight="1" x14ac:dyDescent="0.2">
      <c r="A8" s="114" t="s">
        <v>455</v>
      </c>
      <c r="B8" s="199" t="s">
        <v>210</v>
      </c>
      <c r="C8" s="84" t="str">
        <f>'60 MTO'!C54</f>
        <v>hr</v>
      </c>
      <c r="D8" s="192">
        <f>'60 MTO'!F32</f>
        <v>0</v>
      </c>
      <c r="E8" s="187">
        <f>'60 MTO'!G32</f>
        <v>0</v>
      </c>
      <c r="G8" s="85" t="str">
        <f t="shared" si="0"/>
        <v/>
      </c>
      <c r="H8" s="86" t="str">
        <f>IFERROR(#REF!/#REF!,"")</f>
        <v/>
      </c>
    </row>
    <row r="9" spans="1:9" ht="15" customHeight="1" x14ac:dyDescent="0.2">
      <c r="A9" s="114" t="s">
        <v>524</v>
      </c>
      <c r="B9" s="199" t="s">
        <v>479</v>
      </c>
      <c r="C9" s="84" t="str">
        <f>'60 MTO'!C57</f>
        <v>hr</v>
      </c>
      <c r="D9" s="192">
        <f>'60 MTO'!F42</f>
        <v>0</v>
      </c>
      <c r="E9" s="187">
        <f>'60 MTO'!G42</f>
        <v>0</v>
      </c>
      <c r="G9" s="85" t="str">
        <f t="shared" si="0"/>
        <v/>
      </c>
      <c r="H9" s="86" t="str">
        <f>IFERROR(#REF!/#REF!,"")</f>
        <v/>
      </c>
    </row>
    <row r="10" spans="1:9" ht="15" customHeight="1" x14ac:dyDescent="0.2">
      <c r="A10" s="124">
        <v>20</v>
      </c>
      <c r="B10" s="125" t="s">
        <v>729</v>
      </c>
      <c r="C10" s="124" t="s">
        <v>100</v>
      </c>
      <c r="D10" s="191">
        <f>SUM(D8:D9)</f>
        <v>0</v>
      </c>
      <c r="E10" s="191">
        <f>SUM(E8:E9)</f>
        <v>0</v>
      </c>
      <c r="G10" s="85" t="str">
        <f t="shared" si="0"/>
        <v/>
      </c>
      <c r="H10" s="86" t="str">
        <f>IFERROR(#REF!/#REF!,"")</f>
        <v/>
      </c>
      <c r="I10" s="197" t="str">
        <f>IFERROR(#REF!/#REF!,"")</f>
        <v/>
      </c>
    </row>
    <row r="11" spans="1:9" ht="15" customHeight="1" x14ac:dyDescent="0.2">
      <c r="A11" s="114" t="s">
        <v>537</v>
      </c>
      <c r="B11" s="199" t="s">
        <v>450</v>
      </c>
      <c r="C11" s="84" t="str">
        <f>'60 MTO'!C72</f>
        <v>hr</v>
      </c>
      <c r="D11" s="192">
        <f>'60 MTO'!F54</f>
        <v>0</v>
      </c>
      <c r="E11" s="187">
        <f>'60 MTO'!G54</f>
        <v>0</v>
      </c>
      <c r="G11" s="85" t="str">
        <f t="shared" si="0"/>
        <v/>
      </c>
      <c r="H11" s="86" t="str">
        <f>IFERROR(#REF!/#REF!,"")</f>
        <v/>
      </c>
    </row>
    <row r="12" spans="1:9" ht="15" customHeight="1" x14ac:dyDescent="0.2">
      <c r="A12" s="114" t="s">
        <v>538</v>
      </c>
      <c r="B12" s="199" t="s">
        <v>486</v>
      </c>
      <c r="C12" s="84" t="str">
        <f>'60 MTO'!C85</f>
        <v>hr</v>
      </c>
      <c r="D12" s="192">
        <f>'60 MTO'!F57</f>
        <v>0</v>
      </c>
      <c r="E12" s="187">
        <f>'60 MTO'!G57</f>
        <v>0</v>
      </c>
      <c r="G12" s="85" t="str">
        <f t="shared" si="0"/>
        <v/>
      </c>
      <c r="H12" s="86" t="str">
        <f>IFERROR(#REF!/#REF!,"")</f>
        <v/>
      </c>
    </row>
    <row r="13" spans="1:9" ht="15" customHeight="1" x14ac:dyDescent="0.2">
      <c r="A13" s="114" t="s">
        <v>539</v>
      </c>
      <c r="B13" s="199" t="s">
        <v>487</v>
      </c>
      <c r="C13" s="84" t="str">
        <f>'60 MTO'!C96</f>
        <v>hr</v>
      </c>
      <c r="D13" s="192">
        <f>'60 MTO'!F72</f>
        <v>0</v>
      </c>
      <c r="E13" s="187">
        <f>'60 MTO'!G72</f>
        <v>0</v>
      </c>
      <c r="G13" s="85" t="str">
        <f t="shared" si="0"/>
        <v/>
      </c>
      <c r="H13" s="86" t="str">
        <f>IFERROR(#REF!/#REF!,"")</f>
        <v/>
      </c>
    </row>
    <row r="14" spans="1:9" ht="15" customHeight="1" x14ac:dyDescent="0.2">
      <c r="A14" s="114" t="s">
        <v>566</v>
      </c>
      <c r="B14" s="199" t="s">
        <v>30</v>
      </c>
      <c r="C14" s="84" t="str">
        <f>'60 MTO'!C125</f>
        <v>hr</v>
      </c>
      <c r="D14" s="192">
        <f>'60 MTO'!F85</f>
        <v>0</v>
      </c>
      <c r="E14" s="187">
        <f>'60 MTO'!G85</f>
        <v>0</v>
      </c>
      <c r="G14" s="85" t="str">
        <f t="shared" si="0"/>
        <v/>
      </c>
      <c r="H14" s="86" t="str">
        <f>IFERROR(#REF!/#REF!,"")</f>
        <v/>
      </c>
    </row>
    <row r="15" spans="1:9" ht="15" customHeight="1" x14ac:dyDescent="0.2">
      <c r="A15" s="114" t="s">
        <v>577</v>
      </c>
      <c r="B15" s="199" t="s">
        <v>490</v>
      </c>
      <c r="C15" s="126" t="s">
        <v>100</v>
      </c>
      <c r="D15" s="192">
        <f>'60 MTO'!F96</f>
        <v>0</v>
      </c>
      <c r="E15" s="187">
        <f>'60 MTO'!G96</f>
        <v>0</v>
      </c>
      <c r="G15" s="85" t="str">
        <f t="shared" si="0"/>
        <v/>
      </c>
      <c r="H15" s="86" t="str">
        <f>IFERROR(#REF!/#REF!,"")</f>
        <v/>
      </c>
      <c r="I15" s="197" t="str">
        <f>IFERROR(#REF!/#REF!,"")</f>
        <v/>
      </c>
    </row>
    <row r="16" spans="1:9" ht="15" customHeight="1" x14ac:dyDescent="0.2">
      <c r="A16" s="114" t="s">
        <v>593</v>
      </c>
      <c r="B16" s="199" t="s">
        <v>489</v>
      </c>
      <c r="C16" s="84" t="str">
        <f>'60 MTO'!C133</f>
        <v>hr</v>
      </c>
      <c r="D16" s="192">
        <f>'60 MTO'!F110</f>
        <v>0</v>
      </c>
      <c r="E16" s="187">
        <f>'60 MTO'!G110</f>
        <v>0</v>
      </c>
      <c r="G16" s="85" t="str">
        <f t="shared" si="0"/>
        <v/>
      </c>
      <c r="H16" s="86" t="str">
        <f>IFERROR(#REF!/#REF!,"")</f>
        <v/>
      </c>
    </row>
    <row r="17" spans="1:10" ht="15" customHeight="1" x14ac:dyDescent="0.2">
      <c r="A17" s="114" t="s">
        <v>606</v>
      </c>
      <c r="B17" s="199" t="s">
        <v>46</v>
      </c>
      <c r="C17" s="84" t="str">
        <f>'60 MTO'!C136</f>
        <v>hr</v>
      </c>
      <c r="D17" s="192">
        <f>'60 MTO'!F125</f>
        <v>0</v>
      </c>
      <c r="E17" s="187">
        <f>'60 MTO'!G125</f>
        <v>0</v>
      </c>
      <c r="G17" s="85" t="str">
        <f t="shared" si="0"/>
        <v/>
      </c>
      <c r="H17" s="86" t="str">
        <f>IFERROR(#REF!/#REF!,"")</f>
        <v/>
      </c>
    </row>
    <row r="18" spans="1:10" ht="15" customHeight="1" x14ac:dyDescent="0.2">
      <c r="A18" s="124" t="s">
        <v>535</v>
      </c>
      <c r="B18" s="125" t="s">
        <v>208</v>
      </c>
      <c r="C18" s="124"/>
      <c r="D18" s="191">
        <f>SUM(D11:D17)</f>
        <v>0</v>
      </c>
      <c r="E18" s="191">
        <f>SUM(E11:E17)</f>
        <v>0</v>
      </c>
      <c r="G18" s="85" t="str">
        <f t="shared" si="0"/>
        <v/>
      </c>
      <c r="H18" s="86"/>
      <c r="I18" s="197"/>
    </row>
    <row r="19" spans="1:10" ht="15" customHeight="1" x14ac:dyDescent="0.2">
      <c r="A19" s="114" t="s">
        <v>614</v>
      </c>
      <c r="B19" s="199" t="s">
        <v>143</v>
      </c>
      <c r="C19" s="84" t="str">
        <f>'60 MTO'!C195</f>
        <v>hr</v>
      </c>
      <c r="D19" s="192">
        <f>'60 MTO'!F195</f>
        <v>0</v>
      </c>
      <c r="E19" s="187">
        <f>'60 MTO'!G195</f>
        <v>0</v>
      </c>
      <c r="G19" s="85" t="str">
        <f t="shared" si="0"/>
        <v/>
      </c>
      <c r="H19" s="86"/>
    </row>
    <row r="20" spans="1:10" ht="15" customHeight="1" x14ac:dyDescent="0.2">
      <c r="A20" s="114" t="s">
        <v>617</v>
      </c>
      <c r="B20" s="199" t="s">
        <v>438</v>
      </c>
      <c r="C20" s="84" t="str">
        <f>'60 MTO'!C136</f>
        <v>hr</v>
      </c>
      <c r="D20" s="192">
        <f>'60 MTO'!F136</f>
        <v>0</v>
      </c>
      <c r="E20" s="187">
        <f>'60 MTO'!G136</f>
        <v>0</v>
      </c>
      <c r="G20" s="85" t="str">
        <f t="shared" si="0"/>
        <v/>
      </c>
      <c r="H20" s="86" t="str">
        <f>IFERROR(#REF!/#REF!,"")</f>
        <v/>
      </c>
      <c r="I20" s="197" t="str">
        <f>IFERROR(#REF!/#REF!,"")</f>
        <v/>
      </c>
    </row>
    <row r="21" spans="1:10" ht="15" customHeight="1" x14ac:dyDescent="0.2">
      <c r="A21" s="114" t="s">
        <v>641</v>
      </c>
      <c r="B21" s="199" t="s">
        <v>437</v>
      </c>
      <c r="C21" s="84" t="str">
        <f>'60 MTO'!C218</f>
        <v>hr</v>
      </c>
      <c r="D21" s="192">
        <f>'60 MTO'!F218</f>
        <v>0</v>
      </c>
      <c r="E21" s="187">
        <f>'60 MTO'!G218</f>
        <v>0</v>
      </c>
      <c r="G21" s="85" t="str">
        <f t="shared" si="0"/>
        <v/>
      </c>
      <c r="H21" s="86" t="str">
        <f>IFERROR(#REF!/#REF!,"")</f>
        <v/>
      </c>
    </row>
    <row r="22" spans="1:10" ht="15" customHeight="1" x14ac:dyDescent="0.2">
      <c r="A22" s="114" t="s">
        <v>674</v>
      </c>
      <c r="B22" s="199" t="s">
        <v>85</v>
      </c>
      <c r="C22" s="84" t="str">
        <f>'60 MTO'!C255</f>
        <v>hr</v>
      </c>
      <c r="D22" s="192">
        <f>'60 MTO'!F255</f>
        <v>0</v>
      </c>
      <c r="E22" s="187">
        <f>'60 MTO'!G255</f>
        <v>0</v>
      </c>
      <c r="G22" s="85" t="str">
        <f t="shared" si="0"/>
        <v/>
      </c>
      <c r="H22" s="86" t="str">
        <f>IFERROR(#REF!/#REF!,"")</f>
        <v/>
      </c>
    </row>
    <row r="23" spans="1:10" ht="15" customHeight="1" x14ac:dyDescent="0.2">
      <c r="A23" s="124" t="s">
        <v>613</v>
      </c>
      <c r="B23" s="125" t="s">
        <v>213</v>
      </c>
      <c r="C23" s="124" t="str">
        <f>'60 MTO'!C162</f>
        <v>hr</v>
      </c>
      <c r="D23" s="191">
        <f>SUM(D19:D22)</f>
        <v>0</v>
      </c>
      <c r="E23" s="186">
        <f>SUM(E19:E22)</f>
        <v>0</v>
      </c>
      <c r="G23" s="85" t="str">
        <f t="shared" si="0"/>
        <v/>
      </c>
      <c r="H23" s="86" t="str">
        <f>IFERROR(#REF!/#REF!,"")</f>
        <v/>
      </c>
      <c r="I23" s="197"/>
    </row>
    <row r="24" spans="1:10" ht="15" customHeight="1" x14ac:dyDescent="0.2">
      <c r="A24" s="114" t="s">
        <v>686</v>
      </c>
      <c r="B24" s="200" t="s">
        <v>492</v>
      </c>
      <c r="C24" s="84" t="s">
        <v>100</v>
      </c>
      <c r="D24" s="192">
        <f>'60 MTO'!F207</f>
        <v>0</v>
      </c>
      <c r="E24" s="187">
        <f>'60 MTO'!G207</f>
        <v>0</v>
      </c>
      <c r="G24" s="85" t="str">
        <f t="shared" si="0"/>
        <v/>
      </c>
      <c r="H24" s="86"/>
    </row>
    <row r="25" spans="1:10" ht="15" customHeight="1" x14ac:dyDescent="0.2">
      <c r="A25" s="227" t="s">
        <v>732</v>
      </c>
      <c r="B25" s="199" t="s">
        <v>733</v>
      </c>
      <c r="C25" s="84" t="s">
        <v>100</v>
      </c>
      <c r="D25" s="192">
        <f>'60 MTO'!F219</f>
        <v>0</v>
      </c>
      <c r="E25" s="187">
        <f>'60 MTO'!G219</f>
        <v>0</v>
      </c>
      <c r="G25" s="85"/>
      <c r="H25" s="86"/>
    </row>
    <row r="26" spans="1:10" ht="15" customHeight="1" x14ac:dyDescent="0.2">
      <c r="A26" s="227" t="s">
        <v>752</v>
      </c>
      <c r="B26" s="199" t="s">
        <v>753</v>
      </c>
      <c r="C26" s="84" t="s">
        <v>100</v>
      </c>
      <c r="D26" s="192">
        <f>'60 MTO'!F231</f>
        <v>0</v>
      </c>
      <c r="E26" s="187">
        <f>'60 MTO'!G231</f>
        <v>0</v>
      </c>
      <c r="G26" s="85"/>
      <c r="H26" s="86"/>
    </row>
    <row r="27" spans="1:10" ht="15" customHeight="1" x14ac:dyDescent="0.2">
      <c r="A27" s="227" t="s">
        <v>778</v>
      </c>
      <c r="B27" s="199" t="s">
        <v>801</v>
      </c>
      <c r="C27" s="84" t="s">
        <v>100</v>
      </c>
      <c r="D27" s="192">
        <f>'60 MTO'!F244</f>
        <v>0</v>
      </c>
      <c r="E27" s="187">
        <f>'60 MTO'!G244</f>
        <v>0</v>
      </c>
      <c r="G27" s="85"/>
      <c r="H27" s="86"/>
    </row>
    <row r="28" spans="1:10" ht="15" customHeight="1" x14ac:dyDescent="0.2">
      <c r="A28" s="114" t="s">
        <v>688</v>
      </c>
      <c r="B28" s="199" t="s">
        <v>713</v>
      </c>
      <c r="C28" s="84" t="s">
        <v>100</v>
      </c>
      <c r="D28" s="192">
        <f>'60 MTO'!F255</f>
        <v>0</v>
      </c>
      <c r="E28" s="187">
        <f>'60 MTO'!G255</f>
        <v>0</v>
      </c>
      <c r="G28" s="85" t="str">
        <f>IFERROR(D28/$D$32,"")</f>
        <v/>
      </c>
      <c r="H28" s="86"/>
      <c r="J28" s="195" t="s">
        <v>950</v>
      </c>
    </row>
    <row r="29" spans="1:10" ht="15" customHeight="1" x14ac:dyDescent="0.2">
      <c r="A29" s="124" t="s">
        <v>685</v>
      </c>
      <c r="B29" s="125" t="s">
        <v>953</v>
      </c>
      <c r="C29" s="124" t="s">
        <v>100</v>
      </c>
      <c r="D29" s="191">
        <f>SUM(D24:D28)</f>
        <v>0</v>
      </c>
      <c r="E29" s="186">
        <f>SUM(E24:E28)</f>
        <v>0</v>
      </c>
      <c r="G29" s="85" t="str">
        <f>IFERROR(D29/$D$32,"")</f>
        <v/>
      </c>
      <c r="H29" s="86" t="str">
        <f>IFERROR(#REF!/#REF!,"")</f>
        <v/>
      </c>
      <c r="I29" s="197" t="str">
        <f>IFERROR(#REF!/#REF!,"")</f>
        <v/>
      </c>
    </row>
    <row r="30" spans="1:10" ht="15" customHeight="1" x14ac:dyDescent="0.2">
      <c r="A30" s="114" t="s">
        <v>697</v>
      </c>
      <c r="B30" s="199" t="s">
        <v>493</v>
      </c>
      <c r="C30" s="84" t="s">
        <v>100</v>
      </c>
      <c r="D30" s="192">
        <f>'60 MTO'!F264</f>
        <v>0</v>
      </c>
      <c r="E30" s="187">
        <f>'60 MTO'!G264</f>
        <v>0</v>
      </c>
      <c r="G30" s="85" t="str">
        <f>IFERROR(D30/$D$32,"")</f>
        <v/>
      </c>
      <c r="H30" s="86"/>
    </row>
    <row r="31" spans="1:10" ht="15" customHeight="1" x14ac:dyDescent="0.2">
      <c r="A31" s="124" t="s">
        <v>153</v>
      </c>
      <c r="B31" s="125" t="s">
        <v>710</v>
      </c>
      <c r="C31" s="124" t="s">
        <v>100</v>
      </c>
      <c r="D31" s="191">
        <f>D30</f>
        <v>0</v>
      </c>
      <c r="E31" s="186">
        <f>E30</f>
        <v>0</v>
      </c>
      <c r="G31" s="85" t="str">
        <f>IFERROR(D31/$D$32,"")</f>
        <v/>
      </c>
      <c r="H31" s="86"/>
      <c r="I31" s="197"/>
    </row>
    <row r="32" spans="1:10" s="5" customFormat="1" ht="28.5" x14ac:dyDescent="0.2">
      <c r="A32" s="88"/>
      <c r="B32" s="89" t="s">
        <v>237</v>
      </c>
      <c r="C32" s="90" t="s">
        <v>235</v>
      </c>
      <c r="D32" s="193" cm="1">
        <f t="array" ref="D32">SumByColor(D3:D30,D7)</f>
        <v>0</v>
      </c>
      <c r="E32" s="188" cm="1">
        <f t="array" ref="E32">SumByColor(E3:E30,E7)</f>
        <v>0</v>
      </c>
      <c r="G32" s="91" t="e">
        <f>E32/D32</f>
        <v>#DIV/0!</v>
      </c>
      <c r="H32" s="223" t="s">
        <v>136</v>
      </c>
      <c r="I32" s="197" t="e">
        <f>E32/D32</f>
        <v>#DIV/0!</v>
      </c>
    </row>
    <row r="34" spans="1:5" ht="15" customHeight="1" x14ac:dyDescent="0.2">
      <c r="A34" s="203" t="s">
        <v>726</v>
      </c>
      <c r="B34" s="204" t="s">
        <v>944</v>
      </c>
      <c r="C34" s="205" t="s">
        <v>135</v>
      </c>
      <c r="D34" s="205" t="s">
        <v>945</v>
      </c>
      <c r="E34" s="206">
        <f>SUM('60 MTO'!EH4:EM4)</f>
        <v>0</v>
      </c>
    </row>
    <row r="35" spans="1:5" ht="15" customHeight="1" x14ac:dyDescent="0.2">
      <c r="A35" s="84" t="s">
        <v>943</v>
      </c>
      <c r="B35" s="121" t="s">
        <v>942</v>
      </c>
      <c r="C35" s="187" t="s">
        <v>135</v>
      </c>
      <c r="D35" s="187" t="s">
        <v>945</v>
      </c>
      <c r="E35" s="201">
        <f>SUM('60 MTO'!DE4:EA4)</f>
        <v>0</v>
      </c>
    </row>
    <row r="36" spans="1:5" ht="15" customHeight="1" x14ac:dyDescent="0.2">
      <c r="A36" s="207" t="s">
        <v>727</v>
      </c>
      <c r="B36" s="208" t="s">
        <v>728</v>
      </c>
      <c r="C36" s="209" t="s">
        <v>135</v>
      </c>
      <c r="D36" s="209" t="s">
        <v>945</v>
      </c>
      <c r="E36" s="210">
        <f>SUM('60 MTO'!EN4:EQ4)</f>
        <v>0</v>
      </c>
    </row>
    <row r="37" spans="1:5" ht="15" customHeight="1" x14ac:dyDescent="0.2">
      <c r="A37" s="88"/>
      <c r="B37" s="89" t="s">
        <v>947</v>
      </c>
      <c r="C37" s="90"/>
      <c r="D37" s="202"/>
      <c r="E37" s="202">
        <f>SUM(E34:E36)</f>
        <v>0</v>
      </c>
    </row>
    <row r="39" spans="1:5" ht="30" customHeight="1" x14ac:dyDescent="0.2">
      <c r="A39" s="89"/>
      <c r="B39" s="89" t="s">
        <v>946</v>
      </c>
      <c r="C39" s="89"/>
      <c r="D39" s="89"/>
      <c r="E39" s="211">
        <f>E37+E32</f>
        <v>0</v>
      </c>
    </row>
  </sheetData>
  <sheetProtection selectLockedCells="1"/>
  <phoneticPr fontId="12" type="noConversion"/>
  <pageMargins left="0.70866141732283472" right="0.70866141732283472" top="1.1417322834645669" bottom="0.74803149606299213" header="0.31496062992125984" footer="0.31496062992125984"/>
  <pageSetup scale="50" fitToHeight="0" orientation="portrait" r:id="rId1"/>
  <headerFooter>
    <oddHeader>&amp;LProject Name:  &amp;F
Estimate Class:  &amp; 3;  
Accuracy: &amp; +/- 20 %&amp;C
&amp;"Cambria,Bold"&amp;14Appendix A: Level 2 Estimate (continued)&amp;R&amp;G
Date: &amp;D</oddHeader>
    <oddFooter>&amp;R Page &amp;P of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E296B-286C-427D-B315-6AB968E8103C}">
  <sheetPr codeName="Sheet18">
    <outlinePr summaryBelow="0" summaryRight="0"/>
    <pageSetUpPr fitToPage="1"/>
  </sheetPr>
  <dimension ref="A1:EQ276"/>
  <sheetViews>
    <sheetView tabSelected="1" workbookViewId="0">
      <pane xSplit="7" ySplit="4" topLeftCell="DZ5" activePane="bottomRight" state="frozen"/>
      <selection pane="topRight" activeCell="H1" sqref="H1"/>
      <selection pane="bottomLeft" activeCell="A5" sqref="A5"/>
      <selection pane="bottomRight" activeCell="D13" sqref="D13"/>
    </sheetView>
  </sheetViews>
  <sheetFormatPr defaultColWidth="11.125" defaultRowHeight="53.45" customHeight="1" outlineLevelRow="4" x14ac:dyDescent="0.2"/>
  <cols>
    <col min="1" max="1" width="10" style="92" customWidth="1"/>
    <col min="2" max="2" width="38.75" style="7" bestFit="1" customWidth="1"/>
    <col min="3" max="3" width="8" style="136" customWidth="1"/>
    <col min="4" max="4" width="10" style="167" customWidth="1"/>
    <col min="5" max="5" width="8.125" style="167" customWidth="1"/>
    <col min="6" max="6" width="11.125" style="49" customWidth="1"/>
    <col min="7" max="7" width="12.5" style="41" customWidth="1"/>
    <col min="8" max="129" width="9.875" style="42" customWidth="1"/>
    <col min="130" max="130" width="2.625" style="42" customWidth="1"/>
    <col min="131" max="143" width="8.625" style="41" customWidth="1"/>
    <col min="144" max="144" width="10.125" style="41" customWidth="1"/>
    <col min="145" max="145" width="10.125" style="42" customWidth="1"/>
    <col min="146" max="146" width="10.625" style="42" customWidth="1"/>
    <col min="147" max="147" width="9.125" style="42" customWidth="1"/>
    <col min="148" max="148" width="10.125" style="42" customWidth="1"/>
    <col min="149" max="223" width="11.125" style="42" customWidth="1"/>
    <col min="224" max="16384" width="11.125" style="42"/>
  </cols>
  <sheetData>
    <row r="1" spans="1:147" s="36" customFormat="1" ht="72" customHeight="1" x14ac:dyDescent="0.2">
      <c r="A1" s="137" t="s">
        <v>0</v>
      </c>
      <c r="B1" s="101" t="s">
        <v>1</v>
      </c>
      <c r="C1" s="102" t="s">
        <v>99</v>
      </c>
      <c r="D1" s="154" t="s">
        <v>452</v>
      </c>
      <c r="E1" s="154" t="s">
        <v>494</v>
      </c>
      <c r="F1" s="101" t="s">
        <v>299</v>
      </c>
      <c r="G1" s="103" t="s">
        <v>228</v>
      </c>
      <c r="H1" s="104" t="s">
        <v>357</v>
      </c>
      <c r="I1" s="104" t="s">
        <v>358</v>
      </c>
      <c r="J1" s="104" t="s">
        <v>359</v>
      </c>
      <c r="K1" s="104" t="s">
        <v>360</v>
      </c>
      <c r="L1" s="104" t="s">
        <v>361</v>
      </c>
      <c r="M1" s="104" t="s">
        <v>362</v>
      </c>
      <c r="N1" s="105" t="s">
        <v>363</v>
      </c>
      <c r="O1" s="105" t="s">
        <v>364</v>
      </c>
      <c r="P1" s="105" t="s">
        <v>365</v>
      </c>
      <c r="Q1" s="105" t="s">
        <v>366</v>
      </c>
      <c r="R1" s="106" t="s">
        <v>382</v>
      </c>
      <c r="S1" s="106" t="s">
        <v>383</v>
      </c>
      <c r="T1" s="106" t="s">
        <v>384</v>
      </c>
      <c r="U1" s="106" t="s">
        <v>385</v>
      </c>
      <c r="V1" s="106" t="s">
        <v>386</v>
      </c>
      <c r="W1" s="104" t="s">
        <v>799</v>
      </c>
      <c r="X1" s="104" t="s">
        <v>367</v>
      </c>
      <c r="Y1" s="104" t="s">
        <v>368</v>
      </c>
      <c r="Z1" s="104" t="s">
        <v>369</v>
      </c>
      <c r="AA1" s="104" t="s">
        <v>370</v>
      </c>
      <c r="AB1" s="107" t="s">
        <v>371</v>
      </c>
      <c r="AC1" s="107" t="s">
        <v>372</v>
      </c>
      <c r="AD1" s="107" t="s">
        <v>373</v>
      </c>
      <c r="AE1" s="107" t="s">
        <v>374</v>
      </c>
      <c r="AF1" s="107" t="s">
        <v>375</v>
      </c>
      <c r="AG1" s="108" t="s">
        <v>376</v>
      </c>
      <c r="AH1" s="108" t="s">
        <v>377</v>
      </c>
      <c r="AI1" s="108" t="s">
        <v>378</v>
      </c>
      <c r="AJ1" s="108" t="s">
        <v>379</v>
      </c>
      <c r="AK1" s="108" t="s">
        <v>380</v>
      </c>
      <c r="AL1" s="108" t="s">
        <v>381</v>
      </c>
      <c r="AM1" s="109" t="s">
        <v>387</v>
      </c>
      <c r="AN1" s="109" t="s">
        <v>388</v>
      </c>
      <c r="AO1" s="109" t="s">
        <v>389</v>
      </c>
      <c r="AP1" s="109" t="s">
        <v>390</v>
      </c>
      <c r="AQ1" s="109" t="s">
        <v>391</v>
      </c>
      <c r="AR1" s="109" t="s">
        <v>392</v>
      </c>
      <c r="AS1" s="109" t="s">
        <v>393</v>
      </c>
      <c r="AT1" s="108" t="s">
        <v>394</v>
      </c>
      <c r="AU1" s="108" t="s">
        <v>395</v>
      </c>
      <c r="AV1" s="108" t="s">
        <v>396</v>
      </c>
      <c r="AW1" s="108" t="s">
        <v>397</v>
      </c>
      <c r="AX1" s="108" t="s">
        <v>398</v>
      </c>
      <c r="AY1" s="108" t="s">
        <v>399</v>
      </c>
      <c r="AZ1" s="108" t="s">
        <v>400</v>
      </c>
      <c r="BA1" s="109" t="s">
        <v>401</v>
      </c>
      <c r="BB1" s="109" t="s">
        <v>402</v>
      </c>
      <c r="BC1" s="109" t="s">
        <v>403</v>
      </c>
      <c r="BD1" s="109" t="s">
        <v>404</v>
      </c>
      <c r="BE1" s="109" t="s">
        <v>405</v>
      </c>
      <c r="BF1" s="109" t="s">
        <v>406</v>
      </c>
      <c r="BG1" s="109" t="s">
        <v>407</v>
      </c>
      <c r="BH1" s="108" t="s">
        <v>457</v>
      </c>
      <c r="BI1" s="108" t="s">
        <v>458</v>
      </c>
      <c r="BJ1" s="108" t="s">
        <v>459</v>
      </c>
      <c r="BK1" s="108" t="s">
        <v>460</v>
      </c>
      <c r="BL1" s="108" t="s">
        <v>461</v>
      </c>
      <c r="BM1" s="108" t="s">
        <v>462</v>
      </c>
      <c r="BN1" s="108" t="s">
        <v>463</v>
      </c>
      <c r="BO1" s="109" t="s">
        <v>302</v>
      </c>
      <c r="BP1" s="109" t="s">
        <v>303</v>
      </c>
      <c r="BQ1" s="109" t="s">
        <v>304</v>
      </c>
      <c r="BR1" s="109" t="s">
        <v>305</v>
      </c>
      <c r="BS1" s="109" t="s">
        <v>306</v>
      </c>
      <c r="BT1" s="109" t="s">
        <v>307</v>
      </c>
      <c r="BU1" s="109" t="s">
        <v>308</v>
      </c>
      <c r="BV1" s="110" t="s">
        <v>464</v>
      </c>
      <c r="BW1" s="110" t="s">
        <v>465</v>
      </c>
      <c r="BX1" s="110" t="s">
        <v>466</v>
      </c>
      <c r="BY1" s="110" t="s">
        <v>467</v>
      </c>
      <c r="BZ1" s="110" t="s">
        <v>468</v>
      </c>
      <c r="CA1" s="110" t="s">
        <v>469</v>
      </c>
      <c r="CB1" s="110" t="s">
        <v>470</v>
      </c>
      <c r="CC1" s="108" t="s">
        <v>309</v>
      </c>
      <c r="CD1" s="108" t="s">
        <v>310</v>
      </c>
      <c r="CE1" s="108" t="s">
        <v>311</v>
      </c>
      <c r="CF1" s="108" t="s">
        <v>312</v>
      </c>
      <c r="CG1" s="108" t="s">
        <v>408</v>
      </c>
      <c r="CH1" s="108" t="s">
        <v>313</v>
      </c>
      <c r="CI1" s="108" t="s">
        <v>314</v>
      </c>
      <c r="CJ1" s="109" t="s">
        <v>315</v>
      </c>
      <c r="CK1" s="109" t="s">
        <v>316</v>
      </c>
      <c r="CL1" s="109" t="s">
        <v>317</v>
      </c>
      <c r="CM1" s="109" t="s">
        <v>318</v>
      </c>
      <c r="CN1" s="109" t="s">
        <v>319</v>
      </c>
      <c r="CO1" s="109" t="s">
        <v>320</v>
      </c>
      <c r="CP1" s="109" t="s">
        <v>321</v>
      </c>
      <c r="CQ1" s="108" t="s">
        <v>322</v>
      </c>
      <c r="CR1" s="108" t="s">
        <v>323</v>
      </c>
      <c r="CS1" s="108" t="s">
        <v>324</v>
      </c>
      <c r="CT1" s="108" t="s">
        <v>325</v>
      </c>
      <c r="CU1" s="108" t="s">
        <v>326</v>
      </c>
      <c r="CV1" s="108" t="s">
        <v>327</v>
      </c>
      <c r="CW1" s="108" t="s">
        <v>328</v>
      </c>
      <c r="CX1" s="105" t="s">
        <v>329</v>
      </c>
      <c r="CY1" s="105" t="s">
        <v>330</v>
      </c>
      <c r="CZ1" s="105" t="s">
        <v>331</v>
      </c>
      <c r="DA1" s="105" t="s">
        <v>332</v>
      </c>
      <c r="DB1" s="105" t="s">
        <v>333</v>
      </c>
      <c r="DC1" s="105" t="s">
        <v>334</v>
      </c>
      <c r="DD1" s="111" t="s">
        <v>335</v>
      </c>
      <c r="DE1" s="111" t="s">
        <v>336</v>
      </c>
      <c r="DF1" s="111" t="s">
        <v>337</v>
      </c>
      <c r="DG1" s="111" t="s">
        <v>338</v>
      </c>
      <c r="DH1" s="111" t="s">
        <v>339</v>
      </c>
      <c r="DI1" s="111" t="s">
        <v>340</v>
      </c>
      <c r="DJ1" s="108" t="s">
        <v>341</v>
      </c>
      <c r="DK1" s="108" t="s">
        <v>342</v>
      </c>
      <c r="DL1" s="108" t="s">
        <v>343</v>
      </c>
      <c r="DM1" s="108" t="s">
        <v>344</v>
      </c>
      <c r="DN1" s="108" t="s">
        <v>345</v>
      </c>
      <c r="DO1" s="108" t="s">
        <v>346</v>
      </c>
      <c r="DP1" s="112" t="s">
        <v>347</v>
      </c>
      <c r="DQ1" s="112" t="s">
        <v>348</v>
      </c>
      <c r="DR1" s="112" t="s">
        <v>349</v>
      </c>
      <c r="DS1" s="112" t="s">
        <v>350</v>
      </c>
      <c r="DT1" s="112" t="s">
        <v>351</v>
      </c>
      <c r="DU1" s="113" t="s">
        <v>352</v>
      </c>
      <c r="DV1" s="113" t="s">
        <v>353</v>
      </c>
      <c r="DW1" s="113" t="s">
        <v>354</v>
      </c>
      <c r="DX1" s="113" t="s">
        <v>355</v>
      </c>
      <c r="DY1" s="113" t="s">
        <v>356</v>
      </c>
      <c r="DZ1" s="214" t="s">
        <v>949</v>
      </c>
      <c r="EA1" s="133" t="s">
        <v>422</v>
      </c>
      <c r="EB1" s="133" t="s">
        <v>423</v>
      </c>
      <c r="EC1" s="133" t="s">
        <v>424</v>
      </c>
      <c r="ED1" s="133" t="s">
        <v>425</v>
      </c>
      <c r="EE1" s="133" t="s">
        <v>426</v>
      </c>
      <c r="EF1" s="133" t="s">
        <v>427</v>
      </c>
      <c r="EG1" s="133" t="s">
        <v>456</v>
      </c>
      <c r="EH1" s="131" t="s">
        <v>730</v>
      </c>
      <c r="EI1" s="131" t="s">
        <v>428</v>
      </c>
      <c r="EJ1" s="131" t="s">
        <v>432</v>
      </c>
      <c r="EK1" s="131" t="s">
        <v>429</v>
      </c>
      <c r="EL1" s="131" t="s">
        <v>430</v>
      </c>
      <c r="EM1" s="131" t="s">
        <v>431</v>
      </c>
      <c r="EN1" s="132" t="s">
        <v>478</v>
      </c>
      <c r="EO1" s="132" t="s">
        <v>475</v>
      </c>
      <c r="EP1" s="132" t="s">
        <v>476</v>
      </c>
      <c r="EQ1" s="132" t="s">
        <v>477</v>
      </c>
    </row>
    <row r="2" spans="1:147" s="38" customFormat="1" ht="22.9" customHeight="1" x14ac:dyDescent="0.2">
      <c r="A2" s="139"/>
      <c r="B2" s="140"/>
      <c r="C2" s="141"/>
      <c r="D2" s="155"/>
      <c r="E2" s="156"/>
      <c r="F2" s="142" t="s">
        <v>283</v>
      </c>
      <c r="G2" s="143"/>
      <c r="H2" s="143">
        <f>'Rates Sheet'!D15</f>
        <v>140</v>
      </c>
      <c r="I2" s="143">
        <f>'Rates Sheet'!E15</f>
        <v>165</v>
      </c>
      <c r="J2" s="143">
        <f>'Rates Sheet'!F15</f>
        <v>180</v>
      </c>
      <c r="K2" s="143">
        <f>'Rates Sheet'!G15</f>
        <v>195</v>
      </c>
      <c r="L2" s="143">
        <f>'Rates Sheet'!H15</f>
        <v>220</v>
      </c>
      <c r="M2" s="143">
        <f>'Rates Sheet'!I15</f>
        <v>240</v>
      </c>
      <c r="N2" s="143">
        <f>'Rates Sheet'!C4</f>
        <v>60</v>
      </c>
      <c r="O2" s="143">
        <f>'Rates Sheet'!D4</f>
        <v>65</v>
      </c>
      <c r="P2" s="143">
        <f>'Rates Sheet'!E4</f>
        <v>80</v>
      </c>
      <c r="Q2" s="143">
        <f>'Rates Sheet'!F4</f>
        <v>95</v>
      </c>
      <c r="R2" s="143">
        <f>'Rates Sheet'!C5</f>
        <v>60</v>
      </c>
      <c r="S2" s="143">
        <f>'Rates Sheet'!D5</f>
        <v>65</v>
      </c>
      <c r="T2" s="143">
        <f>'Rates Sheet'!E5</f>
        <v>80</v>
      </c>
      <c r="U2" s="143">
        <f>'Rates Sheet'!F5</f>
        <v>100</v>
      </c>
      <c r="V2" s="143">
        <f>'Rates Sheet'!G5</f>
        <v>120</v>
      </c>
      <c r="W2" s="143">
        <f>'Rates Sheet'!C12</f>
        <v>115</v>
      </c>
      <c r="X2" s="143">
        <f>'Rates Sheet'!D12</f>
        <v>120</v>
      </c>
      <c r="Y2" s="143">
        <f>'Rates Sheet'!E12</f>
        <v>145</v>
      </c>
      <c r="Z2" s="143">
        <f>'Rates Sheet'!F12</f>
        <v>160</v>
      </c>
      <c r="AA2" s="143">
        <f>'Rates Sheet'!G12</f>
        <v>180</v>
      </c>
      <c r="AB2" s="143">
        <f>'Rates Sheet'!C11</f>
        <v>105</v>
      </c>
      <c r="AC2" s="143">
        <f>'Rates Sheet'!D11</f>
        <v>115</v>
      </c>
      <c r="AD2" s="143">
        <f>'Rates Sheet'!E11</f>
        <v>130</v>
      </c>
      <c r="AE2" s="143">
        <f>'Rates Sheet'!F11</f>
        <v>140</v>
      </c>
      <c r="AF2" s="143">
        <f>'Rates Sheet'!G11</f>
        <v>150</v>
      </c>
      <c r="AG2" s="143">
        <f>'Rates Sheet'!C6</f>
        <v>75</v>
      </c>
      <c r="AH2" s="143">
        <f>'Rates Sheet'!D6</f>
        <v>110</v>
      </c>
      <c r="AI2" s="143">
        <f>'Rates Sheet'!E6</f>
        <v>130</v>
      </c>
      <c r="AJ2" s="143">
        <f>'Rates Sheet'!F6</f>
        <v>140</v>
      </c>
      <c r="AK2" s="143">
        <f>'Rates Sheet'!G6</f>
        <v>150</v>
      </c>
      <c r="AL2" s="143">
        <f>'Rates Sheet'!H6</f>
        <v>160</v>
      </c>
      <c r="AM2" s="143">
        <f>'Rates Sheet'!C7</f>
        <v>110</v>
      </c>
      <c r="AN2" s="143">
        <f>'Rates Sheet'!D7</f>
        <v>115</v>
      </c>
      <c r="AO2" s="143">
        <f>'Rates Sheet'!E7</f>
        <v>140</v>
      </c>
      <c r="AP2" s="143">
        <f>'Rates Sheet'!F7</f>
        <v>155</v>
      </c>
      <c r="AQ2" s="143">
        <f>'Rates Sheet'!G7</f>
        <v>175</v>
      </c>
      <c r="AR2" s="143">
        <f>'Rates Sheet'!H7</f>
        <v>195</v>
      </c>
      <c r="AS2" s="143">
        <f>'Rates Sheet'!I7</f>
        <v>230</v>
      </c>
      <c r="AT2" s="143">
        <f>'Rates Sheet'!C7</f>
        <v>110</v>
      </c>
      <c r="AU2" s="143">
        <f>'Rates Sheet'!D7</f>
        <v>115</v>
      </c>
      <c r="AV2" s="143">
        <f>'Rates Sheet'!E7</f>
        <v>140</v>
      </c>
      <c r="AW2" s="143">
        <f>'Rates Sheet'!F7</f>
        <v>155</v>
      </c>
      <c r="AX2" s="143">
        <f>'Rates Sheet'!G7</f>
        <v>175</v>
      </c>
      <c r="AY2" s="143">
        <f>'Rates Sheet'!H7</f>
        <v>195</v>
      </c>
      <c r="AZ2" s="143">
        <f>'Rates Sheet'!I7</f>
        <v>230</v>
      </c>
      <c r="BA2" s="143">
        <f>'Rates Sheet'!C7</f>
        <v>110</v>
      </c>
      <c r="BB2" s="143">
        <f>'Rates Sheet'!D7</f>
        <v>115</v>
      </c>
      <c r="BC2" s="143">
        <f>'Rates Sheet'!E7</f>
        <v>140</v>
      </c>
      <c r="BD2" s="143">
        <f>'Rates Sheet'!F7</f>
        <v>155</v>
      </c>
      <c r="BE2" s="143">
        <f>'Rates Sheet'!G7</f>
        <v>175</v>
      </c>
      <c r="BF2" s="143">
        <f>'Rates Sheet'!H7</f>
        <v>195</v>
      </c>
      <c r="BG2" s="143">
        <f>'Rates Sheet'!I7</f>
        <v>230</v>
      </c>
      <c r="BH2" s="143">
        <f>'Rates Sheet'!C7</f>
        <v>110</v>
      </c>
      <c r="BI2" s="143">
        <f>'Rates Sheet'!D7</f>
        <v>115</v>
      </c>
      <c r="BJ2" s="143">
        <f>'Rates Sheet'!E7</f>
        <v>140</v>
      </c>
      <c r="BK2" s="143">
        <f>'Rates Sheet'!F7</f>
        <v>155</v>
      </c>
      <c r="BL2" s="143">
        <f>'Rates Sheet'!G7</f>
        <v>175</v>
      </c>
      <c r="BM2" s="143">
        <f>'Rates Sheet'!H7</f>
        <v>195</v>
      </c>
      <c r="BN2" s="143">
        <f>'Rates Sheet'!I7</f>
        <v>230</v>
      </c>
      <c r="BO2" s="143">
        <f>'Rates Sheet'!C7</f>
        <v>110</v>
      </c>
      <c r="BP2" s="143">
        <f>'Rates Sheet'!D7</f>
        <v>115</v>
      </c>
      <c r="BQ2" s="143">
        <f>'Rates Sheet'!E7</f>
        <v>140</v>
      </c>
      <c r="BR2" s="143">
        <f>'Rates Sheet'!F7</f>
        <v>155</v>
      </c>
      <c r="BS2" s="143">
        <f>'Rates Sheet'!G7</f>
        <v>175</v>
      </c>
      <c r="BT2" s="143">
        <f>'Rates Sheet'!H7</f>
        <v>195</v>
      </c>
      <c r="BU2" s="143">
        <f>'Rates Sheet'!I7</f>
        <v>230</v>
      </c>
      <c r="BV2" s="143">
        <v>110</v>
      </c>
      <c r="BW2" s="143">
        <f>'Rates Sheet'!D7</f>
        <v>115</v>
      </c>
      <c r="BX2" s="143">
        <f>'Rates Sheet'!E7</f>
        <v>140</v>
      </c>
      <c r="BY2" s="143">
        <f>'Rates Sheet'!F7</f>
        <v>155</v>
      </c>
      <c r="BZ2" s="143">
        <f>'Rates Sheet'!G7</f>
        <v>175</v>
      </c>
      <c r="CA2" s="143">
        <f>'Rates Sheet'!H7</f>
        <v>195</v>
      </c>
      <c r="CB2" s="143">
        <f>'Rates Sheet'!I7</f>
        <v>230</v>
      </c>
      <c r="CC2" s="143">
        <f>'Rates Sheet'!C8</f>
        <v>105</v>
      </c>
      <c r="CD2" s="143">
        <f>'Rates Sheet'!D8</f>
        <v>110</v>
      </c>
      <c r="CE2" s="143">
        <f>'Rates Sheet'!E8</f>
        <v>135</v>
      </c>
      <c r="CF2" s="143">
        <f>'Rates Sheet'!F8</f>
        <v>150</v>
      </c>
      <c r="CG2" s="143">
        <f>'Rates Sheet'!G8</f>
        <v>170</v>
      </c>
      <c r="CH2" s="143">
        <f>'Rates Sheet'!H8</f>
        <v>185</v>
      </c>
      <c r="CI2" s="143">
        <f>'Rates Sheet'!I8</f>
        <v>220</v>
      </c>
      <c r="CJ2" s="143">
        <f>'Rates Sheet'!C8</f>
        <v>105</v>
      </c>
      <c r="CK2" s="143">
        <f>'Rates Sheet'!D8</f>
        <v>110</v>
      </c>
      <c r="CL2" s="143">
        <f>'Rates Sheet'!E8</f>
        <v>135</v>
      </c>
      <c r="CM2" s="143">
        <f>'Rates Sheet'!F8</f>
        <v>150</v>
      </c>
      <c r="CN2" s="143">
        <f>'Rates Sheet'!G8</f>
        <v>170</v>
      </c>
      <c r="CO2" s="143">
        <f>'Rates Sheet'!H8</f>
        <v>185</v>
      </c>
      <c r="CP2" s="143">
        <f>'Rates Sheet'!I8</f>
        <v>220</v>
      </c>
      <c r="CQ2" s="143">
        <f>'Rates Sheet'!C8</f>
        <v>105</v>
      </c>
      <c r="CR2" s="143">
        <f>'Rates Sheet'!D8</f>
        <v>110</v>
      </c>
      <c r="CS2" s="143">
        <f>'Rates Sheet'!E8</f>
        <v>135</v>
      </c>
      <c r="CT2" s="143">
        <f>'Rates Sheet'!F8</f>
        <v>150</v>
      </c>
      <c r="CU2" s="143">
        <f>'Rates Sheet'!G8</f>
        <v>170</v>
      </c>
      <c r="CV2" s="143">
        <f>'Rates Sheet'!H8</f>
        <v>185</v>
      </c>
      <c r="CW2" s="143">
        <f>'Rates Sheet'!I8</f>
        <v>220</v>
      </c>
      <c r="CX2" s="143">
        <f>'Rates Sheet'!C9</f>
        <v>90</v>
      </c>
      <c r="CY2" s="143">
        <f>'Rates Sheet'!D9</f>
        <v>105</v>
      </c>
      <c r="CZ2" s="143">
        <f>'Rates Sheet'!E9</f>
        <v>115</v>
      </c>
      <c r="DA2" s="143">
        <f>'Rates Sheet'!F9</f>
        <v>140</v>
      </c>
      <c r="DB2" s="143">
        <f>'Rates Sheet'!G9</f>
        <v>155</v>
      </c>
      <c r="DC2" s="143">
        <f>'Rates Sheet'!H9</f>
        <v>160</v>
      </c>
      <c r="DD2" s="143">
        <f>'Rates Sheet'!C9</f>
        <v>90</v>
      </c>
      <c r="DE2" s="143">
        <f>'Rates Sheet'!D9</f>
        <v>105</v>
      </c>
      <c r="DF2" s="143">
        <f>'Rates Sheet'!E9</f>
        <v>115</v>
      </c>
      <c r="DG2" s="143">
        <f>'Rates Sheet'!F9</f>
        <v>140</v>
      </c>
      <c r="DH2" s="143">
        <f>'Rates Sheet'!G9</f>
        <v>155</v>
      </c>
      <c r="DI2" s="143">
        <f>'Rates Sheet'!H9</f>
        <v>160</v>
      </c>
      <c r="DJ2" s="143">
        <f>'Rates Sheet'!C9</f>
        <v>90</v>
      </c>
      <c r="DK2" s="143">
        <f>'Rates Sheet'!D9</f>
        <v>105</v>
      </c>
      <c r="DL2" s="143">
        <f>'Rates Sheet'!E9</f>
        <v>115</v>
      </c>
      <c r="DM2" s="143">
        <f>'Rates Sheet'!F9</f>
        <v>140</v>
      </c>
      <c r="DN2" s="143">
        <f>'Rates Sheet'!G9</f>
        <v>155</v>
      </c>
      <c r="DO2" s="143">
        <f>'Rates Sheet'!H9</f>
        <v>160</v>
      </c>
      <c r="DP2" s="143">
        <f>'Rates Sheet'!C10</f>
        <v>80</v>
      </c>
      <c r="DQ2" s="143">
        <f>'Rates Sheet'!D10</f>
        <v>100</v>
      </c>
      <c r="DR2" s="143">
        <f>'Rates Sheet'!E10</f>
        <v>120</v>
      </c>
      <c r="DS2" s="143">
        <f>'Rates Sheet'!F10</f>
        <v>140</v>
      </c>
      <c r="DT2" s="143">
        <f>'Rates Sheet'!G10</f>
        <v>155</v>
      </c>
      <c r="DU2" s="143">
        <v>80</v>
      </c>
      <c r="DV2" s="143">
        <v>100</v>
      </c>
      <c r="DW2" s="143">
        <v>120</v>
      </c>
      <c r="DX2" s="143">
        <v>140</v>
      </c>
      <c r="DY2" s="143">
        <v>155</v>
      </c>
      <c r="DZ2" s="215"/>
      <c r="EA2" s="238">
        <v>1</v>
      </c>
      <c r="EB2" s="144">
        <v>1</v>
      </c>
      <c r="EC2" s="144">
        <v>1</v>
      </c>
      <c r="ED2" s="144">
        <v>150</v>
      </c>
      <c r="EE2" s="144">
        <v>50</v>
      </c>
      <c r="EF2" s="144">
        <v>1</v>
      </c>
      <c r="EG2" s="144">
        <v>1</v>
      </c>
      <c r="EH2" s="144">
        <v>20</v>
      </c>
      <c r="EI2" s="144">
        <v>20</v>
      </c>
      <c r="EJ2" s="144">
        <v>20</v>
      </c>
      <c r="EK2" s="144">
        <v>15</v>
      </c>
      <c r="EL2" s="144">
        <v>65</v>
      </c>
      <c r="EM2" s="144">
        <v>12</v>
      </c>
      <c r="EN2" s="144">
        <v>140</v>
      </c>
      <c r="EO2" s="144">
        <v>140</v>
      </c>
      <c r="EP2" s="144">
        <v>140</v>
      </c>
      <c r="EQ2" s="144">
        <v>140</v>
      </c>
    </row>
    <row r="3" spans="1:147" s="39" customFormat="1" ht="22.9" customHeight="1" x14ac:dyDescent="0.2">
      <c r="A3" s="145" t="s">
        <v>287</v>
      </c>
      <c r="B3" s="37" t="s">
        <v>969</v>
      </c>
      <c r="C3" s="97"/>
      <c r="D3" s="157"/>
      <c r="E3" s="158"/>
      <c r="F3" s="134" t="s">
        <v>299</v>
      </c>
      <c r="G3" s="116">
        <f>SUM(Table1[[#This Row],[PM JR]:[19.36 TPSC CSA]])</f>
        <v>0</v>
      </c>
      <c r="H3" s="135" cm="1">
        <f t="array" ref="H3">SumByColor(H6:H276,REFERENCE!$G$4)</f>
        <v>0</v>
      </c>
      <c r="I3" s="135" cm="1">
        <f t="array" ref="I3">SumByColor(I6:I276,REFERENCE!$G$4)</f>
        <v>0</v>
      </c>
      <c r="J3" s="135" cm="1">
        <f t="array" ref="J3">SumByColor(J6:J276,REFERENCE!$G$4)</f>
        <v>0</v>
      </c>
      <c r="K3" s="135" cm="1">
        <f t="array" ref="K3">SumByColor(K6:K276,REFERENCE!$G$4)</f>
        <v>0</v>
      </c>
      <c r="L3" s="135" cm="1">
        <f t="array" ref="L3">SumByColor(L6:L276,REFERENCE!$G$4)</f>
        <v>0</v>
      </c>
      <c r="M3" s="135" cm="1">
        <f t="array" ref="M3">SumByColor(M6:M276,REFERENCE!$G$4)</f>
        <v>0</v>
      </c>
      <c r="N3" s="135" cm="1">
        <f t="array" ref="N3">SumByColor(N6:N276,REFERENCE!$G$4)</f>
        <v>0</v>
      </c>
      <c r="O3" s="135" cm="1">
        <f t="array" ref="O3">SumByColor(O6:O276,REFERENCE!$G$4)</f>
        <v>0</v>
      </c>
      <c r="P3" s="135" cm="1">
        <f t="array" ref="P3">SumByColor(P6:P276,REFERENCE!$G$4)</f>
        <v>0</v>
      </c>
      <c r="Q3" s="135" cm="1">
        <f t="array" ref="Q3">SumByColor(Q6:Q276,REFERENCE!$G$4)</f>
        <v>0</v>
      </c>
      <c r="R3" s="135" cm="1">
        <f t="array" ref="R3">SumByColor(R6:R276,REFERENCE!$G$4)</f>
        <v>0</v>
      </c>
      <c r="S3" s="135" cm="1">
        <f t="array" ref="S3">SumByColor(S6:S276,REFERENCE!$G$4)</f>
        <v>0</v>
      </c>
      <c r="T3" s="135" cm="1">
        <f t="array" ref="T3">SumByColor(T6:T276,REFERENCE!$G$4)</f>
        <v>0</v>
      </c>
      <c r="U3" s="135" cm="1">
        <f t="array" ref="U3">SumByColor(U6:U276,REFERENCE!$G$4)</f>
        <v>0</v>
      </c>
      <c r="V3" s="135" cm="1">
        <f t="array" ref="V3">SumByColor(V6:V276,REFERENCE!$G$4)</f>
        <v>0</v>
      </c>
      <c r="W3" s="135" cm="1">
        <f t="array" ref="W3">SumByColor(W6:W276,REFERENCE!$G$4)</f>
        <v>0</v>
      </c>
      <c r="X3" s="135" cm="1">
        <f t="array" ref="X3">SumByColor(X6:X276,REFERENCE!$G$4)</f>
        <v>0</v>
      </c>
      <c r="Y3" s="135" cm="1">
        <f t="array" ref="Y3">SumByColor(Y6:Y276,REFERENCE!$G$4)</f>
        <v>0</v>
      </c>
      <c r="Z3" s="135" cm="1">
        <f t="array" ref="Z3">SumByColor(Z6:Z276,REFERENCE!$G$4)</f>
        <v>0</v>
      </c>
      <c r="AA3" s="135" cm="1">
        <f t="array" ref="AA3">SumByColor(AA6:AA276,REFERENCE!$G$4)</f>
        <v>0</v>
      </c>
      <c r="AB3" s="135" cm="1">
        <f t="array" ref="AB3">SumByColor(AB6:AB276,REFERENCE!$G$4)</f>
        <v>0</v>
      </c>
      <c r="AC3" s="135" cm="1">
        <f t="array" ref="AC3">SumByColor(AC6:AC276,REFERENCE!$G$4)</f>
        <v>0</v>
      </c>
      <c r="AD3" s="135" cm="1">
        <f t="array" ref="AD3">SumByColor(AD6:AD276,REFERENCE!$G$4)</f>
        <v>0</v>
      </c>
      <c r="AE3" s="135" cm="1">
        <f t="array" ref="AE3">SumByColor(AE6:AE276,REFERENCE!$G$4)</f>
        <v>0</v>
      </c>
      <c r="AF3" s="135" cm="1">
        <f t="array" ref="AF3">SumByColor(AF6:AF276,REFERENCE!$G$4)</f>
        <v>0</v>
      </c>
      <c r="AG3" s="135" cm="1">
        <f t="array" ref="AG3">SumByColor(AG6:AG276,REFERENCE!$G$4)</f>
        <v>0</v>
      </c>
      <c r="AH3" s="135" cm="1">
        <f t="array" ref="AH3">SumByColor(AH6:AH276,REFERENCE!$G$4)</f>
        <v>0</v>
      </c>
      <c r="AI3" s="135" cm="1">
        <f t="array" ref="AI3">SumByColor(AI6:AI276,REFERENCE!$G$4)</f>
        <v>0</v>
      </c>
      <c r="AJ3" s="135" cm="1">
        <f t="array" ref="AJ3">SumByColor(AJ6:AJ276,REFERENCE!$G$4)</f>
        <v>0</v>
      </c>
      <c r="AK3" s="135" cm="1">
        <f t="array" ref="AK3">SumByColor(AK6:AK276,REFERENCE!$G$4)</f>
        <v>0</v>
      </c>
      <c r="AL3" s="135" cm="1">
        <f t="array" ref="AL3">SumByColor(AL6:AL276,REFERENCE!$G$4)</f>
        <v>0</v>
      </c>
      <c r="AM3" s="135" cm="1">
        <f t="array" ref="AM3">SumByColor(AM6:AM276,REFERENCE!$G$4)</f>
        <v>0</v>
      </c>
      <c r="AN3" s="135" cm="1">
        <f t="array" ref="AN3">SumByColor(AN6:AN276,REFERENCE!$G$4)</f>
        <v>0</v>
      </c>
      <c r="AO3" s="135" cm="1">
        <f t="array" ref="AO3">SumByColor(AO6:AO276,REFERENCE!$G$4)</f>
        <v>0</v>
      </c>
      <c r="AP3" s="135" cm="1">
        <f t="array" ref="AP3">SumByColor(AP6:AP276,REFERENCE!$G$4)</f>
        <v>0</v>
      </c>
      <c r="AQ3" s="135" cm="1">
        <f t="array" ref="AQ3">SumByColor(AQ6:AQ276,REFERENCE!$G$4)</f>
        <v>0</v>
      </c>
      <c r="AR3" s="135" cm="1">
        <f t="array" ref="AR3">SumByColor(AR6:AR276,REFERENCE!$G$4)</f>
        <v>0</v>
      </c>
      <c r="AS3" s="135" cm="1">
        <f t="array" ref="AS3">SumByColor(AS6:AS276,REFERENCE!$G$4)</f>
        <v>0</v>
      </c>
      <c r="AT3" s="135" cm="1">
        <f t="array" ref="AT3">SumByColor(AT6:AT276,REFERENCE!$G$4)</f>
        <v>0</v>
      </c>
      <c r="AU3" s="135" cm="1">
        <f t="array" ref="AU3">SumByColor(AU6:AU276,REFERENCE!$G$4)</f>
        <v>0</v>
      </c>
      <c r="AV3" s="135" cm="1">
        <f t="array" ref="AV3">SumByColor(AV6:AV276,REFERENCE!$G$4)</f>
        <v>0</v>
      </c>
      <c r="AW3" s="135" cm="1">
        <f t="array" ref="AW3">SumByColor(AW6:AW276,REFERENCE!$G$4)</f>
        <v>0</v>
      </c>
      <c r="AX3" s="135" cm="1">
        <f t="array" ref="AX3">SumByColor(AX6:AX276,REFERENCE!$G$4)</f>
        <v>0</v>
      </c>
      <c r="AY3" s="135" cm="1">
        <f t="array" ref="AY3">SumByColor(AY6:AY276,REFERENCE!$G$4)</f>
        <v>0</v>
      </c>
      <c r="AZ3" s="135" cm="1">
        <f t="array" ref="AZ3">SumByColor(AZ6:AZ276,REFERENCE!$G$4)</f>
        <v>0</v>
      </c>
      <c r="BA3" s="135" cm="1">
        <f t="array" ref="BA3">SumByColor(BA6:BA276,REFERENCE!$G$4)</f>
        <v>0</v>
      </c>
      <c r="BB3" s="135" cm="1">
        <f t="array" ref="BB3">SumByColor(BB6:BB276,REFERENCE!$G$4)</f>
        <v>0</v>
      </c>
      <c r="BC3" s="135" cm="1">
        <f t="array" ref="BC3">SumByColor(BC6:BC276,REFERENCE!$G$4)</f>
        <v>0</v>
      </c>
      <c r="BD3" s="135" cm="1">
        <f t="array" ref="BD3">SumByColor(BD6:BD276,REFERENCE!$G$4)</f>
        <v>0</v>
      </c>
      <c r="BE3" s="135" cm="1">
        <f t="array" ref="BE3">SumByColor(BE6:BE276,REFERENCE!$G$4)</f>
        <v>0</v>
      </c>
      <c r="BF3" s="135" cm="1">
        <f t="array" ref="BF3">SumByColor(BF6:BF276,REFERENCE!$G$4)</f>
        <v>0</v>
      </c>
      <c r="BG3" s="135" cm="1">
        <f t="array" ref="BG3">SumByColor(BG6:BG276,REFERENCE!$G$4)</f>
        <v>0</v>
      </c>
      <c r="BH3" s="135" cm="1">
        <f t="array" ref="BH3">SumByColor(BH6:BH276,REFERENCE!$G$4)</f>
        <v>0</v>
      </c>
      <c r="BI3" s="135" cm="1">
        <f t="array" ref="BI3">SumByColor(BI6:BI276,REFERENCE!$G$4)</f>
        <v>0</v>
      </c>
      <c r="BJ3" s="135" cm="1">
        <f t="array" ref="BJ3">SumByColor(BJ6:BJ276,REFERENCE!$G$4)</f>
        <v>0</v>
      </c>
      <c r="BK3" s="135" cm="1">
        <f t="array" ref="BK3">SumByColor(BK6:BK276,REFERENCE!$G$4)</f>
        <v>0</v>
      </c>
      <c r="BL3" s="135" cm="1">
        <f t="array" ref="BL3">SumByColor(BL6:BL276,REFERENCE!$G$4)</f>
        <v>0</v>
      </c>
      <c r="BM3" s="135" cm="1">
        <f t="array" ref="BM3">SumByColor(BM6:BM276,REFERENCE!$G$4)</f>
        <v>0</v>
      </c>
      <c r="BN3" s="135" cm="1">
        <f t="array" ref="BN3">SumByColor(BN6:BN276,REFERENCE!$G$4)</f>
        <v>0</v>
      </c>
      <c r="BO3" s="135" cm="1">
        <f t="array" ref="BO3">SumByColor(BO6:BO276,REFERENCE!$G$4)</f>
        <v>0</v>
      </c>
      <c r="BP3" s="135" cm="1">
        <f t="array" ref="BP3">SumByColor(BP6:BP276,REFERENCE!$G$4)</f>
        <v>0</v>
      </c>
      <c r="BQ3" s="135" cm="1">
        <f t="array" ref="BQ3">SumByColor(BQ6:BQ276,REFERENCE!$G$4)</f>
        <v>0</v>
      </c>
      <c r="BR3" s="135" cm="1">
        <f t="array" ref="BR3">SumByColor(BR6:BR276,REFERENCE!$G$4)</f>
        <v>0</v>
      </c>
      <c r="BS3" s="135" cm="1">
        <f t="array" ref="BS3">SumByColor(BS6:BS276,REFERENCE!$G$4)</f>
        <v>0</v>
      </c>
      <c r="BT3" s="135" cm="1">
        <f t="array" ref="BT3">SumByColor(BT6:BT276,REFERENCE!$G$4)</f>
        <v>0</v>
      </c>
      <c r="BU3" s="135" cm="1">
        <f t="array" ref="BU3">SumByColor(BU6:BU276,REFERENCE!$G$4)</f>
        <v>0</v>
      </c>
      <c r="BV3" s="135" cm="1">
        <f t="array" ref="BV3">SumByColor(BV6:BV276,REFERENCE!$G$4)</f>
        <v>0</v>
      </c>
      <c r="BW3" s="135" cm="1">
        <f t="array" ref="BW3">SumByColor(BW6:BW276,REFERENCE!$G$4)</f>
        <v>0</v>
      </c>
      <c r="BX3" s="135" cm="1">
        <f t="array" ref="BX3">SumByColor(BX6:BX276,REFERENCE!$G$4)</f>
        <v>0</v>
      </c>
      <c r="BY3" s="135" cm="1">
        <f t="array" ref="BY3">SumByColor(BY6:BY276,REFERENCE!$G$4)</f>
        <v>0</v>
      </c>
      <c r="BZ3" s="135" cm="1">
        <f t="array" ref="BZ3">SumByColor(BZ6:BZ276,REFERENCE!$G$4)</f>
        <v>0</v>
      </c>
      <c r="CA3" s="135" cm="1">
        <f t="array" ref="CA3">SumByColor(CA6:CA276,REFERENCE!$G$4)</f>
        <v>0</v>
      </c>
      <c r="CB3" s="135" cm="1">
        <f t="array" ref="CB3">SumByColor(CB6:CB276,REFERENCE!$G$4)</f>
        <v>0</v>
      </c>
      <c r="CC3" s="135" cm="1">
        <f t="array" ref="CC3">SumByColor(CC6:CC276,REFERENCE!$G$4)</f>
        <v>0</v>
      </c>
      <c r="CD3" s="135" cm="1">
        <f t="array" ref="CD3">SumByColor(CD6:CD276,REFERENCE!$G$4)</f>
        <v>0</v>
      </c>
      <c r="CE3" s="135" cm="1">
        <f t="array" ref="CE3">SumByColor(CE6:CE276,REFERENCE!$G$4)</f>
        <v>0</v>
      </c>
      <c r="CF3" s="135" cm="1">
        <f t="array" ref="CF3">SumByColor(CF6:CF276,REFERENCE!$G$4)</f>
        <v>0</v>
      </c>
      <c r="CG3" s="135" cm="1">
        <f t="array" ref="CG3">SumByColor(CG6:CG276,REFERENCE!$G$4)</f>
        <v>0</v>
      </c>
      <c r="CH3" s="135" cm="1">
        <f t="array" ref="CH3">SumByColor(CH6:CH276,REFERENCE!$G$4)</f>
        <v>0</v>
      </c>
      <c r="CI3" s="135" cm="1">
        <f t="array" ref="CI3">SumByColor(CI6:CI276,REFERENCE!$G$4)</f>
        <v>0</v>
      </c>
      <c r="CJ3" s="135" cm="1">
        <f t="array" ref="CJ3">SumByColor(CJ6:CJ276,REFERENCE!$G$4)</f>
        <v>0</v>
      </c>
      <c r="CK3" s="135" cm="1">
        <f t="array" ref="CK3">SumByColor(CK6:CK276,REFERENCE!$G$4)</f>
        <v>0</v>
      </c>
      <c r="CL3" s="135" cm="1">
        <f t="array" ref="CL3">SumByColor(CL6:CL276,REFERENCE!$G$4)</f>
        <v>0</v>
      </c>
      <c r="CM3" s="135" cm="1">
        <f t="array" ref="CM3">SumByColor(CM6:CM276,REFERENCE!$G$4)</f>
        <v>0</v>
      </c>
      <c r="CN3" s="135" cm="1">
        <f t="array" ref="CN3">SumByColor(CN6:CN276,REFERENCE!$G$4)</f>
        <v>0</v>
      </c>
      <c r="CO3" s="135" cm="1">
        <f t="array" ref="CO3">SumByColor(CO6:CO276,REFERENCE!$G$4)</f>
        <v>0</v>
      </c>
      <c r="CP3" s="135" cm="1">
        <f t="array" ref="CP3">SumByColor(CP6:CP276,REFERENCE!$G$4)</f>
        <v>0</v>
      </c>
      <c r="CQ3" s="135" cm="1">
        <f t="array" ref="CQ3">SumByColor(CQ6:CQ276,REFERENCE!$G$4)</f>
        <v>0</v>
      </c>
      <c r="CR3" s="135" cm="1">
        <f t="array" ref="CR3">SumByColor(CR6:CR276,REFERENCE!$G$4)</f>
        <v>0</v>
      </c>
      <c r="CS3" s="135" cm="1">
        <f t="array" ref="CS3">SumByColor(CS6:CS276,REFERENCE!$G$4)</f>
        <v>0</v>
      </c>
      <c r="CT3" s="135" cm="1">
        <f t="array" ref="CT3">SumByColor(CT6:CT276,REFERENCE!$G$4)</f>
        <v>0</v>
      </c>
      <c r="CU3" s="135" cm="1">
        <f t="array" ref="CU3">SumByColor(CU6:CU276,REFERENCE!$G$4)</f>
        <v>0</v>
      </c>
      <c r="CV3" s="135" cm="1">
        <f t="array" ref="CV3">SumByColor(CV6:CV276,REFERENCE!$G$4)</f>
        <v>0</v>
      </c>
      <c r="CW3" s="135" cm="1">
        <f t="array" ref="CW3">SumByColor(CW6:CW276,REFERENCE!$G$4)</f>
        <v>0</v>
      </c>
      <c r="CX3" s="135" cm="1">
        <f t="array" ref="CX3">SumByColor(CX6:CX276,REFERENCE!$G$4)</f>
        <v>0</v>
      </c>
      <c r="CY3" s="135" cm="1">
        <f t="array" ref="CY3">SumByColor(CY6:CY276,REFERENCE!$G$4)</f>
        <v>0</v>
      </c>
      <c r="CZ3" s="135" cm="1">
        <f t="array" ref="CZ3">SumByColor(CZ6:CZ276,REFERENCE!$G$4)</f>
        <v>0</v>
      </c>
      <c r="DA3" s="135" cm="1">
        <f t="array" ref="DA3">SumByColor(DA6:DA276,REFERENCE!$G$4)</f>
        <v>0</v>
      </c>
      <c r="DB3" s="135" cm="1">
        <f t="array" ref="DB3">SumByColor(DB6:DB276,REFERENCE!$G$4)</f>
        <v>0</v>
      </c>
      <c r="DC3" s="135" cm="1">
        <f t="array" ref="DC3">SumByColor(DC6:DC276,REFERENCE!$G$4)</f>
        <v>0</v>
      </c>
      <c r="DD3" s="135" cm="1">
        <f t="array" ref="DD3">SumByColor(DD6:DD276,REFERENCE!$G$4)</f>
        <v>0</v>
      </c>
      <c r="DE3" s="135" cm="1">
        <f t="array" ref="DE3">SumByColor(DE6:DE276,REFERENCE!$G$4)</f>
        <v>0</v>
      </c>
      <c r="DF3" s="135" cm="1">
        <f t="array" ref="DF3">SumByColor(DF6:DF276,REFERENCE!$G$4)</f>
        <v>0</v>
      </c>
      <c r="DG3" s="135" cm="1">
        <f t="array" ref="DG3">SumByColor(DG6:DG276,REFERENCE!$G$4)</f>
        <v>0</v>
      </c>
      <c r="DH3" s="135" cm="1">
        <f t="array" ref="DH3">SumByColor(DH6:DH276,REFERENCE!$G$4)</f>
        <v>0</v>
      </c>
      <c r="DI3" s="135" cm="1">
        <f t="array" ref="DI3">SumByColor(DI6:DI276,REFERENCE!$G$4)</f>
        <v>0</v>
      </c>
      <c r="DJ3" s="135" cm="1">
        <f t="array" ref="DJ3">SumByColor(DJ6:DJ276,REFERENCE!$G$4)</f>
        <v>0</v>
      </c>
      <c r="DK3" s="135" cm="1">
        <f t="array" ref="DK3">SumByColor(DK6:DK276,REFERENCE!$G$4)</f>
        <v>0</v>
      </c>
      <c r="DL3" s="135" cm="1">
        <f t="array" ref="DL3">SumByColor(DL6:DL276,REFERENCE!$G$4)</f>
        <v>0</v>
      </c>
      <c r="DM3" s="135" cm="1">
        <f t="array" ref="DM3">SumByColor(DM6:DM276,REFERENCE!$G$4)</f>
        <v>0</v>
      </c>
      <c r="DN3" s="135" cm="1">
        <f t="array" ref="DN3">SumByColor(DN6:DN276,REFERENCE!$G$4)</f>
        <v>0</v>
      </c>
      <c r="DO3" s="135" cm="1">
        <f t="array" ref="DO3">SumByColor(DO6:DO276,REFERENCE!$G$4)</f>
        <v>0</v>
      </c>
      <c r="DP3" s="135" cm="1">
        <f t="array" ref="DP3">SumByColor(DP6:DP276,REFERENCE!$G$4)</f>
        <v>0</v>
      </c>
      <c r="DQ3" s="135" cm="1">
        <f t="array" ref="DQ3">SumByColor(DQ6:DQ276,REFERENCE!$G$4)</f>
        <v>0</v>
      </c>
      <c r="DR3" s="135" cm="1">
        <f t="array" ref="DR3">SumByColor(DR6:DR276,REFERENCE!$G$4)</f>
        <v>0</v>
      </c>
      <c r="DS3" s="135" cm="1">
        <f t="array" ref="DS3">SumByColor(DS6:DS276,REFERENCE!$G$4)</f>
        <v>0</v>
      </c>
      <c r="DT3" s="135" cm="1">
        <f t="array" ref="DT3">SumByColor(DT6:DT276,REFERENCE!$G$4)</f>
        <v>0</v>
      </c>
      <c r="DU3" s="135" cm="1">
        <f t="array" ref="DU3">SumByColor(DU6:DU276,REFERENCE!$G$4)</f>
        <v>0</v>
      </c>
      <c r="DV3" s="135" cm="1">
        <f t="array" ref="DV3">SumByColor(DV6:DV276,REFERENCE!$G$4)</f>
        <v>0</v>
      </c>
      <c r="DW3" s="135" cm="1">
        <f t="array" ref="DW3">SumByColor(DW6:DW276,REFERENCE!$G$4)</f>
        <v>0</v>
      </c>
      <c r="DX3" s="135" cm="1">
        <f t="array" ref="DX3">SumByColor(DX6:DX276,REFERENCE!$G$4)</f>
        <v>0</v>
      </c>
      <c r="DY3" s="135" cm="1">
        <f t="array" ref="DY3">SumByColor(DY6:DY276,REFERENCE!$G$4)</f>
        <v>0</v>
      </c>
      <c r="DZ3" s="216"/>
      <c r="EA3" s="239" cm="1">
        <f t="array" ref="EA3">SumByColor(EA6:EA276,REFERENCE!$G$4)</f>
        <v>0</v>
      </c>
      <c r="EB3" s="236" cm="1">
        <f t="array" ref="EB3">SumByColor(EB6:EB276,REFERENCE!$G$4)</f>
        <v>0</v>
      </c>
      <c r="EC3" s="236" cm="1">
        <f t="array" ref="EC3">SumByColor(EC6:EC276,REFERENCE!$G$4)</f>
        <v>0</v>
      </c>
      <c r="ED3" s="236" cm="1">
        <f t="array" ref="ED3">SumByColor(ED6:ED276,REFERENCE!$G$4)</f>
        <v>0</v>
      </c>
      <c r="EE3" s="236" cm="1">
        <f t="array" ref="EE3">SumByColor(EE6:EE276,REFERENCE!$G$4)</f>
        <v>0</v>
      </c>
      <c r="EF3" s="236" cm="1">
        <f t="array" ref="EF3">SumByColor(EF6:EF276,REFERENCE!$G$4)</f>
        <v>0</v>
      </c>
      <c r="EG3" s="236" cm="1">
        <f t="array" ref="EG3">SumByColor(EG6:EG276,REFERENCE!$G$4)</f>
        <v>0</v>
      </c>
      <c r="EH3" s="236" cm="1">
        <f t="array" ref="EH3">SumByColor(EH6:EH276,REFERENCE!$G$4)</f>
        <v>0</v>
      </c>
      <c r="EI3" s="236" cm="1">
        <f t="array" ref="EI3">SumByColor(EI6:EI276,REFERENCE!$G$4)</f>
        <v>0</v>
      </c>
      <c r="EJ3" s="236" cm="1">
        <f t="array" ref="EJ3">SumByColor(EJ6:EJ276,REFERENCE!$G$4)</f>
        <v>0</v>
      </c>
      <c r="EK3" s="236" cm="1">
        <f t="array" ref="EK3">SumByColor(EK6:EK276,REFERENCE!$G$4)</f>
        <v>0</v>
      </c>
      <c r="EL3" s="236" cm="1">
        <f t="array" ref="EL3">SumByColor(EL6:EL276,REFERENCE!$G$4)</f>
        <v>0</v>
      </c>
      <c r="EM3" s="236" cm="1">
        <f t="array" ref="EM3">SumByColor(EM6:EM276,REFERENCE!$G$4)</f>
        <v>0</v>
      </c>
      <c r="EN3" s="236" cm="1">
        <f t="array" ref="EN3">SumByColor(EN6:EN276,REFERENCE!$G$4)</f>
        <v>0</v>
      </c>
      <c r="EO3" s="236" cm="1">
        <f t="array" ref="EO3">SumByColor(EO6:EO276,REFERENCE!$G$4)</f>
        <v>0</v>
      </c>
      <c r="EP3" s="236" cm="1">
        <f t="array" ref="EP3">SumByColor(EP6:EP276,REFERENCE!$G$4)</f>
        <v>0</v>
      </c>
      <c r="EQ3" s="236" cm="1">
        <f t="array" ref="EQ3">SumByColor(EQ6:EQ276,REFERENCE!$G$4)</f>
        <v>0</v>
      </c>
    </row>
    <row r="4" spans="1:147" s="41" customFormat="1" ht="22.9" customHeight="1" x14ac:dyDescent="0.2">
      <c r="A4" s="146" t="s">
        <v>2</v>
      </c>
      <c r="B4" s="117" t="s">
        <v>144</v>
      </c>
      <c r="C4" s="118"/>
      <c r="D4" s="159"/>
      <c r="E4" s="157"/>
      <c r="F4" s="94" t="s">
        <v>228</v>
      </c>
      <c r="G4" s="119">
        <f>SUM(H4:EQ4)</f>
        <v>0</v>
      </c>
      <c r="H4" s="120">
        <f>H3*H2</f>
        <v>0</v>
      </c>
      <c r="I4" s="120">
        <f t="shared" ref="I4:AM4" si="0">I3*I2</f>
        <v>0</v>
      </c>
      <c r="J4" s="120">
        <f t="shared" si="0"/>
        <v>0</v>
      </c>
      <c r="K4" s="120">
        <f t="shared" si="0"/>
        <v>0</v>
      </c>
      <c r="L4" s="120">
        <f t="shared" si="0"/>
        <v>0</v>
      </c>
      <c r="M4" s="120">
        <f t="shared" si="0"/>
        <v>0</v>
      </c>
      <c r="N4" s="120">
        <f t="shared" si="0"/>
        <v>0</v>
      </c>
      <c r="O4" s="120">
        <f t="shared" si="0"/>
        <v>0</v>
      </c>
      <c r="P4" s="120">
        <f t="shared" si="0"/>
        <v>0</v>
      </c>
      <c r="Q4" s="120">
        <f t="shared" si="0"/>
        <v>0</v>
      </c>
      <c r="R4" s="120">
        <f t="shared" si="0"/>
        <v>0</v>
      </c>
      <c r="S4" s="120">
        <f t="shared" si="0"/>
        <v>0</v>
      </c>
      <c r="T4" s="120">
        <f t="shared" si="0"/>
        <v>0</v>
      </c>
      <c r="U4" s="120">
        <f>U3*U2</f>
        <v>0</v>
      </c>
      <c r="V4" s="120">
        <f t="shared" si="0"/>
        <v>0</v>
      </c>
      <c r="W4" s="120">
        <f t="shared" si="0"/>
        <v>0</v>
      </c>
      <c r="X4" s="120">
        <f t="shared" si="0"/>
        <v>0</v>
      </c>
      <c r="Y4" s="120">
        <f t="shared" si="0"/>
        <v>0</v>
      </c>
      <c r="Z4" s="120">
        <f t="shared" si="0"/>
        <v>0</v>
      </c>
      <c r="AA4" s="120">
        <f t="shared" si="0"/>
        <v>0</v>
      </c>
      <c r="AB4" s="120">
        <f t="shared" si="0"/>
        <v>0</v>
      </c>
      <c r="AC4" s="120">
        <f t="shared" si="0"/>
        <v>0</v>
      </c>
      <c r="AD4" s="120">
        <f t="shared" si="0"/>
        <v>0</v>
      </c>
      <c r="AE4" s="120">
        <f t="shared" si="0"/>
        <v>0</v>
      </c>
      <c r="AF4" s="120">
        <f t="shared" si="0"/>
        <v>0</v>
      </c>
      <c r="AG4" s="120">
        <f t="shared" si="0"/>
        <v>0</v>
      </c>
      <c r="AH4" s="120">
        <f t="shared" si="0"/>
        <v>0</v>
      </c>
      <c r="AI4" s="120">
        <f t="shared" si="0"/>
        <v>0</v>
      </c>
      <c r="AJ4" s="120">
        <f t="shared" si="0"/>
        <v>0</v>
      </c>
      <c r="AK4" s="120">
        <f t="shared" si="0"/>
        <v>0</v>
      </c>
      <c r="AL4" s="120">
        <f t="shared" si="0"/>
        <v>0</v>
      </c>
      <c r="AM4" s="120">
        <f t="shared" si="0"/>
        <v>0</v>
      </c>
      <c r="AN4" s="120">
        <f t="shared" ref="AN4:BS4" si="1">AN3*AN2</f>
        <v>0</v>
      </c>
      <c r="AO4" s="120">
        <f t="shared" si="1"/>
        <v>0</v>
      </c>
      <c r="AP4" s="120">
        <f t="shared" si="1"/>
        <v>0</v>
      </c>
      <c r="AQ4" s="120">
        <f t="shared" si="1"/>
        <v>0</v>
      </c>
      <c r="AR4" s="120">
        <f t="shared" si="1"/>
        <v>0</v>
      </c>
      <c r="AS4" s="120">
        <f t="shared" si="1"/>
        <v>0</v>
      </c>
      <c r="AT4" s="120">
        <f t="shared" si="1"/>
        <v>0</v>
      </c>
      <c r="AU4" s="120">
        <f t="shared" si="1"/>
        <v>0</v>
      </c>
      <c r="AV4" s="120">
        <f t="shared" si="1"/>
        <v>0</v>
      </c>
      <c r="AW4" s="120">
        <f t="shared" si="1"/>
        <v>0</v>
      </c>
      <c r="AX4" s="120">
        <f t="shared" si="1"/>
        <v>0</v>
      </c>
      <c r="AY4" s="120">
        <f t="shared" si="1"/>
        <v>0</v>
      </c>
      <c r="AZ4" s="120">
        <f t="shared" si="1"/>
        <v>0</v>
      </c>
      <c r="BA4" s="120">
        <f t="shared" si="1"/>
        <v>0</v>
      </c>
      <c r="BB4" s="120">
        <f t="shared" si="1"/>
        <v>0</v>
      </c>
      <c r="BC4" s="120">
        <f t="shared" si="1"/>
        <v>0</v>
      </c>
      <c r="BD4" s="120">
        <f t="shared" si="1"/>
        <v>0</v>
      </c>
      <c r="BE4" s="120">
        <f t="shared" si="1"/>
        <v>0</v>
      </c>
      <c r="BF4" s="120">
        <f t="shared" si="1"/>
        <v>0</v>
      </c>
      <c r="BG4" s="120">
        <f t="shared" si="1"/>
        <v>0</v>
      </c>
      <c r="BH4" s="120">
        <f t="shared" si="1"/>
        <v>0</v>
      </c>
      <c r="BI4" s="120">
        <f t="shared" si="1"/>
        <v>0</v>
      </c>
      <c r="BJ4" s="120">
        <f t="shared" si="1"/>
        <v>0</v>
      </c>
      <c r="BK4" s="120">
        <f t="shared" si="1"/>
        <v>0</v>
      </c>
      <c r="BL4" s="120">
        <f t="shared" si="1"/>
        <v>0</v>
      </c>
      <c r="BM4" s="120">
        <f t="shared" si="1"/>
        <v>0</v>
      </c>
      <c r="BN4" s="120">
        <f t="shared" si="1"/>
        <v>0</v>
      </c>
      <c r="BO4" s="120">
        <f t="shared" si="1"/>
        <v>0</v>
      </c>
      <c r="BP4" s="120">
        <f t="shared" si="1"/>
        <v>0</v>
      </c>
      <c r="BQ4" s="120">
        <f t="shared" si="1"/>
        <v>0</v>
      </c>
      <c r="BR4" s="120">
        <f t="shared" si="1"/>
        <v>0</v>
      </c>
      <c r="BS4" s="120">
        <f t="shared" si="1"/>
        <v>0</v>
      </c>
      <c r="BT4" s="120">
        <f t="shared" ref="BT4:CY4" si="2">BT3*BT2</f>
        <v>0</v>
      </c>
      <c r="BU4" s="120">
        <f t="shared" si="2"/>
        <v>0</v>
      </c>
      <c r="BV4" s="120">
        <f t="shared" si="2"/>
        <v>0</v>
      </c>
      <c r="BW4" s="120">
        <f t="shared" si="2"/>
        <v>0</v>
      </c>
      <c r="BX4" s="120">
        <f t="shared" si="2"/>
        <v>0</v>
      </c>
      <c r="BY4" s="120">
        <f t="shared" si="2"/>
        <v>0</v>
      </c>
      <c r="BZ4" s="120">
        <f t="shared" si="2"/>
        <v>0</v>
      </c>
      <c r="CA4" s="120">
        <f t="shared" si="2"/>
        <v>0</v>
      </c>
      <c r="CB4" s="120">
        <f t="shared" si="2"/>
        <v>0</v>
      </c>
      <c r="CC4" s="120">
        <f t="shared" si="2"/>
        <v>0</v>
      </c>
      <c r="CD4" s="120">
        <f t="shared" si="2"/>
        <v>0</v>
      </c>
      <c r="CE4" s="120">
        <f t="shared" si="2"/>
        <v>0</v>
      </c>
      <c r="CF4" s="120">
        <f t="shared" si="2"/>
        <v>0</v>
      </c>
      <c r="CG4" s="120">
        <f t="shared" si="2"/>
        <v>0</v>
      </c>
      <c r="CH4" s="120">
        <f t="shared" si="2"/>
        <v>0</v>
      </c>
      <c r="CI4" s="120">
        <f t="shared" si="2"/>
        <v>0</v>
      </c>
      <c r="CJ4" s="120">
        <f t="shared" si="2"/>
        <v>0</v>
      </c>
      <c r="CK4" s="120">
        <f t="shared" si="2"/>
        <v>0</v>
      </c>
      <c r="CL4" s="120">
        <f t="shared" si="2"/>
        <v>0</v>
      </c>
      <c r="CM4" s="120">
        <f t="shared" si="2"/>
        <v>0</v>
      </c>
      <c r="CN4" s="120">
        <f t="shared" si="2"/>
        <v>0</v>
      </c>
      <c r="CO4" s="120">
        <f t="shared" si="2"/>
        <v>0</v>
      </c>
      <c r="CP4" s="120">
        <f t="shared" si="2"/>
        <v>0</v>
      </c>
      <c r="CQ4" s="120">
        <f t="shared" si="2"/>
        <v>0</v>
      </c>
      <c r="CR4" s="120">
        <f t="shared" si="2"/>
        <v>0</v>
      </c>
      <c r="CS4" s="120">
        <f t="shared" si="2"/>
        <v>0</v>
      </c>
      <c r="CT4" s="120">
        <f t="shared" si="2"/>
        <v>0</v>
      </c>
      <c r="CU4" s="120">
        <f t="shared" si="2"/>
        <v>0</v>
      </c>
      <c r="CV4" s="120">
        <f t="shared" si="2"/>
        <v>0</v>
      </c>
      <c r="CW4" s="120">
        <f t="shared" si="2"/>
        <v>0</v>
      </c>
      <c r="CX4" s="120">
        <f t="shared" si="2"/>
        <v>0</v>
      </c>
      <c r="CY4" s="120">
        <f t="shared" si="2"/>
        <v>0</v>
      </c>
      <c r="CZ4" s="120">
        <f t="shared" ref="CZ4:DY4" si="3">CZ3*CZ2</f>
        <v>0</v>
      </c>
      <c r="DA4" s="120">
        <f t="shared" si="3"/>
        <v>0</v>
      </c>
      <c r="DB4" s="120">
        <f t="shared" si="3"/>
        <v>0</v>
      </c>
      <c r="DC4" s="120">
        <f t="shared" si="3"/>
        <v>0</v>
      </c>
      <c r="DD4" s="120">
        <f t="shared" si="3"/>
        <v>0</v>
      </c>
      <c r="DE4" s="120">
        <f t="shared" si="3"/>
        <v>0</v>
      </c>
      <c r="DF4" s="120">
        <f t="shared" si="3"/>
        <v>0</v>
      </c>
      <c r="DG4" s="120">
        <f t="shared" si="3"/>
        <v>0</v>
      </c>
      <c r="DH4" s="120">
        <f t="shared" si="3"/>
        <v>0</v>
      </c>
      <c r="DI4" s="120">
        <f t="shared" si="3"/>
        <v>0</v>
      </c>
      <c r="DJ4" s="120">
        <f t="shared" si="3"/>
        <v>0</v>
      </c>
      <c r="DK4" s="120">
        <f t="shared" si="3"/>
        <v>0</v>
      </c>
      <c r="DL4" s="120">
        <f t="shared" si="3"/>
        <v>0</v>
      </c>
      <c r="DM4" s="120">
        <f t="shared" si="3"/>
        <v>0</v>
      </c>
      <c r="DN4" s="120">
        <f t="shared" si="3"/>
        <v>0</v>
      </c>
      <c r="DO4" s="120">
        <f t="shared" si="3"/>
        <v>0</v>
      </c>
      <c r="DP4" s="120">
        <f t="shared" si="3"/>
        <v>0</v>
      </c>
      <c r="DQ4" s="120">
        <f t="shared" si="3"/>
        <v>0</v>
      </c>
      <c r="DR4" s="120">
        <f t="shared" si="3"/>
        <v>0</v>
      </c>
      <c r="DS4" s="120">
        <f t="shared" si="3"/>
        <v>0</v>
      </c>
      <c r="DT4" s="120">
        <f t="shared" si="3"/>
        <v>0</v>
      </c>
      <c r="DU4" s="120">
        <f t="shared" si="3"/>
        <v>0</v>
      </c>
      <c r="DV4" s="120">
        <f t="shared" si="3"/>
        <v>0</v>
      </c>
      <c r="DW4" s="120">
        <f t="shared" si="3"/>
        <v>0</v>
      </c>
      <c r="DX4" s="120">
        <f t="shared" si="3"/>
        <v>0</v>
      </c>
      <c r="DY4" s="120">
        <f t="shared" si="3"/>
        <v>0</v>
      </c>
      <c r="DZ4" s="217"/>
      <c r="EA4" s="240">
        <f t="shared" ref="EA4:EG4" si="4">EA45*1.05</f>
        <v>0</v>
      </c>
      <c r="EB4" s="237">
        <f t="shared" si="4"/>
        <v>0</v>
      </c>
      <c r="EC4" s="237">
        <f t="shared" si="4"/>
        <v>0</v>
      </c>
      <c r="ED4" s="237">
        <f t="shared" si="4"/>
        <v>0</v>
      </c>
      <c r="EE4" s="237">
        <f t="shared" si="4"/>
        <v>0</v>
      </c>
      <c r="EF4" s="237">
        <f t="shared" si="4"/>
        <v>0</v>
      </c>
      <c r="EG4" s="237">
        <f t="shared" si="4"/>
        <v>0</v>
      </c>
      <c r="EH4" s="237">
        <f t="shared" ref="EH4:EQ4" si="5">EH3*EH2</f>
        <v>0</v>
      </c>
      <c r="EI4" s="237">
        <f t="shared" si="5"/>
        <v>0</v>
      </c>
      <c r="EJ4" s="237">
        <f t="shared" si="5"/>
        <v>0</v>
      </c>
      <c r="EK4" s="237">
        <f t="shared" si="5"/>
        <v>0</v>
      </c>
      <c r="EL4" s="237">
        <f t="shared" si="5"/>
        <v>0</v>
      </c>
      <c r="EM4" s="237">
        <f t="shared" si="5"/>
        <v>0</v>
      </c>
      <c r="EN4" s="237">
        <f t="shared" si="5"/>
        <v>0</v>
      </c>
      <c r="EO4" s="237">
        <f t="shared" si="5"/>
        <v>0</v>
      </c>
      <c r="EP4" s="237">
        <f t="shared" si="5"/>
        <v>0</v>
      </c>
      <c r="EQ4" s="237">
        <f t="shared" si="5"/>
        <v>0</v>
      </c>
    </row>
    <row r="5" spans="1:147" s="41" customFormat="1" ht="22.9" customHeight="1" x14ac:dyDescent="0.2">
      <c r="A5" s="147" t="s">
        <v>454</v>
      </c>
      <c r="B5" s="98" t="s">
        <v>152</v>
      </c>
      <c r="C5" s="99" t="s">
        <v>299</v>
      </c>
      <c r="D5" s="160" t="s">
        <v>452</v>
      </c>
      <c r="E5" s="161" t="s">
        <v>98</v>
      </c>
      <c r="F5" s="127" t="s">
        <v>299</v>
      </c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  <c r="CW5" s="100"/>
      <c r="CX5" s="100"/>
      <c r="CY5" s="100"/>
      <c r="CZ5" s="100"/>
      <c r="DA5" s="100"/>
      <c r="DB5" s="100"/>
      <c r="DC5" s="100"/>
      <c r="DD5" s="100"/>
      <c r="DE5" s="100"/>
      <c r="DF5" s="100"/>
      <c r="DG5" s="100"/>
      <c r="DH5" s="100"/>
      <c r="DI5" s="100"/>
      <c r="DJ5" s="100"/>
      <c r="DK5" s="100"/>
      <c r="DL5" s="100"/>
      <c r="DM5" s="100"/>
      <c r="DN5" s="100"/>
      <c r="DO5" s="100"/>
      <c r="DP5" s="100"/>
      <c r="DQ5" s="100"/>
      <c r="DR5" s="100"/>
      <c r="DS5" s="100"/>
      <c r="DT5" s="100"/>
      <c r="DU5" s="100"/>
      <c r="DV5" s="100"/>
      <c r="DW5" s="100"/>
      <c r="DX5" s="100"/>
      <c r="DY5" s="100"/>
      <c r="DZ5" s="217"/>
      <c r="EA5" s="231"/>
      <c r="EB5" s="231"/>
      <c r="EC5" s="231"/>
      <c r="ED5" s="231"/>
      <c r="EE5" s="231"/>
      <c r="EF5" s="231"/>
      <c r="EG5" s="231"/>
      <c r="EH5" s="231"/>
      <c r="EI5" s="231"/>
      <c r="EJ5" s="231"/>
      <c r="EK5" s="231"/>
      <c r="EL5" s="231"/>
      <c r="EM5" s="231"/>
      <c r="EN5" s="231"/>
      <c r="EO5" s="231"/>
      <c r="EP5" s="231"/>
      <c r="EQ5" s="231"/>
    </row>
    <row r="6" spans="1:147" s="40" customFormat="1" ht="22.9" customHeight="1" x14ac:dyDescent="0.2">
      <c r="A6" s="148" t="s">
        <v>496</v>
      </c>
      <c r="B6" s="48" t="s">
        <v>725</v>
      </c>
      <c r="C6" s="33" t="s">
        <v>495</v>
      </c>
      <c r="D6" s="162"/>
      <c r="E6" s="163" t="s">
        <v>149</v>
      </c>
      <c r="F6" s="31" cm="1">
        <f t="array" ref="F6">SumByColor(F7:F31,REFERENCE!$G$2)</f>
        <v>0</v>
      </c>
      <c r="G6" s="31" cm="1">
        <f t="array" ref="G6">SumByColor(G7:G31,REFERENCE!$G$2)</f>
        <v>0</v>
      </c>
      <c r="H6" s="31" cm="1">
        <f t="array" ref="H6">SumByColor(H7:H31,REFERENCE!$G$2)</f>
        <v>0</v>
      </c>
      <c r="I6" s="31" cm="1">
        <f t="array" ref="I6">SumByColor(I7:I31,REFERENCE!$G$2)</f>
        <v>0</v>
      </c>
      <c r="J6" s="31" cm="1">
        <f t="array" ref="J6">SumByColor(J7:J31,REFERENCE!$G$2)</f>
        <v>0</v>
      </c>
      <c r="K6" s="31" cm="1">
        <f t="array" ref="K6">SumByColor(K7:K31,REFERENCE!$G$2)</f>
        <v>0</v>
      </c>
      <c r="L6" s="31" cm="1">
        <f t="array" ref="L6">SumByColor(L7:L31,REFERENCE!$G$2)</f>
        <v>0</v>
      </c>
      <c r="M6" s="31" cm="1">
        <f t="array" ref="M6">SumByColor(M7:M31,REFERENCE!$G$2)</f>
        <v>0</v>
      </c>
      <c r="N6" s="31" cm="1">
        <f t="array" ref="N6">SumByColor(N7:N31,REFERENCE!$G$2)</f>
        <v>0</v>
      </c>
      <c r="O6" s="31" cm="1">
        <f t="array" ref="O6">SumByColor(O7:O31,REFERENCE!$G$2)</f>
        <v>0</v>
      </c>
      <c r="P6" s="31" cm="1">
        <f t="array" ref="P6">SumByColor(P7:P31,REFERENCE!$G$2)</f>
        <v>0</v>
      </c>
      <c r="Q6" s="31" cm="1">
        <f t="array" ref="Q6">SumByColor(Q7:Q31,REFERENCE!$G$2)</f>
        <v>0</v>
      </c>
      <c r="R6" s="31" cm="1">
        <f t="array" ref="R6">SumByColor(R7:R31,REFERENCE!$G$2)</f>
        <v>0</v>
      </c>
      <c r="S6" s="31" cm="1">
        <f t="array" ref="S6">SumByColor(S7:S31,REFERENCE!$G$2)</f>
        <v>0</v>
      </c>
      <c r="T6" s="31" cm="1">
        <f t="array" ref="T6">SumByColor(T7:T31,REFERENCE!$G$2)</f>
        <v>0</v>
      </c>
      <c r="U6" s="31" cm="1">
        <f t="array" ref="U6">SumByColor(U7:U31,REFERENCE!$G$2)</f>
        <v>0</v>
      </c>
      <c r="V6" s="31" cm="1">
        <f t="array" ref="V6">SumByColor(V7:V31,REFERENCE!$G$2)</f>
        <v>0</v>
      </c>
      <c r="W6" s="31" cm="1">
        <f t="array" ref="W6">SumByColor(W7:W31,REFERENCE!$G$2)</f>
        <v>0</v>
      </c>
      <c r="X6" s="31" cm="1">
        <f t="array" ref="X6">SumByColor(X7:X31,REFERENCE!$G$2)</f>
        <v>0</v>
      </c>
      <c r="Y6" s="31" cm="1">
        <f t="array" ref="Y6">SumByColor(Y7:Y31,REFERENCE!$G$2)</f>
        <v>0</v>
      </c>
      <c r="Z6" s="31" cm="1">
        <f t="array" ref="Z6">SumByColor(Z7:Z31,REFERENCE!$G$2)</f>
        <v>0</v>
      </c>
      <c r="AA6" s="31" cm="1">
        <f t="array" ref="AA6">SumByColor(AA7:AA31,REFERENCE!$G$2)</f>
        <v>0</v>
      </c>
      <c r="AB6" s="31" cm="1">
        <f t="array" ref="AB6">SumByColor(AB7:AB31,REFERENCE!$G$2)</f>
        <v>0</v>
      </c>
      <c r="AC6" s="31" cm="1">
        <f t="array" ref="AC6">SumByColor(AC7:AC31,REFERENCE!$G$2)</f>
        <v>0</v>
      </c>
      <c r="AD6" s="31" cm="1">
        <f t="array" ref="AD6">SumByColor(AD7:AD31,REFERENCE!$G$2)</f>
        <v>0</v>
      </c>
      <c r="AE6" s="31" cm="1">
        <f t="array" ref="AE6">SumByColor(AE7:AE31,REFERENCE!$G$2)</f>
        <v>0</v>
      </c>
      <c r="AF6" s="31" cm="1">
        <f t="array" ref="AF6">SumByColor(AF7:AF31,REFERENCE!$G$2)</f>
        <v>0</v>
      </c>
      <c r="AG6" s="31" cm="1">
        <f t="array" ref="AG6">SumByColor(AG7:AG31,REFERENCE!$G$2)</f>
        <v>0</v>
      </c>
      <c r="AH6" s="31" cm="1">
        <f t="array" ref="AH6">SumByColor(AH7:AH31,REFERENCE!$G$2)</f>
        <v>0</v>
      </c>
      <c r="AI6" s="31" cm="1">
        <f t="array" ref="AI6">SumByColor(AI7:AI31,REFERENCE!$G$2)</f>
        <v>0</v>
      </c>
      <c r="AJ6" s="31" cm="1">
        <f t="array" ref="AJ6">SumByColor(AJ7:AJ31,REFERENCE!$G$2)</f>
        <v>0</v>
      </c>
      <c r="AK6" s="31" cm="1">
        <f t="array" ref="AK6">SumByColor(AK7:AK31,REFERENCE!$G$2)</f>
        <v>0</v>
      </c>
      <c r="AL6" s="31" cm="1">
        <f t="array" ref="AL6">SumByColor(AL7:AL31,REFERENCE!$G$2)</f>
        <v>0</v>
      </c>
      <c r="AM6" s="31" cm="1">
        <f t="array" ref="AM6">SumByColor(AM7:AM31,REFERENCE!$G$2)</f>
        <v>0</v>
      </c>
      <c r="AN6" s="31" cm="1">
        <f t="array" ref="AN6">SumByColor(AN7:AN31,REFERENCE!$G$2)</f>
        <v>0</v>
      </c>
      <c r="AO6" s="31" cm="1">
        <f t="array" ref="AO6">SumByColor(AO7:AO31,REFERENCE!$G$2)</f>
        <v>0</v>
      </c>
      <c r="AP6" s="31" cm="1">
        <f t="array" ref="AP6">SumByColor(AP7:AP31,REFERENCE!$G$2)</f>
        <v>0</v>
      </c>
      <c r="AQ6" s="31" cm="1">
        <f t="array" ref="AQ6">SumByColor(AQ7:AQ31,REFERENCE!$G$2)</f>
        <v>0</v>
      </c>
      <c r="AR6" s="31" cm="1">
        <f t="array" ref="AR6">SumByColor(AR7:AR31,REFERENCE!$G$2)</f>
        <v>0</v>
      </c>
      <c r="AS6" s="31" cm="1">
        <f t="array" ref="AS6">SumByColor(AS7:AS31,REFERENCE!$G$2)</f>
        <v>0</v>
      </c>
      <c r="AT6" s="31" cm="1">
        <f t="array" ref="AT6">SumByColor(AT7:AT31,REFERENCE!$G$2)</f>
        <v>0</v>
      </c>
      <c r="AU6" s="31" cm="1">
        <f t="array" ref="AU6">SumByColor(AU7:AU31,REFERENCE!$G$2)</f>
        <v>0</v>
      </c>
      <c r="AV6" s="31" cm="1">
        <f t="array" ref="AV6">SumByColor(AV7:AV31,REFERENCE!$G$2)</f>
        <v>0</v>
      </c>
      <c r="AW6" s="31" cm="1">
        <f t="array" ref="AW6">SumByColor(AW7:AW31,REFERENCE!$G$2)</f>
        <v>0</v>
      </c>
      <c r="AX6" s="31" cm="1">
        <f t="array" ref="AX6">SumByColor(AX7:AX31,REFERENCE!$G$2)</f>
        <v>0</v>
      </c>
      <c r="AY6" s="31" cm="1">
        <f t="array" ref="AY6">SumByColor(AY7:AY31,REFERENCE!$G$2)</f>
        <v>0</v>
      </c>
      <c r="AZ6" s="31" cm="1">
        <f t="array" ref="AZ6">SumByColor(AZ7:AZ31,REFERENCE!$G$2)</f>
        <v>0</v>
      </c>
      <c r="BA6" s="31" cm="1">
        <f t="array" ref="BA6">SumByColor(BA7:BA31,REFERENCE!$G$2)</f>
        <v>0</v>
      </c>
      <c r="BB6" s="31" cm="1">
        <f t="array" ref="BB6">SumByColor(BB7:BB31,REFERENCE!$G$2)</f>
        <v>0</v>
      </c>
      <c r="BC6" s="31" cm="1">
        <f t="array" ref="BC6">SumByColor(BC7:BC31,REFERENCE!$G$2)</f>
        <v>0</v>
      </c>
      <c r="BD6" s="31" cm="1">
        <f t="array" ref="BD6">SumByColor(BD7:BD31,REFERENCE!$G$2)</f>
        <v>0</v>
      </c>
      <c r="BE6" s="31" cm="1">
        <f t="array" ref="BE6">SumByColor(BE7:BE31,REFERENCE!$G$2)</f>
        <v>0</v>
      </c>
      <c r="BF6" s="31" cm="1">
        <f t="array" ref="BF6">SumByColor(BF7:BF31,REFERENCE!$G$2)</f>
        <v>0</v>
      </c>
      <c r="BG6" s="31" cm="1">
        <f t="array" ref="BG6">SumByColor(BG7:BG31,REFERENCE!$G$2)</f>
        <v>0</v>
      </c>
      <c r="BH6" s="31" cm="1">
        <f t="array" ref="BH6">SumByColor(BH7:BH31,REFERENCE!$G$2)</f>
        <v>0</v>
      </c>
      <c r="BI6" s="31" cm="1">
        <f t="array" ref="BI6">SumByColor(BI7:BI31,REFERENCE!$G$2)</f>
        <v>0</v>
      </c>
      <c r="BJ6" s="31" cm="1">
        <f t="array" ref="BJ6">SumByColor(BJ7:BJ31,REFERENCE!$G$2)</f>
        <v>0</v>
      </c>
      <c r="BK6" s="31" cm="1">
        <f t="array" ref="BK6">SumByColor(BK7:BK31,REFERENCE!$G$2)</f>
        <v>0</v>
      </c>
      <c r="BL6" s="31" cm="1">
        <f t="array" ref="BL6">SumByColor(BL7:BL31,REFERENCE!$G$2)</f>
        <v>0</v>
      </c>
      <c r="BM6" s="31" cm="1">
        <f t="array" ref="BM6">SumByColor(BM7:BM31,REFERENCE!$G$2)</f>
        <v>0</v>
      </c>
      <c r="BN6" s="31" cm="1">
        <f t="array" ref="BN6">SumByColor(BN7:BN31,REFERENCE!$G$2)</f>
        <v>0</v>
      </c>
      <c r="BO6" s="31" cm="1">
        <f t="array" ref="BO6">SumByColor(BO7:BO31,REFERENCE!$G$2)</f>
        <v>0</v>
      </c>
      <c r="BP6" s="31" cm="1">
        <f t="array" ref="BP6">SumByColor(BP7:BP31,REFERENCE!$G$2)</f>
        <v>0</v>
      </c>
      <c r="BQ6" s="31" cm="1">
        <f t="array" ref="BQ6">SumByColor(BQ7:BQ31,REFERENCE!$G$2)</f>
        <v>0</v>
      </c>
      <c r="BR6" s="31" cm="1">
        <f t="array" ref="BR6">SumByColor(BR7:BR31,REFERENCE!$G$2)</f>
        <v>0</v>
      </c>
      <c r="BS6" s="31" cm="1">
        <f t="array" ref="BS6">SumByColor(BS7:BS31,REFERENCE!$G$2)</f>
        <v>0</v>
      </c>
      <c r="BT6" s="31" cm="1">
        <f t="array" ref="BT6">SumByColor(BT7:BT31,REFERENCE!$G$2)</f>
        <v>0</v>
      </c>
      <c r="BU6" s="31" cm="1">
        <f t="array" ref="BU6">SumByColor(BU7:BU31,REFERENCE!$G$2)</f>
        <v>0</v>
      </c>
      <c r="BV6" s="31" cm="1">
        <f t="array" ref="BV6">SumByColor(BV7:BV31,REFERENCE!$G$2)</f>
        <v>0</v>
      </c>
      <c r="BW6" s="31" cm="1">
        <f t="array" ref="BW6">SumByColor(BW7:BW31,REFERENCE!$G$2)</f>
        <v>0</v>
      </c>
      <c r="BX6" s="31" cm="1">
        <f t="array" ref="BX6">SumByColor(BX7:BX31,REFERENCE!$G$2)</f>
        <v>0</v>
      </c>
      <c r="BY6" s="31" cm="1">
        <f t="array" ref="BY6">SumByColor(BY7:BY31,REFERENCE!$G$2)</f>
        <v>0</v>
      </c>
      <c r="BZ6" s="31" cm="1">
        <f t="array" ref="BZ6">SumByColor(BZ7:BZ31,REFERENCE!$G$2)</f>
        <v>0</v>
      </c>
      <c r="CA6" s="31" cm="1">
        <f t="array" ref="CA6">SumByColor(CA7:CA31,REFERENCE!$G$2)</f>
        <v>0</v>
      </c>
      <c r="CB6" s="31" cm="1">
        <f t="array" ref="CB6">SumByColor(CB7:CB31,REFERENCE!$G$2)</f>
        <v>0</v>
      </c>
      <c r="CC6" s="31" cm="1">
        <f t="array" ref="CC6">SumByColor(CC7:CC31,REFERENCE!$G$2)</f>
        <v>0</v>
      </c>
      <c r="CD6" s="31" cm="1">
        <f t="array" ref="CD6">SumByColor(CD7:CD31,REFERENCE!$G$2)</f>
        <v>0</v>
      </c>
      <c r="CE6" s="31" cm="1">
        <f t="array" ref="CE6">SumByColor(CE7:CE31,REFERENCE!$G$2)</f>
        <v>0</v>
      </c>
      <c r="CF6" s="31" cm="1">
        <f t="array" ref="CF6">SumByColor(CF7:CF31,REFERENCE!$G$2)</f>
        <v>0</v>
      </c>
      <c r="CG6" s="31" cm="1">
        <f t="array" ref="CG6">SumByColor(CG7:CG31,REFERENCE!$G$2)</f>
        <v>0</v>
      </c>
      <c r="CH6" s="31" cm="1">
        <f t="array" ref="CH6">SumByColor(CH7:CH31,REFERENCE!$G$2)</f>
        <v>0</v>
      </c>
      <c r="CI6" s="31" cm="1">
        <f t="array" ref="CI6">SumByColor(CI7:CI31,REFERENCE!$G$2)</f>
        <v>0</v>
      </c>
      <c r="CJ6" s="31" cm="1">
        <f t="array" ref="CJ6">SumByColor(CJ7:CJ31,REFERENCE!$G$2)</f>
        <v>0</v>
      </c>
      <c r="CK6" s="31" cm="1">
        <f t="array" ref="CK6">SumByColor(CK7:CK31,REFERENCE!$G$2)</f>
        <v>0</v>
      </c>
      <c r="CL6" s="31" cm="1">
        <f t="array" ref="CL6">SumByColor(CL7:CL31,REFERENCE!$G$2)</f>
        <v>0</v>
      </c>
      <c r="CM6" s="31" cm="1">
        <f t="array" ref="CM6">SumByColor(CM7:CM31,REFERENCE!$G$2)</f>
        <v>0</v>
      </c>
      <c r="CN6" s="31" cm="1">
        <f t="array" ref="CN6">SumByColor(CN7:CN31,REFERENCE!$G$2)</f>
        <v>0</v>
      </c>
      <c r="CO6" s="31" cm="1">
        <f t="array" ref="CO6">SumByColor(CO7:CO31,REFERENCE!$G$2)</f>
        <v>0</v>
      </c>
      <c r="CP6" s="31" cm="1">
        <f t="array" ref="CP6">SumByColor(CP7:CP31,REFERENCE!$G$2)</f>
        <v>0</v>
      </c>
      <c r="CQ6" s="31" cm="1">
        <f t="array" ref="CQ6">SumByColor(CQ7:CQ31,REFERENCE!$G$2)</f>
        <v>0</v>
      </c>
      <c r="CR6" s="31" cm="1">
        <f t="array" ref="CR6">SumByColor(CR7:CR31,REFERENCE!$G$2)</f>
        <v>0</v>
      </c>
      <c r="CS6" s="31" cm="1">
        <f t="array" ref="CS6">SumByColor(CS7:CS31,REFERENCE!$G$2)</f>
        <v>0</v>
      </c>
      <c r="CT6" s="31" cm="1">
        <f t="array" ref="CT6">SumByColor(CT7:CT31,REFERENCE!$G$2)</f>
        <v>0</v>
      </c>
      <c r="CU6" s="31" cm="1">
        <f t="array" ref="CU6">SumByColor(CU7:CU31,REFERENCE!$G$2)</f>
        <v>0</v>
      </c>
      <c r="CV6" s="31" cm="1">
        <f t="array" ref="CV6">SumByColor(CV7:CV31,REFERENCE!$G$2)</f>
        <v>0</v>
      </c>
      <c r="CW6" s="31" cm="1">
        <f t="array" ref="CW6">SumByColor(CW7:CW31,REFERENCE!$G$2)</f>
        <v>0</v>
      </c>
      <c r="CX6" s="31" cm="1">
        <f t="array" ref="CX6">SumByColor(CX7:CX31,REFERENCE!$G$2)</f>
        <v>0</v>
      </c>
      <c r="CY6" s="31" cm="1">
        <f t="array" ref="CY6">SumByColor(CY7:CY31,REFERENCE!$G$2)</f>
        <v>0</v>
      </c>
      <c r="CZ6" s="31" cm="1">
        <f t="array" ref="CZ6">SumByColor(CZ7:CZ31,REFERENCE!$G$2)</f>
        <v>0</v>
      </c>
      <c r="DA6" s="31" cm="1">
        <f t="array" ref="DA6">SumByColor(DA7:DA31,REFERENCE!$G$2)</f>
        <v>0</v>
      </c>
      <c r="DB6" s="31" cm="1">
        <f t="array" ref="DB6">SumByColor(DB7:DB31,REFERENCE!$G$2)</f>
        <v>0</v>
      </c>
      <c r="DC6" s="31" cm="1">
        <f t="array" ref="DC6">SumByColor(DC7:DC31,REFERENCE!$G$2)</f>
        <v>0</v>
      </c>
      <c r="DD6" s="31" cm="1">
        <f t="array" ref="DD6">SumByColor(DD7:DD31,REFERENCE!$G$2)</f>
        <v>0</v>
      </c>
      <c r="DE6" s="31" cm="1">
        <f t="array" ref="DE6">SumByColor(DE7:DE31,REFERENCE!$G$2)</f>
        <v>0</v>
      </c>
      <c r="DF6" s="31" cm="1">
        <f t="array" ref="DF6">SumByColor(DF7:DF31,REFERENCE!$G$2)</f>
        <v>0</v>
      </c>
      <c r="DG6" s="31" cm="1">
        <f t="array" ref="DG6">SumByColor(DG7:DG31,REFERENCE!$G$2)</f>
        <v>0</v>
      </c>
      <c r="DH6" s="31" cm="1">
        <f t="array" ref="DH6">SumByColor(DH7:DH31,REFERENCE!$G$2)</f>
        <v>0</v>
      </c>
      <c r="DI6" s="31" cm="1">
        <f t="array" ref="DI6">SumByColor(DI7:DI31,REFERENCE!$G$2)</f>
        <v>0</v>
      </c>
      <c r="DJ6" s="31" cm="1">
        <f t="array" ref="DJ6">SumByColor(DJ7:DJ31,REFERENCE!$G$2)</f>
        <v>0</v>
      </c>
      <c r="DK6" s="31" cm="1">
        <f t="array" ref="DK6">SumByColor(DK7:DK31,REFERENCE!$G$2)</f>
        <v>0</v>
      </c>
      <c r="DL6" s="31" cm="1">
        <f t="array" ref="DL6">SumByColor(DL7:DL31,REFERENCE!$G$2)</f>
        <v>0</v>
      </c>
      <c r="DM6" s="31" cm="1">
        <f t="array" ref="DM6">SumByColor(DM7:DM31,REFERENCE!$G$2)</f>
        <v>0</v>
      </c>
      <c r="DN6" s="31" cm="1">
        <f t="array" ref="DN6">SumByColor(DN7:DN31,REFERENCE!$G$2)</f>
        <v>0</v>
      </c>
      <c r="DO6" s="31" cm="1">
        <f t="array" ref="DO6">SumByColor(DO7:DO31,REFERENCE!$G$2)</f>
        <v>0</v>
      </c>
      <c r="DP6" s="31" cm="1">
        <f t="array" ref="DP6">SumByColor(DP7:DP31,REFERENCE!$G$2)</f>
        <v>0</v>
      </c>
      <c r="DQ6" s="31" cm="1">
        <f t="array" ref="DQ6">SumByColor(DQ7:DQ31,REFERENCE!$G$2)</f>
        <v>0</v>
      </c>
      <c r="DR6" s="31" cm="1">
        <f t="array" ref="DR6">SumByColor(DR7:DR31,REFERENCE!$G$2)</f>
        <v>0</v>
      </c>
      <c r="DS6" s="31" cm="1">
        <f t="array" ref="DS6">SumByColor(DS7:DS31,REFERENCE!$G$2)</f>
        <v>0</v>
      </c>
      <c r="DT6" s="31" cm="1">
        <f t="array" ref="DT6">SumByColor(DT7:DT31,REFERENCE!$G$2)</f>
        <v>0</v>
      </c>
      <c r="DU6" s="31" cm="1">
        <f t="array" ref="DU6">SumByColor(DU7:DU31,REFERENCE!$G$2)</f>
        <v>0</v>
      </c>
      <c r="DV6" s="31" cm="1">
        <f t="array" ref="DV6">SumByColor(DV7:DV31,REFERENCE!$G$2)</f>
        <v>0</v>
      </c>
      <c r="DW6" s="31" cm="1">
        <f t="array" ref="DW6">SumByColor(DW7:DW31,REFERENCE!$G$2)</f>
        <v>0</v>
      </c>
      <c r="DX6" s="31" cm="1">
        <f t="array" ref="DX6">SumByColor(DX7:DX31,REFERENCE!$G$2)</f>
        <v>0</v>
      </c>
      <c r="DY6" s="31" cm="1">
        <f t="array" ref="DY6">SumByColor(DY7:DY31,REFERENCE!$G$2)</f>
        <v>0</v>
      </c>
      <c r="DZ6" s="218"/>
      <c r="EA6" s="232"/>
      <c r="EB6" s="232"/>
      <c r="EC6" s="232"/>
      <c r="ED6" s="232"/>
      <c r="EE6" s="232"/>
      <c r="EF6" s="232"/>
      <c r="EG6" s="232"/>
      <c r="EH6" s="232"/>
      <c r="EI6" s="232"/>
      <c r="EJ6" s="232"/>
      <c r="EK6" s="232"/>
      <c r="EL6" s="232"/>
      <c r="EM6" s="232"/>
      <c r="EN6" s="232"/>
      <c r="EO6" s="232"/>
      <c r="EP6" s="232"/>
      <c r="EQ6" s="232"/>
    </row>
    <row r="7" spans="1:147" s="40" customFormat="1" ht="22.9" customHeight="1" outlineLevel="1" x14ac:dyDescent="0.2">
      <c r="A7" s="149" t="s">
        <v>474</v>
      </c>
      <c r="B7" s="34" t="s">
        <v>4</v>
      </c>
      <c r="C7" s="30" t="s">
        <v>100</v>
      </c>
      <c r="D7" s="164"/>
      <c r="E7" s="164"/>
      <c r="F7" s="43">
        <f>SUM(F8:F13)</f>
        <v>0</v>
      </c>
      <c r="G7" s="44">
        <f>SUM(G8:G13)</f>
        <v>0</v>
      </c>
      <c r="H7" s="45">
        <f>SUMPRODUCT($E$8:$E$13,H8:H13,$D$8:$D$13)</f>
        <v>0</v>
      </c>
      <c r="I7" s="45">
        <f t="shared" ref="I7:BT7" si="6">SUMPRODUCT($E$8:$E$13,I8:I13,$D$8:$D$13)</f>
        <v>0</v>
      </c>
      <c r="J7" s="45">
        <f t="shared" si="6"/>
        <v>0</v>
      </c>
      <c r="K7" s="45">
        <f t="shared" si="6"/>
        <v>0</v>
      </c>
      <c r="L7" s="45">
        <f t="shared" si="6"/>
        <v>0</v>
      </c>
      <c r="M7" s="45">
        <f t="shared" si="6"/>
        <v>0</v>
      </c>
      <c r="N7" s="45">
        <f t="shared" si="6"/>
        <v>0</v>
      </c>
      <c r="O7" s="45">
        <f t="shared" si="6"/>
        <v>0</v>
      </c>
      <c r="P7" s="45">
        <f t="shared" si="6"/>
        <v>0</v>
      </c>
      <c r="Q7" s="45">
        <f t="shared" si="6"/>
        <v>0</v>
      </c>
      <c r="R7" s="45">
        <f t="shared" si="6"/>
        <v>0</v>
      </c>
      <c r="S7" s="45">
        <f t="shared" si="6"/>
        <v>0</v>
      </c>
      <c r="T7" s="45">
        <f t="shared" si="6"/>
        <v>0</v>
      </c>
      <c r="U7" s="45">
        <f t="shared" si="6"/>
        <v>0</v>
      </c>
      <c r="V7" s="45">
        <f t="shared" si="6"/>
        <v>0</v>
      </c>
      <c r="W7" s="45">
        <f t="shared" si="6"/>
        <v>0</v>
      </c>
      <c r="X7" s="45">
        <f t="shared" si="6"/>
        <v>0</v>
      </c>
      <c r="Y7" s="45">
        <f t="shared" si="6"/>
        <v>0</v>
      </c>
      <c r="Z7" s="45">
        <f t="shared" si="6"/>
        <v>0</v>
      </c>
      <c r="AA7" s="45">
        <f t="shared" si="6"/>
        <v>0</v>
      </c>
      <c r="AB7" s="45">
        <f t="shared" si="6"/>
        <v>0</v>
      </c>
      <c r="AC7" s="45">
        <f t="shared" si="6"/>
        <v>0</v>
      </c>
      <c r="AD7" s="45">
        <f t="shared" si="6"/>
        <v>0</v>
      </c>
      <c r="AE7" s="45">
        <f t="shared" si="6"/>
        <v>0</v>
      </c>
      <c r="AF7" s="45">
        <f t="shared" si="6"/>
        <v>0</v>
      </c>
      <c r="AG7" s="45">
        <f t="shared" si="6"/>
        <v>0</v>
      </c>
      <c r="AH7" s="45">
        <f t="shared" si="6"/>
        <v>0</v>
      </c>
      <c r="AI7" s="45">
        <f t="shared" si="6"/>
        <v>0</v>
      </c>
      <c r="AJ7" s="45">
        <f t="shared" si="6"/>
        <v>0</v>
      </c>
      <c r="AK7" s="45">
        <f t="shared" si="6"/>
        <v>0</v>
      </c>
      <c r="AL7" s="45">
        <f t="shared" si="6"/>
        <v>0</v>
      </c>
      <c r="AM7" s="45">
        <f t="shared" si="6"/>
        <v>0</v>
      </c>
      <c r="AN7" s="45">
        <f t="shared" si="6"/>
        <v>0</v>
      </c>
      <c r="AO7" s="45">
        <f t="shared" si="6"/>
        <v>0</v>
      </c>
      <c r="AP7" s="45">
        <f t="shared" si="6"/>
        <v>0</v>
      </c>
      <c r="AQ7" s="45">
        <f t="shared" si="6"/>
        <v>0</v>
      </c>
      <c r="AR7" s="45">
        <f t="shared" si="6"/>
        <v>0</v>
      </c>
      <c r="AS7" s="45">
        <f t="shared" si="6"/>
        <v>0</v>
      </c>
      <c r="AT7" s="45">
        <f t="shared" si="6"/>
        <v>0</v>
      </c>
      <c r="AU7" s="45">
        <f t="shared" si="6"/>
        <v>0</v>
      </c>
      <c r="AV7" s="45">
        <f t="shared" si="6"/>
        <v>0</v>
      </c>
      <c r="AW7" s="45">
        <f t="shared" si="6"/>
        <v>0</v>
      </c>
      <c r="AX7" s="45">
        <f t="shared" si="6"/>
        <v>0</v>
      </c>
      <c r="AY7" s="45">
        <f t="shared" si="6"/>
        <v>0</v>
      </c>
      <c r="AZ7" s="45">
        <f t="shared" si="6"/>
        <v>0</v>
      </c>
      <c r="BA7" s="45">
        <f t="shared" si="6"/>
        <v>0</v>
      </c>
      <c r="BB7" s="45">
        <f t="shared" si="6"/>
        <v>0</v>
      </c>
      <c r="BC7" s="45">
        <f t="shared" si="6"/>
        <v>0</v>
      </c>
      <c r="BD7" s="45">
        <f t="shared" si="6"/>
        <v>0</v>
      </c>
      <c r="BE7" s="45">
        <f t="shared" si="6"/>
        <v>0</v>
      </c>
      <c r="BF7" s="45">
        <f t="shared" si="6"/>
        <v>0</v>
      </c>
      <c r="BG7" s="45">
        <f t="shared" si="6"/>
        <v>0</v>
      </c>
      <c r="BH7" s="45">
        <f t="shared" si="6"/>
        <v>0</v>
      </c>
      <c r="BI7" s="45">
        <f t="shared" si="6"/>
        <v>0</v>
      </c>
      <c r="BJ7" s="45">
        <f t="shared" si="6"/>
        <v>0</v>
      </c>
      <c r="BK7" s="45">
        <f t="shared" si="6"/>
        <v>0</v>
      </c>
      <c r="BL7" s="45">
        <f t="shared" si="6"/>
        <v>0</v>
      </c>
      <c r="BM7" s="45">
        <f t="shared" si="6"/>
        <v>0</v>
      </c>
      <c r="BN7" s="45">
        <f t="shared" si="6"/>
        <v>0</v>
      </c>
      <c r="BO7" s="45">
        <f t="shared" si="6"/>
        <v>0</v>
      </c>
      <c r="BP7" s="45">
        <f t="shared" si="6"/>
        <v>0</v>
      </c>
      <c r="BQ7" s="45">
        <f t="shared" si="6"/>
        <v>0</v>
      </c>
      <c r="BR7" s="45">
        <f t="shared" si="6"/>
        <v>0</v>
      </c>
      <c r="BS7" s="45">
        <f t="shared" si="6"/>
        <v>0</v>
      </c>
      <c r="BT7" s="45">
        <f t="shared" si="6"/>
        <v>0</v>
      </c>
      <c r="BU7" s="45">
        <f t="shared" ref="BU7:DX7" si="7">SUMPRODUCT($E$8:$E$13,BU8:BU13,$D$8:$D$13)</f>
        <v>0</v>
      </c>
      <c r="BV7" s="45">
        <f t="shared" si="7"/>
        <v>0</v>
      </c>
      <c r="BW7" s="45">
        <f t="shared" si="7"/>
        <v>0</v>
      </c>
      <c r="BX7" s="45">
        <f t="shared" si="7"/>
        <v>0</v>
      </c>
      <c r="BY7" s="45">
        <f t="shared" si="7"/>
        <v>0</v>
      </c>
      <c r="BZ7" s="45">
        <f t="shared" si="7"/>
        <v>0</v>
      </c>
      <c r="CA7" s="45">
        <f t="shared" si="7"/>
        <v>0</v>
      </c>
      <c r="CB7" s="45">
        <f t="shared" si="7"/>
        <v>0</v>
      </c>
      <c r="CC7" s="45">
        <f t="shared" si="7"/>
        <v>0</v>
      </c>
      <c r="CD7" s="45">
        <f t="shared" si="7"/>
        <v>0</v>
      </c>
      <c r="CE7" s="45">
        <f t="shared" si="7"/>
        <v>0</v>
      </c>
      <c r="CF7" s="45">
        <f t="shared" si="7"/>
        <v>0</v>
      </c>
      <c r="CG7" s="45">
        <f t="shared" si="7"/>
        <v>0</v>
      </c>
      <c r="CH7" s="45">
        <f t="shared" si="7"/>
        <v>0</v>
      </c>
      <c r="CI7" s="45">
        <f t="shared" si="7"/>
        <v>0</v>
      </c>
      <c r="CJ7" s="45">
        <f t="shared" si="7"/>
        <v>0</v>
      </c>
      <c r="CK7" s="45">
        <f t="shared" si="7"/>
        <v>0</v>
      </c>
      <c r="CL7" s="45">
        <f t="shared" si="7"/>
        <v>0</v>
      </c>
      <c r="CM7" s="45">
        <f t="shared" si="7"/>
        <v>0</v>
      </c>
      <c r="CN7" s="45">
        <f t="shared" si="7"/>
        <v>0</v>
      </c>
      <c r="CO7" s="45">
        <f t="shared" si="7"/>
        <v>0</v>
      </c>
      <c r="CP7" s="45">
        <f t="shared" si="7"/>
        <v>0</v>
      </c>
      <c r="CQ7" s="45">
        <f t="shared" si="7"/>
        <v>0</v>
      </c>
      <c r="CR7" s="45">
        <f t="shared" si="7"/>
        <v>0</v>
      </c>
      <c r="CS7" s="45">
        <f t="shared" si="7"/>
        <v>0</v>
      </c>
      <c r="CT7" s="45">
        <f t="shared" si="7"/>
        <v>0</v>
      </c>
      <c r="CU7" s="45">
        <f t="shared" si="7"/>
        <v>0</v>
      </c>
      <c r="CV7" s="45">
        <f t="shared" si="7"/>
        <v>0</v>
      </c>
      <c r="CW7" s="45">
        <f t="shared" si="7"/>
        <v>0</v>
      </c>
      <c r="CX7" s="45">
        <f t="shared" si="7"/>
        <v>0</v>
      </c>
      <c r="CY7" s="45">
        <f t="shared" si="7"/>
        <v>0</v>
      </c>
      <c r="CZ7" s="45">
        <f t="shared" si="7"/>
        <v>0</v>
      </c>
      <c r="DA7" s="45">
        <f t="shared" si="7"/>
        <v>0</v>
      </c>
      <c r="DB7" s="45">
        <f t="shared" si="7"/>
        <v>0</v>
      </c>
      <c r="DC7" s="45">
        <f t="shared" si="7"/>
        <v>0</v>
      </c>
      <c r="DD7" s="45">
        <f t="shared" si="7"/>
        <v>0</v>
      </c>
      <c r="DE7" s="45">
        <f t="shared" si="7"/>
        <v>0</v>
      </c>
      <c r="DF7" s="45">
        <f t="shared" si="7"/>
        <v>0</v>
      </c>
      <c r="DG7" s="45">
        <f t="shared" si="7"/>
        <v>0</v>
      </c>
      <c r="DH7" s="45">
        <f t="shared" si="7"/>
        <v>0</v>
      </c>
      <c r="DI7" s="45">
        <f t="shared" si="7"/>
        <v>0</v>
      </c>
      <c r="DJ7" s="45">
        <f t="shared" si="7"/>
        <v>0</v>
      </c>
      <c r="DK7" s="45">
        <f t="shared" si="7"/>
        <v>0</v>
      </c>
      <c r="DL7" s="45">
        <f t="shared" si="7"/>
        <v>0</v>
      </c>
      <c r="DM7" s="45">
        <f t="shared" si="7"/>
        <v>0</v>
      </c>
      <c r="DN7" s="45">
        <f t="shared" si="7"/>
        <v>0</v>
      </c>
      <c r="DO7" s="45">
        <f t="shared" si="7"/>
        <v>0</v>
      </c>
      <c r="DP7" s="45">
        <f t="shared" si="7"/>
        <v>0</v>
      </c>
      <c r="DQ7" s="45">
        <f t="shared" si="7"/>
        <v>0</v>
      </c>
      <c r="DR7" s="45">
        <f t="shared" si="7"/>
        <v>0</v>
      </c>
      <c r="DS7" s="45">
        <f t="shared" si="7"/>
        <v>0</v>
      </c>
      <c r="DT7" s="45">
        <f t="shared" si="7"/>
        <v>0</v>
      </c>
      <c r="DU7" s="45">
        <f t="shared" si="7"/>
        <v>0</v>
      </c>
      <c r="DV7" s="45">
        <f t="shared" si="7"/>
        <v>0</v>
      </c>
      <c r="DW7" s="45">
        <f t="shared" si="7"/>
        <v>0</v>
      </c>
      <c r="DX7" s="45">
        <f t="shared" si="7"/>
        <v>0</v>
      </c>
      <c r="DY7" s="45">
        <f>SUMPRODUCT($E$8:$E$13,DY8:DY13,$D$8:$D$13)</f>
        <v>0</v>
      </c>
      <c r="DZ7" s="218"/>
      <c r="EA7" s="231"/>
      <c r="EB7" s="231"/>
      <c r="EC7" s="231"/>
      <c r="ED7" s="231"/>
      <c r="EE7" s="231"/>
      <c r="EF7" s="231"/>
      <c r="EG7" s="231"/>
      <c r="EH7" s="231"/>
      <c r="EI7" s="231"/>
      <c r="EJ7" s="231"/>
      <c r="EK7" s="231"/>
      <c r="EL7" s="231"/>
      <c r="EM7" s="231"/>
      <c r="EN7" s="231"/>
      <c r="EO7" s="231"/>
      <c r="EP7" s="231"/>
      <c r="EQ7" s="231"/>
    </row>
    <row r="8" spans="1:147" ht="22.9" customHeight="1" outlineLevel="2" x14ac:dyDescent="0.2">
      <c r="A8" s="146" t="s">
        <v>497</v>
      </c>
      <c r="B8" s="53" t="s">
        <v>124</v>
      </c>
      <c r="C8" s="50" t="s">
        <v>133</v>
      </c>
      <c r="D8" s="165">
        <f>VALUE(REFERENCE!$Q$2)</f>
        <v>10</v>
      </c>
      <c r="E8" s="158">
        <v>1</v>
      </c>
      <c r="F8" s="52">
        <f>SUM(H8:DY8)*E8*Table1[[#This Row],[Cycles]]</f>
        <v>0</v>
      </c>
      <c r="G8" s="46">
        <f t="shared" ref="G8:G13" si="8">SUMPRODUCT($H$2:$DY$2,$H8:$DY8)*E8*D8</f>
        <v>0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47"/>
      <c r="DP8" s="47"/>
      <c r="DQ8" s="47"/>
      <c r="DR8" s="47"/>
      <c r="DS8" s="47"/>
      <c r="DT8" s="47"/>
      <c r="DU8" s="47"/>
      <c r="DV8" s="47"/>
      <c r="DW8" s="47"/>
      <c r="DX8" s="47"/>
      <c r="DY8" s="47"/>
      <c r="DZ8" s="219"/>
      <c r="EA8" s="231"/>
      <c r="EB8" s="231"/>
      <c r="EC8" s="231"/>
      <c r="ED8" s="231"/>
      <c r="EE8" s="231"/>
      <c r="EF8" s="231"/>
      <c r="EG8" s="231"/>
      <c r="EH8" s="231"/>
      <c r="EI8" s="231"/>
      <c r="EJ8" s="231"/>
      <c r="EK8" s="231"/>
      <c r="EL8" s="231"/>
      <c r="EM8" s="231"/>
      <c r="EN8" s="231"/>
      <c r="EO8" s="231"/>
      <c r="EP8" s="231"/>
      <c r="EQ8" s="231"/>
    </row>
    <row r="9" spans="1:147" ht="22.9" customHeight="1" outlineLevel="2" x14ac:dyDescent="0.2">
      <c r="A9" s="146" t="s">
        <v>498</v>
      </c>
      <c r="B9" s="53" t="s">
        <v>264</v>
      </c>
      <c r="C9" s="50" t="s">
        <v>133</v>
      </c>
      <c r="D9" s="165">
        <f>VALUE(REFERENCE!$Q$2)</f>
        <v>10</v>
      </c>
      <c r="E9" s="158">
        <v>1</v>
      </c>
      <c r="F9" s="52">
        <f>SUM(H9:DY9)*E9*Table1[[#This Row],[Cycles]]</f>
        <v>0</v>
      </c>
      <c r="G9" s="46">
        <f t="shared" si="8"/>
        <v>0</v>
      </c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47"/>
      <c r="DP9" s="47"/>
      <c r="DQ9" s="47"/>
      <c r="DR9" s="47"/>
      <c r="DS9" s="47"/>
      <c r="DT9" s="47"/>
      <c r="DU9" s="47"/>
      <c r="DV9" s="47"/>
      <c r="DW9" s="47"/>
      <c r="DX9" s="47"/>
      <c r="DY9" s="47"/>
      <c r="DZ9" s="219"/>
      <c r="EA9" s="231"/>
      <c r="EB9" s="231"/>
      <c r="EC9" s="231"/>
      <c r="ED9" s="231"/>
      <c r="EE9" s="231"/>
      <c r="EF9" s="231"/>
      <c r="EG9" s="231"/>
      <c r="EH9" s="231"/>
      <c r="EI9" s="231"/>
      <c r="EJ9" s="231"/>
      <c r="EK9" s="231"/>
      <c r="EL9" s="231"/>
      <c r="EM9" s="231"/>
      <c r="EN9" s="231"/>
      <c r="EO9" s="231"/>
      <c r="EP9" s="231"/>
      <c r="EQ9" s="231"/>
    </row>
    <row r="10" spans="1:147" ht="22.9" customHeight="1" outlineLevel="2" x14ac:dyDescent="0.2">
      <c r="A10" s="146" t="s">
        <v>499</v>
      </c>
      <c r="B10" s="53" t="s">
        <v>5</v>
      </c>
      <c r="C10" s="50" t="s">
        <v>133</v>
      </c>
      <c r="D10" s="165">
        <f>VALUE(REFERENCE!$Q$2 * REFERENCE!$P$3)</f>
        <v>5</v>
      </c>
      <c r="E10" s="158">
        <v>2</v>
      </c>
      <c r="F10" s="52">
        <f>SUM(H10:DY10)*E10*Table1[[#This Row],[Cycles]]</f>
        <v>0</v>
      </c>
      <c r="G10" s="46">
        <f t="shared" si="8"/>
        <v>0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219"/>
      <c r="EA10" s="231"/>
      <c r="EB10" s="231"/>
      <c r="EC10" s="231"/>
      <c r="ED10" s="231"/>
      <c r="EE10" s="231"/>
      <c r="EF10" s="231"/>
      <c r="EG10" s="231"/>
      <c r="EH10" s="231"/>
      <c r="EI10" s="231"/>
      <c r="EJ10" s="231"/>
      <c r="EK10" s="231"/>
      <c r="EL10" s="231"/>
      <c r="EM10" s="231"/>
      <c r="EN10" s="231"/>
      <c r="EO10" s="231"/>
      <c r="EP10" s="231"/>
      <c r="EQ10" s="231"/>
    </row>
    <row r="11" spans="1:147" ht="22.9" customHeight="1" outlineLevel="2" x14ac:dyDescent="0.2">
      <c r="A11" s="146" t="s">
        <v>500</v>
      </c>
      <c r="B11" s="53" t="s">
        <v>122</v>
      </c>
      <c r="C11" s="50" t="s">
        <v>133</v>
      </c>
      <c r="D11" s="165">
        <v>2</v>
      </c>
      <c r="E11" s="158">
        <v>2</v>
      </c>
      <c r="F11" s="52">
        <f>SUM(H11:DY11)*E11*Table1[[#This Row],[Cycles]]</f>
        <v>0</v>
      </c>
      <c r="G11" s="46">
        <f t="shared" si="8"/>
        <v>0</v>
      </c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47"/>
      <c r="DP11" s="47"/>
      <c r="DQ11" s="47"/>
      <c r="DR11" s="47"/>
      <c r="DS11" s="47"/>
      <c r="DT11" s="47"/>
      <c r="DU11" s="47"/>
      <c r="DV11" s="47"/>
      <c r="DW11" s="47"/>
      <c r="DX11" s="47"/>
      <c r="DY11" s="47"/>
      <c r="DZ11" s="219"/>
      <c r="EA11" s="231"/>
      <c r="EB11" s="231"/>
      <c r="EC11" s="231"/>
      <c r="ED11" s="231"/>
      <c r="EE11" s="231"/>
      <c r="EF11" s="231"/>
      <c r="EG11" s="231"/>
      <c r="EH11" s="231"/>
      <c r="EI11" s="231"/>
      <c r="EJ11" s="231"/>
      <c r="EK11" s="231"/>
      <c r="EL11" s="231"/>
      <c r="EM11" s="231"/>
      <c r="EN11" s="231"/>
      <c r="EO11" s="231"/>
      <c r="EP11" s="231"/>
      <c r="EQ11" s="231"/>
    </row>
    <row r="12" spans="1:147" ht="22.9" customHeight="1" outlineLevel="2" x14ac:dyDescent="0.2">
      <c r="A12" s="146" t="s">
        <v>501</v>
      </c>
      <c r="B12" s="53" t="s">
        <v>792</v>
      </c>
      <c r="C12" s="50" t="s">
        <v>133</v>
      </c>
      <c r="D12" s="165">
        <f>VALUE(REFERENCE!$Q$2)</f>
        <v>10</v>
      </c>
      <c r="E12" s="158">
        <v>1</v>
      </c>
      <c r="F12" s="52">
        <f>SUM(H12:DY12)*E12*Table1[[#This Row],[Cycles]]</f>
        <v>0</v>
      </c>
      <c r="G12" s="46">
        <f t="shared" si="8"/>
        <v>0</v>
      </c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219"/>
      <c r="EA12" s="231"/>
      <c r="EB12" s="231"/>
      <c r="EC12" s="231"/>
      <c r="ED12" s="231"/>
      <c r="EE12" s="231"/>
      <c r="EF12" s="231"/>
      <c r="EG12" s="231"/>
      <c r="EH12" s="231"/>
      <c r="EI12" s="231"/>
      <c r="EJ12" s="231"/>
      <c r="EK12" s="231"/>
      <c r="EL12" s="231"/>
      <c r="EM12" s="231"/>
      <c r="EN12" s="231"/>
      <c r="EO12" s="231"/>
      <c r="EP12" s="231"/>
      <c r="EQ12" s="231"/>
    </row>
    <row r="13" spans="1:147" ht="22.9" customHeight="1" outlineLevel="2" x14ac:dyDescent="0.2">
      <c r="A13" s="146" t="s">
        <v>502</v>
      </c>
      <c r="B13" s="53" t="s">
        <v>226</v>
      </c>
      <c r="C13" s="50" t="s">
        <v>209</v>
      </c>
      <c r="D13" s="165">
        <v>1</v>
      </c>
      <c r="E13" s="158">
        <v>1</v>
      </c>
      <c r="F13" s="52">
        <f>SUM(H13:DY13)*E13*Table1[[#This Row],[Cycles]]</f>
        <v>0</v>
      </c>
      <c r="G13" s="46">
        <f t="shared" si="8"/>
        <v>0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219"/>
      <c r="EA13" s="231"/>
      <c r="EB13" s="231"/>
      <c r="EC13" s="231"/>
      <c r="ED13" s="231"/>
      <c r="EE13" s="231"/>
      <c r="EF13" s="231"/>
      <c r="EG13" s="231"/>
      <c r="EH13" s="231"/>
      <c r="EI13" s="231"/>
      <c r="EJ13" s="231"/>
      <c r="EK13" s="231"/>
      <c r="EL13" s="231"/>
      <c r="EM13" s="231"/>
      <c r="EN13" s="231"/>
      <c r="EO13" s="231"/>
      <c r="EP13" s="231"/>
      <c r="EQ13" s="231"/>
    </row>
    <row r="14" spans="1:147" ht="22.9" customHeight="1" outlineLevel="1" x14ac:dyDescent="0.2">
      <c r="A14" s="149" t="s">
        <v>453</v>
      </c>
      <c r="B14" s="34" t="s">
        <v>17</v>
      </c>
      <c r="C14" s="30" t="s">
        <v>100</v>
      </c>
      <c r="D14" s="164"/>
      <c r="E14" s="164"/>
      <c r="F14" s="45">
        <f>SUM(F15:F20)</f>
        <v>0</v>
      </c>
      <c r="G14" s="44">
        <f>SUM(G15:G20)</f>
        <v>0</v>
      </c>
      <c r="H14" s="45">
        <f>SUMPRODUCT($E$15:$E$20,H15:H20,$D$15:$D$20)</f>
        <v>0</v>
      </c>
      <c r="I14" s="45">
        <f t="shared" ref="I14:BO14" si="9">SUMPRODUCT($E$15:$E$20,I15:I20,$D$15:$D$20)</f>
        <v>0</v>
      </c>
      <c r="J14" s="45">
        <f t="shared" si="9"/>
        <v>0</v>
      </c>
      <c r="K14" s="45">
        <f t="shared" si="9"/>
        <v>0</v>
      </c>
      <c r="L14" s="45">
        <f t="shared" si="9"/>
        <v>0</v>
      </c>
      <c r="M14" s="45">
        <f t="shared" si="9"/>
        <v>0</v>
      </c>
      <c r="N14" s="45">
        <f t="shared" si="9"/>
        <v>0</v>
      </c>
      <c r="O14" s="45">
        <f t="shared" si="9"/>
        <v>0</v>
      </c>
      <c r="P14" s="45">
        <f t="shared" si="9"/>
        <v>0</v>
      </c>
      <c r="Q14" s="45">
        <f t="shared" si="9"/>
        <v>0</v>
      </c>
      <c r="R14" s="45">
        <f t="shared" si="9"/>
        <v>0</v>
      </c>
      <c r="S14" s="45">
        <f t="shared" si="9"/>
        <v>0</v>
      </c>
      <c r="T14" s="45">
        <f t="shared" si="9"/>
        <v>0</v>
      </c>
      <c r="U14" s="45">
        <f t="shared" si="9"/>
        <v>0</v>
      </c>
      <c r="V14" s="45">
        <f t="shared" si="9"/>
        <v>0</v>
      </c>
      <c r="W14" s="45">
        <f t="shared" si="9"/>
        <v>0</v>
      </c>
      <c r="X14" s="45">
        <f t="shared" si="9"/>
        <v>0</v>
      </c>
      <c r="Y14" s="45">
        <f t="shared" si="9"/>
        <v>0</v>
      </c>
      <c r="Z14" s="45">
        <f t="shared" si="9"/>
        <v>0</v>
      </c>
      <c r="AA14" s="45">
        <f t="shared" si="9"/>
        <v>0</v>
      </c>
      <c r="AB14" s="45">
        <f t="shared" si="9"/>
        <v>0</v>
      </c>
      <c r="AC14" s="45">
        <f t="shared" si="9"/>
        <v>0</v>
      </c>
      <c r="AD14" s="45">
        <f t="shared" si="9"/>
        <v>0</v>
      </c>
      <c r="AE14" s="45">
        <f t="shared" si="9"/>
        <v>0</v>
      </c>
      <c r="AF14" s="45">
        <f t="shared" si="9"/>
        <v>0</v>
      </c>
      <c r="AG14" s="45">
        <f t="shared" si="9"/>
        <v>0</v>
      </c>
      <c r="AH14" s="45">
        <f t="shared" si="9"/>
        <v>0</v>
      </c>
      <c r="AI14" s="45">
        <f t="shared" si="9"/>
        <v>0</v>
      </c>
      <c r="AJ14" s="45">
        <f t="shared" si="9"/>
        <v>0</v>
      </c>
      <c r="AK14" s="45">
        <f t="shared" si="9"/>
        <v>0</v>
      </c>
      <c r="AL14" s="45">
        <f t="shared" si="9"/>
        <v>0</v>
      </c>
      <c r="AM14" s="45">
        <f t="shared" si="9"/>
        <v>0</v>
      </c>
      <c r="AN14" s="45">
        <f t="shared" si="9"/>
        <v>0</v>
      </c>
      <c r="AO14" s="45">
        <f t="shared" si="9"/>
        <v>0</v>
      </c>
      <c r="AP14" s="45">
        <f t="shared" si="9"/>
        <v>0</v>
      </c>
      <c r="AQ14" s="45">
        <f t="shared" si="9"/>
        <v>0</v>
      </c>
      <c r="AR14" s="45">
        <f t="shared" si="9"/>
        <v>0</v>
      </c>
      <c r="AS14" s="45">
        <f t="shared" si="9"/>
        <v>0</v>
      </c>
      <c r="AT14" s="45">
        <f t="shared" si="9"/>
        <v>0</v>
      </c>
      <c r="AU14" s="45">
        <f t="shared" si="9"/>
        <v>0</v>
      </c>
      <c r="AV14" s="45">
        <f t="shared" si="9"/>
        <v>0</v>
      </c>
      <c r="AW14" s="45">
        <f t="shared" si="9"/>
        <v>0</v>
      </c>
      <c r="AX14" s="45">
        <f t="shared" si="9"/>
        <v>0</v>
      </c>
      <c r="AY14" s="45">
        <f t="shared" si="9"/>
        <v>0</v>
      </c>
      <c r="AZ14" s="45">
        <f t="shared" si="9"/>
        <v>0</v>
      </c>
      <c r="BA14" s="45">
        <f t="shared" si="9"/>
        <v>0</v>
      </c>
      <c r="BB14" s="45">
        <f t="shared" si="9"/>
        <v>0</v>
      </c>
      <c r="BC14" s="45">
        <f t="shared" si="9"/>
        <v>0</v>
      </c>
      <c r="BD14" s="45">
        <f t="shared" si="9"/>
        <v>0</v>
      </c>
      <c r="BE14" s="45">
        <f t="shared" si="9"/>
        <v>0</v>
      </c>
      <c r="BF14" s="45">
        <f t="shared" si="9"/>
        <v>0</v>
      </c>
      <c r="BG14" s="45">
        <f t="shared" si="9"/>
        <v>0</v>
      </c>
      <c r="BH14" s="45">
        <f t="shared" si="9"/>
        <v>0</v>
      </c>
      <c r="BI14" s="45">
        <f t="shared" si="9"/>
        <v>0</v>
      </c>
      <c r="BJ14" s="45">
        <f t="shared" si="9"/>
        <v>0</v>
      </c>
      <c r="BK14" s="45">
        <f t="shared" si="9"/>
        <v>0</v>
      </c>
      <c r="BL14" s="45">
        <f t="shared" si="9"/>
        <v>0</v>
      </c>
      <c r="BM14" s="45">
        <f t="shared" si="9"/>
        <v>0</v>
      </c>
      <c r="BN14" s="45">
        <f t="shared" si="9"/>
        <v>0</v>
      </c>
      <c r="BO14" s="45">
        <f t="shared" si="9"/>
        <v>0</v>
      </c>
      <c r="BP14" s="45">
        <f t="shared" ref="BP14:BU14" si="10">SUMPRODUCT($E$15:$E$20,BP15:BP20,$D$15:$D$20)</f>
        <v>0</v>
      </c>
      <c r="BQ14" s="45">
        <f t="shared" si="10"/>
        <v>0</v>
      </c>
      <c r="BR14" s="45">
        <f t="shared" si="10"/>
        <v>0</v>
      </c>
      <c r="BS14" s="45">
        <f t="shared" si="10"/>
        <v>0</v>
      </c>
      <c r="BT14" s="45">
        <f t="shared" si="10"/>
        <v>0</v>
      </c>
      <c r="BU14" s="45">
        <f t="shared" si="10"/>
        <v>0</v>
      </c>
      <c r="BV14" s="45">
        <f t="shared" ref="BV14:DY14" si="11">SUMPRODUCT($E$15:$E$20,BV15:BV20,$D$15:$D$20)</f>
        <v>0</v>
      </c>
      <c r="BW14" s="45">
        <f t="shared" si="11"/>
        <v>0</v>
      </c>
      <c r="BX14" s="45">
        <f t="shared" si="11"/>
        <v>0</v>
      </c>
      <c r="BY14" s="45">
        <f t="shared" si="11"/>
        <v>0</v>
      </c>
      <c r="BZ14" s="45">
        <f t="shared" si="11"/>
        <v>0</v>
      </c>
      <c r="CA14" s="45">
        <f t="shared" si="11"/>
        <v>0</v>
      </c>
      <c r="CB14" s="45">
        <f t="shared" si="11"/>
        <v>0</v>
      </c>
      <c r="CC14" s="45">
        <f t="shared" si="11"/>
        <v>0</v>
      </c>
      <c r="CD14" s="45">
        <f t="shared" si="11"/>
        <v>0</v>
      </c>
      <c r="CE14" s="45">
        <f t="shared" si="11"/>
        <v>0</v>
      </c>
      <c r="CF14" s="45">
        <f t="shared" si="11"/>
        <v>0</v>
      </c>
      <c r="CG14" s="45">
        <f t="shared" si="11"/>
        <v>0</v>
      </c>
      <c r="CH14" s="45">
        <f t="shared" si="11"/>
        <v>0</v>
      </c>
      <c r="CI14" s="45">
        <f t="shared" si="11"/>
        <v>0</v>
      </c>
      <c r="CJ14" s="45">
        <f t="shared" si="11"/>
        <v>0</v>
      </c>
      <c r="CK14" s="45">
        <f t="shared" si="11"/>
        <v>0</v>
      </c>
      <c r="CL14" s="45">
        <f t="shared" si="11"/>
        <v>0</v>
      </c>
      <c r="CM14" s="45">
        <f t="shared" si="11"/>
        <v>0</v>
      </c>
      <c r="CN14" s="45">
        <f t="shared" si="11"/>
        <v>0</v>
      </c>
      <c r="CO14" s="45">
        <f t="shared" si="11"/>
        <v>0</v>
      </c>
      <c r="CP14" s="45">
        <f t="shared" si="11"/>
        <v>0</v>
      </c>
      <c r="CQ14" s="45">
        <f t="shared" si="11"/>
        <v>0</v>
      </c>
      <c r="CR14" s="45">
        <f t="shared" si="11"/>
        <v>0</v>
      </c>
      <c r="CS14" s="45">
        <f t="shared" si="11"/>
        <v>0</v>
      </c>
      <c r="CT14" s="45">
        <f t="shared" si="11"/>
        <v>0</v>
      </c>
      <c r="CU14" s="45">
        <f t="shared" si="11"/>
        <v>0</v>
      </c>
      <c r="CV14" s="45">
        <f t="shared" si="11"/>
        <v>0</v>
      </c>
      <c r="CW14" s="45">
        <f t="shared" si="11"/>
        <v>0</v>
      </c>
      <c r="CX14" s="45">
        <f t="shared" si="11"/>
        <v>0</v>
      </c>
      <c r="CY14" s="45">
        <f t="shared" si="11"/>
        <v>0</v>
      </c>
      <c r="CZ14" s="45">
        <f t="shared" si="11"/>
        <v>0</v>
      </c>
      <c r="DA14" s="45">
        <f t="shared" si="11"/>
        <v>0</v>
      </c>
      <c r="DB14" s="45">
        <f t="shared" si="11"/>
        <v>0</v>
      </c>
      <c r="DC14" s="45">
        <f t="shared" si="11"/>
        <v>0</v>
      </c>
      <c r="DD14" s="45">
        <f t="shared" si="11"/>
        <v>0</v>
      </c>
      <c r="DE14" s="45">
        <f t="shared" si="11"/>
        <v>0</v>
      </c>
      <c r="DF14" s="45">
        <f t="shared" si="11"/>
        <v>0</v>
      </c>
      <c r="DG14" s="45">
        <f t="shared" si="11"/>
        <v>0</v>
      </c>
      <c r="DH14" s="45">
        <f t="shared" si="11"/>
        <v>0</v>
      </c>
      <c r="DI14" s="45">
        <f t="shared" si="11"/>
        <v>0</v>
      </c>
      <c r="DJ14" s="45">
        <f t="shared" si="11"/>
        <v>0</v>
      </c>
      <c r="DK14" s="45">
        <f t="shared" si="11"/>
        <v>0</v>
      </c>
      <c r="DL14" s="45">
        <f t="shared" si="11"/>
        <v>0</v>
      </c>
      <c r="DM14" s="45">
        <f t="shared" si="11"/>
        <v>0</v>
      </c>
      <c r="DN14" s="45">
        <f t="shared" si="11"/>
        <v>0</v>
      </c>
      <c r="DO14" s="45">
        <f t="shared" si="11"/>
        <v>0</v>
      </c>
      <c r="DP14" s="45">
        <f t="shared" si="11"/>
        <v>0</v>
      </c>
      <c r="DQ14" s="45">
        <f t="shared" si="11"/>
        <v>0</v>
      </c>
      <c r="DR14" s="45">
        <f t="shared" si="11"/>
        <v>0</v>
      </c>
      <c r="DS14" s="45">
        <f t="shared" si="11"/>
        <v>0</v>
      </c>
      <c r="DT14" s="45">
        <f t="shared" si="11"/>
        <v>0</v>
      </c>
      <c r="DU14" s="45">
        <f t="shared" si="11"/>
        <v>0</v>
      </c>
      <c r="DV14" s="45">
        <f t="shared" si="11"/>
        <v>0</v>
      </c>
      <c r="DW14" s="45">
        <f t="shared" si="11"/>
        <v>0</v>
      </c>
      <c r="DX14" s="45">
        <f t="shared" si="11"/>
        <v>0</v>
      </c>
      <c r="DY14" s="45">
        <f t="shared" si="11"/>
        <v>0</v>
      </c>
      <c r="DZ14" s="218"/>
      <c r="EA14" s="231"/>
      <c r="EB14" s="231"/>
      <c r="EC14" s="231"/>
      <c r="ED14" s="231"/>
      <c r="EE14" s="231"/>
      <c r="EF14" s="231"/>
      <c r="EG14" s="231"/>
      <c r="EH14" s="231"/>
      <c r="EI14" s="231"/>
      <c r="EJ14" s="231"/>
      <c r="EK14" s="231"/>
      <c r="EL14" s="231"/>
      <c r="EM14" s="231"/>
      <c r="EN14" s="231"/>
      <c r="EO14" s="231"/>
      <c r="EP14" s="231"/>
      <c r="EQ14" s="231"/>
    </row>
    <row r="15" spans="1:147" ht="22.9" customHeight="1" outlineLevel="2" x14ac:dyDescent="0.2">
      <c r="A15" s="146" t="s">
        <v>503</v>
      </c>
      <c r="B15" s="53" t="s">
        <v>731</v>
      </c>
      <c r="C15" s="50" t="s">
        <v>133</v>
      </c>
      <c r="D15" s="165" t="s">
        <v>454</v>
      </c>
      <c r="E15" s="158" t="s">
        <v>454</v>
      </c>
      <c r="F15" s="52">
        <f>SUM(H15:DY15)*E15*Table1[[#This Row],[Cycles]]</f>
        <v>0</v>
      </c>
      <c r="G15" s="46">
        <f t="shared" ref="G15:G20" si="12">SUMPRODUCT($H$2:$DY$2,$H15:$DY15)*E15*D15</f>
        <v>0</v>
      </c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7"/>
      <c r="DP15" s="47"/>
      <c r="DQ15" s="47"/>
      <c r="DR15" s="47"/>
      <c r="DS15" s="47"/>
      <c r="DT15" s="47"/>
      <c r="DU15" s="47"/>
      <c r="DV15" s="47"/>
      <c r="DW15" s="47"/>
      <c r="DX15" s="47"/>
      <c r="DY15" s="47"/>
      <c r="DZ15" s="219"/>
      <c r="EA15" s="231"/>
      <c r="EB15" s="231"/>
      <c r="EC15" s="231"/>
      <c r="ED15" s="231"/>
      <c r="EE15" s="231"/>
      <c r="EF15" s="231"/>
      <c r="EG15" s="231"/>
      <c r="EH15" s="231"/>
      <c r="EI15" s="231"/>
      <c r="EJ15" s="231"/>
      <c r="EK15" s="231"/>
      <c r="EL15" s="231"/>
      <c r="EM15" s="231"/>
      <c r="EN15" s="231"/>
      <c r="EO15" s="231"/>
      <c r="EP15" s="231"/>
      <c r="EQ15" s="231"/>
    </row>
    <row r="16" spans="1:147" ht="22.9" customHeight="1" outlineLevel="2" x14ac:dyDescent="0.2">
      <c r="A16" s="146" t="s">
        <v>504</v>
      </c>
      <c r="B16" s="53" t="s">
        <v>480</v>
      </c>
      <c r="C16" s="50" t="s">
        <v>133</v>
      </c>
      <c r="D16" s="165">
        <v>1</v>
      </c>
      <c r="E16" s="158">
        <v>1</v>
      </c>
      <c r="F16" s="52">
        <f>SUM(H16:DY16)*E16*Table1[[#This Row],[Cycles]]</f>
        <v>0</v>
      </c>
      <c r="G16" s="46">
        <f t="shared" si="12"/>
        <v>0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219"/>
      <c r="EA16" s="231"/>
      <c r="EB16" s="231"/>
      <c r="EC16" s="231"/>
      <c r="ED16" s="231"/>
      <c r="EE16" s="231"/>
      <c r="EF16" s="231"/>
      <c r="EG16" s="231"/>
      <c r="EH16" s="231"/>
      <c r="EI16" s="231"/>
      <c r="EJ16" s="231"/>
      <c r="EK16" s="231"/>
      <c r="EL16" s="231"/>
      <c r="EM16" s="231"/>
      <c r="EN16" s="231"/>
      <c r="EO16" s="231"/>
      <c r="EP16" s="231"/>
      <c r="EQ16" s="231"/>
    </row>
    <row r="17" spans="1:147" ht="22.9" customHeight="1" outlineLevel="2" x14ac:dyDescent="0.2">
      <c r="A17" s="146" t="s">
        <v>505</v>
      </c>
      <c r="B17" s="53" t="s">
        <v>18</v>
      </c>
      <c r="C17" s="50" t="s">
        <v>133</v>
      </c>
      <c r="D17" s="165">
        <v>1</v>
      </c>
      <c r="E17" s="158">
        <v>1</v>
      </c>
      <c r="F17" s="52">
        <f>SUM(H17:DY17)*E17*Table1[[#This Row],[Cycles]]</f>
        <v>0</v>
      </c>
      <c r="G17" s="46">
        <f t="shared" si="12"/>
        <v>0</v>
      </c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219"/>
      <c r="EA17" s="231"/>
      <c r="EB17" s="231"/>
      <c r="EC17" s="231"/>
      <c r="ED17" s="231"/>
      <c r="EE17" s="231"/>
      <c r="EF17" s="231"/>
      <c r="EG17" s="231"/>
      <c r="EH17" s="231"/>
      <c r="EI17" s="231"/>
      <c r="EJ17" s="231"/>
      <c r="EK17" s="231"/>
      <c r="EL17" s="231"/>
      <c r="EM17" s="231"/>
      <c r="EN17" s="231"/>
      <c r="EO17" s="231"/>
      <c r="EP17" s="231"/>
      <c r="EQ17" s="231"/>
    </row>
    <row r="18" spans="1:147" ht="22.9" customHeight="1" outlineLevel="2" x14ac:dyDescent="0.2">
      <c r="A18" s="146" t="s">
        <v>506</v>
      </c>
      <c r="B18" s="53" t="s">
        <v>19</v>
      </c>
      <c r="C18" s="50" t="s">
        <v>133</v>
      </c>
      <c r="D18" s="165" t="s">
        <v>454</v>
      </c>
      <c r="E18" s="158">
        <v>1</v>
      </c>
      <c r="F18" s="52">
        <f>SUM(H18:DY18)*E18*Table1[[#This Row],[Cycles]]</f>
        <v>0</v>
      </c>
      <c r="G18" s="46">
        <f t="shared" si="12"/>
        <v>0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219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</row>
    <row r="19" spans="1:147" ht="22.9" customHeight="1" outlineLevel="2" x14ac:dyDescent="0.2">
      <c r="A19" s="146" t="s">
        <v>507</v>
      </c>
      <c r="B19" s="53" t="s">
        <v>20</v>
      </c>
      <c r="C19" s="50" t="s">
        <v>133</v>
      </c>
      <c r="D19" s="165">
        <v>3</v>
      </c>
      <c r="E19" s="158">
        <v>1</v>
      </c>
      <c r="F19" s="52">
        <f>SUM(H19:DY19)*E19*Table1[[#This Row],[Cycles]]</f>
        <v>0</v>
      </c>
      <c r="G19" s="46">
        <f t="shared" si="12"/>
        <v>0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219"/>
      <c r="EA19" s="231"/>
      <c r="EB19" s="231"/>
      <c r="EC19" s="231"/>
      <c r="ED19" s="231"/>
      <c r="EE19" s="231"/>
      <c r="EF19" s="231"/>
      <c r="EG19" s="231"/>
      <c r="EH19" s="231"/>
      <c r="EI19" s="231"/>
      <c r="EJ19" s="231"/>
      <c r="EK19" s="231"/>
      <c r="EL19" s="231"/>
      <c r="EM19" s="231"/>
      <c r="EN19" s="231"/>
      <c r="EO19" s="231"/>
      <c r="EP19" s="231"/>
      <c r="EQ19" s="231"/>
    </row>
    <row r="20" spans="1:147" ht="22.9" customHeight="1" outlineLevel="2" x14ac:dyDescent="0.2">
      <c r="A20" s="146" t="s">
        <v>508</v>
      </c>
      <c r="B20" s="53" t="s">
        <v>21</v>
      </c>
      <c r="C20" s="50" t="s">
        <v>133</v>
      </c>
      <c r="D20" s="165" t="s">
        <v>454</v>
      </c>
      <c r="E20" s="158">
        <v>1</v>
      </c>
      <c r="F20" s="52">
        <f>SUM(H20:DY20)*E20*Table1[[#This Row],[Cycles]]</f>
        <v>0</v>
      </c>
      <c r="G20" s="46">
        <f t="shared" si="12"/>
        <v>0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219"/>
      <c r="EA20" s="231"/>
      <c r="EB20" s="231"/>
      <c r="EC20" s="231"/>
      <c r="ED20" s="231"/>
      <c r="EE20" s="231"/>
      <c r="EF20" s="231"/>
      <c r="EG20" s="231"/>
      <c r="EH20" s="231"/>
      <c r="EI20" s="231"/>
      <c r="EJ20" s="231"/>
      <c r="EK20" s="231"/>
      <c r="EL20" s="231"/>
      <c r="EM20" s="231"/>
      <c r="EN20" s="231"/>
      <c r="EO20" s="231"/>
      <c r="EP20" s="231"/>
      <c r="EQ20" s="231"/>
    </row>
    <row r="21" spans="1:147" ht="22.9" customHeight="1" outlineLevel="1" x14ac:dyDescent="0.2">
      <c r="A21" s="149" t="s">
        <v>509</v>
      </c>
      <c r="B21" s="34" t="s">
        <v>22</v>
      </c>
      <c r="C21" s="30" t="s">
        <v>100</v>
      </c>
      <c r="D21" s="164"/>
      <c r="E21" s="164"/>
      <c r="F21" s="45">
        <f>SUM(F22:F24)</f>
        <v>0</v>
      </c>
      <c r="G21" s="44">
        <f>SUM(G22:G24)</f>
        <v>0</v>
      </c>
      <c r="H21" s="45">
        <f>SUMPRODUCT($E$22:$E$24,$D$22:$D$24,H22:H24)</f>
        <v>0</v>
      </c>
      <c r="I21" s="45">
        <f>SUMPRODUCT($E$22:$E$24,I22:I24,$D$22:$D$24)</f>
        <v>0</v>
      </c>
      <c r="J21" s="45">
        <f t="shared" ref="J21:BT21" si="13">SUMPRODUCT($E$22:$E$24,$D$22:$D$24,J22:J24)</f>
        <v>0</v>
      </c>
      <c r="K21" s="45">
        <f t="shared" si="13"/>
        <v>0</v>
      </c>
      <c r="L21" s="45">
        <f t="shared" si="13"/>
        <v>0</v>
      </c>
      <c r="M21" s="45">
        <f t="shared" si="13"/>
        <v>0</v>
      </c>
      <c r="N21" s="45">
        <f t="shared" si="13"/>
        <v>0</v>
      </c>
      <c r="O21" s="45">
        <f t="shared" si="13"/>
        <v>0</v>
      </c>
      <c r="P21" s="45">
        <f t="shared" si="13"/>
        <v>0</v>
      </c>
      <c r="Q21" s="45">
        <f t="shared" si="13"/>
        <v>0</v>
      </c>
      <c r="R21" s="45">
        <f t="shared" si="13"/>
        <v>0</v>
      </c>
      <c r="S21" s="45">
        <f t="shared" si="13"/>
        <v>0</v>
      </c>
      <c r="T21" s="45">
        <f t="shared" si="13"/>
        <v>0</v>
      </c>
      <c r="U21" s="45">
        <f t="shared" si="13"/>
        <v>0</v>
      </c>
      <c r="V21" s="45">
        <f t="shared" si="13"/>
        <v>0</v>
      </c>
      <c r="W21" s="45">
        <f t="shared" si="13"/>
        <v>0</v>
      </c>
      <c r="X21" s="45">
        <f t="shared" si="13"/>
        <v>0</v>
      </c>
      <c r="Y21" s="45">
        <f t="shared" si="13"/>
        <v>0</v>
      </c>
      <c r="Z21" s="45">
        <f t="shared" si="13"/>
        <v>0</v>
      </c>
      <c r="AA21" s="45">
        <f t="shared" si="13"/>
        <v>0</v>
      </c>
      <c r="AB21" s="45">
        <f t="shared" si="13"/>
        <v>0</v>
      </c>
      <c r="AC21" s="45">
        <f t="shared" si="13"/>
        <v>0</v>
      </c>
      <c r="AD21" s="45">
        <f t="shared" si="13"/>
        <v>0</v>
      </c>
      <c r="AE21" s="45">
        <f t="shared" si="13"/>
        <v>0</v>
      </c>
      <c r="AF21" s="45">
        <f t="shared" si="13"/>
        <v>0</v>
      </c>
      <c r="AG21" s="45">
        <f t="shared" si="13"/>
        <v>0</v>
      </c>
      <c r="AH21" s="45">
        <f t="shared" si="13"/>
        <v>0</v>
      </c>
      <c r="AI21" s="45">
        <f t="shared" si="13"/>
        <v>0</v>
      </c>
      <c r="AJ21" s="45">
        <f t="shared" si="13"/>
        <v>0</v>
      </c>
      <c r="AK21" s="45">
        <f t="shared" si="13"/>
        <v>0</v>
      </c>
      <c r="AL21" s="45">
        <f t="shared" si="13"/>
        <v>0</v>
      </c>
      <c r="AM21" s="45">
        <f t="shared" si="13"/>
        <v>0</v>
      </c>
      <c r="AN21" s="45">
        <f t="shared" si="13"/>
        <v>0</v>
      </c>
      <c r="AO21" s="45">
        <f t="shared" si="13"/>
        <v>0</v>
      </c>
      <c r="AP21" s="45">
        <f t="shared" si="13"/>
        <v>0</v>
      </c>
      <c r="AQ21" s="45">
        <f t="shared" si="13"/>
        <v>0</v>
      </c>
      <c r="AR21" s="45">
        <f t="shared" si="13"/>
        <v>0</v>
      </c>
      <c r="AS21" s="45">
        <f t="shared" si="13"/>
        <v>0</v>
      </c>
      <c r="AT21" s="45">
        <f t="shared" si="13"/>
        <v>0</v>
      </c>
      <c r="AU21" s="45">
        <f t="shared" si="13"/>
        <v>0</v>
      </c>
      <c r="AV21" s="45">
        <f t="shared" si="13"/>
        <v>0</v>
      </c>
      <c r="AW21" s="45">
        <f t="shared" si="13"/>
        <v>0</v>
      </c>
      <c r="AX21" s="45">
        <f t="shared" si="13"/>
        <v>0</v>
      </c>
      <c r="AY21" s="45">
        <f t="shared" si="13"/>
        <v>0</v>
      </c>
      <c r="AZ21" s="45">
        <f t="shared" si="13"/>
        <v>0</v>
      </c>
      <c r="BA21" s="45">
        <f t="shared" si="13"/>
        <v>0</v>
      </c>
      <c r="BB21" s="45">
        <f t="shared" si="13"/>
        <v>0</v>
      </c>
      <c r="BC21" s="45">
        <f t="shared" si="13"/>
        <v>0</v>
      </c>
      <c r="BD21" s="45">
        <f t="shared" si="13"/>
        <v>0</v>
      </c>
      <c r="BE21" s="45">
        <f t="shared" si="13"/>
        <v>0</v>
      </c>
      <c r="BF21" s="45">
        <f t="shared" si="13"/>
        <v>0</v>
      </c>
      <c r="BG21" s="45">
        <f t="shared" si="13"/>
        <v>0</v>
      </c>
      <c r="BH21" s="45">
        <f t="shared" si="13"/>
        <v>0</v>
      </c>
      <c r="BI21" s="45">
        <f t="shared" si="13"/>
        <v>0</v>
      </c>
      <c r="BJ21" s="45">
        <f t="shared" si="13"/>
        <v>0</v>
      </c>
      <c r="BK21" s="45">
        <f t="shared" si="13"/>
        <v>0</v>
      </c>
      <c r="BL21" s="45">
        <f t="shared" si="13"/>
        <v>0</v>
      </c>
      <c r="BM21" s="45">
        <f t="shared" si="13"/>
        <v>0</v>
      </c>
      <c r="BN21" s="45">
        <f t="shared" si="13"/>
        <v>0</v>
      </c>
      <c r="BO21" s="45">
        <f t="shared" si="13"/>
        <v>0</v>
      </c>
      <c r="BP21" s="45">
        <f>SUMPRODUCT($E$22:$E$24,$D$22:$D$24,BP22:BP24)</f>
        <v>0</v>
      </c>
      <c r="BQ21" s="45">
        <f t="shared" si="13"/>
        <v>0</v>
      </c>
      <c r="BR21" s="45">
        <f t="shared" si="13"/>
        <v>0</v>
      </c>
      <c r="BS21" s="45">
        <f t="shared" si="13"/>
        <v>0</v>
      </c>
      <c r="BT21" s="45">
        <f t="shared" si="13"/>
        <v>0</v>
      </c>
      <c r="BU21" s="45">
        <f t="shared" ref="BU21:DY21" si="14">SUMPRODUCT($E$22:$E$24,$D$22:$D$24,BU22:BU24)</f>
        <v>0</v>
      </c>
      <c r="BV21" s="45">
        <f t="shared" si="14"/>
        <v>0</v>
      </c>
      <c r="BW21" s="45">
        <f t="shared" si="14"/>
        <v>0</v>
      </c>
      <c r="BX21" s="45">
        <f t="shared" si="14"/>
        <v>0</v>
      </c>
      <c r="BY21" s="45">
        <f t="shared" si="14"/>
        <v>0</v>
      </c>
      <c r="BZ21" s="45">
        <f t="shared" si="14"/>
        <v>0</v>
      </c>
      <c r="CA21" s="45">
        <f t="shared" si="14"/>
        <v>0</v>
      </c>
      <c r="CB21" s="45">
        <f t="shared" si="14"/>
        <v>0</v>
      </c>
      <c r="CC21" s="45">
        <f t="shared" si="14"/>
        <v>0</v>
      </c>
      <c r="CD21" s="45">
        <f t="shared" si="14"/>
        <v>0</v>
      </c>
      <c r="CE21" s="45">
        <f t="shared" si="14"/>
        <v>0</v>
      </c>
      <c r="CF21" s="45">
        <f t="shared" si="14"/>
        <v>0</v>
      </c>
      <c r="CG21" s="45">
        <f t="shared" si="14"/>
        <v>0</v>
      </c>
      <c r="CH21" s="45">
        <f t="shared" si="14"/>
        <v>0</v>
      </c>
      <c r="CI21" s="45">
        <f t="shared" si="14"/>
        <v>0</v>
      </c>
      <c r="CJ21" s="45">
        <f t="shared" si="14"/>
        <v>0</v>
      </c>
      <c r="CK21" s="45">
        <f t="shared" si="14"/>
        <v>0</v>
      </c>
      <c r="CL21" s="45">
        <f t="shared" si="14"/>
        <v>0</v>
      </c>
      <c r="CM21" s="45">
        <f t="shared" si="14"/>
        <v>0</v>
      </c>
      <c r="CN21" s="45">
        <f t="shared" si="14"/>
        <v>0</v>
      </c>
      <c r="CO21" s="45">
        <f t="shared" si="14"/>
        <v>0</v>
      </c>
      <c r="CP21" s="45">
        <f t="shared" si="14"/>
        <v>0</v>
      </c>
      <c r="CQ21" s="45">
        <f t="shared" si="14"/>
        <v>0</v>
      </c>
      <c r="CR21" s="45">
        <f t="shared" si="14"/>
        <v>0</v>
      </c>
      <c r="CS21" s="45">
        <f t="shared" si="14"/>
        <v>0</v>
      </c>
      <c r="CT21" s="45">
        <f t="shared" si="14"/>
        <v>0</v>
      </c>
      <c r="CU21" s="45">
        <f t="shared" si="14"/>
        <v>0</v>
      </c>
      <c r="CV21" s="45">
        <f t="shared" si="14"/>
        <v>0</v>
      </c>
      <c r="CW21" s="45">
        <f t="shared" si="14"/>
        <v>0</v>
      </c>
      <c r="CX21" s="45">
        <f t="shared" si="14"/>
        <v>0</v>
      </c>
      <c r="CY21" s="45">
        <f t="shared" si="14"/>
        <v>0</v>
      </c>
      <c r="CZ21" s="45">
        <f t="shared" si="14"/>
        <v>0</v>
      </c>
      <c r="DA21" s="45">
        <f t="shared" si="14"/>
        <v>0</v>
      </c>
      <c r="DB21" s="45">
        <f t="shared" si="14"/>
        <v>0</v>
      </c>
      <c r="DC21" s="45">
        <f t="shared" si="14"/>
        <v>0</v>
      </c>
      <c r="DD21" s="45">
        <f t="shared" si="14"/>
        <v>0</v>
      </c>
      <c r="DE21" s="45">
        <f t="shared" si="14"/>
        <v>0</v>
      </c>
      <c r="DF21" s="45">
        <f t="shared" si="14"/>
        <v>0</v>
      </c>
      <c r="DG21" s="45">
        <f t="shared" si="14"/>
        <v>0</v>
      </c>
      <c r="DH21" s="45">
        <f t="shared" si="14"/>
        <v>0</v>
      </c>
      <c r="DI21" s="45">
        <f t="shared" si="14"/>
        <v>0</v>
      </c>
      <c r="DJ21" s="45">
        <f t="shared" si="14"/>
        <v>0</v>
      </c>
      <c r="DK21" s="45">
        <f t="shared" si="14"/>
        <v>0</v>
      </c>
      <c r="DL21" s="45">
        <f t="shared" si="14"/>
        <v>0</v>
      </c>
      <c r="DM21" s="45">
        <f t="shared" si="14"/>
        <v>0</v>
      </c>
      <c r="DN21" s="45">
        <f t="shared" si="14"/>
        <v>0</v>
      </c>
      <c r="DO21" s="45">
        <f t="shared" si="14"/>
        <v>0</v>
      </c>
      <c r="DP21" s="45">
        <f t="shared" si="14"/>
        <v>0</v>
      </c>
      <c r="DQ21" s="45">
        <f t="shared" si="14"/>
        <v>0</v>
      </c>
      <c r="DR21" s="45">
        <f t="shared" si="14"/>
        <v>0</v>
      </c>
      <c r="DS21" s="45">
        <f t="shared" si="14"/>
        <v>0</v>
      </c>
      <c r="DT21" s="45">
        <f t="shared" si="14"/>
        <v>0</v>
      </c>
      <c r="DU21" s="45">
        <f t="shared" si="14"/>
        <v>0</v>
      </c>
      <c r="DV21" s="45">
        <f t="shared" si="14"/>
        <v>0</v>
      </c>
      <c r="DW21" s="45">
        <f t="shared" si="14"/>
        <v>0</v>
      </c>
      <c r="DX21" s="45">
        <f t="shared" si="14"/>
        <v>0</v>
      </c>
      <c r="DY21" s="45">
        <f t="shared" si="14"/>
        <v>0</v>
      </c>
      <c r="DZ21" s="218"/>
      <c r="EA21" s="231"/>
      <c r="EB21" s="231"/>
      <c r="EC21" s="231"/>
      <c r="ED21" s="231"/>
      <c r="EE21" s="231"/>
      <c r="EF21" s="231"/>
      <c r="EG21" s="231"/>
      <c r="EH21" s="231"/>
      <c r="EI21" s="231"/>
      <c r="EJ21" s="231"/>
      <c r="EK21" s="231"/>
      <c r="EL21" s="231"/>
      <c r="EM21" s="231"/>
      <c r="EN21" s="231"/>
      <c r="EO21" s="231"/>
      <c r="EP21" s="231"/>
      <c r="EQ21" s="231"/>
    </row>
    <row r="22" spans="1:147" ht="22.9" customHeight="1" outlineLevel="2" x14ac:dyDescent="0.2">
      <c r="A22" s="146" t="s">
        <v>510</v>
      </c>
      <c r="B22" s="53" t="s">
        <v>23</v>
      </c>
      <c r="C22" s="50" t="s">
        <v>133</v>
      </c>
      <c r="D22" s="165">
        <v>1</v>
      </c>
      <c r="E22" s="158">
        <v>1</v>
      </c>
      <c r="F22" s="52">
        <f>SUM(H22:DY22)*E22*Table1[[#This Row],[Cycles]]</f>
        <v>0</v>
      </c>
      <c r="G22" s="46">
        <f>SUMPRODUCT($H$2:$DY$2,$H22:$DY22)*E22*D22</f>
        <v>0</v>
      </c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219"/>
      <c r="EA22" s="231"/>
      <c r="EB22" s="231"/>
      <c r="EC22" s="231"/>
      <c r="ED22" s="231"/>
      <c r="EE22" s="231"/>
      <c r="EF22" s="231"/>
      <c r="EG22" s="231"/>
      <c r="EH22" s="231"/>
      <c r="EI22" s="231"/>
      <c r="EJ22" s="231"/>
      <c r="EK22" s="231"/>
      <c r="EL22" s="231"/>
      <c r="EM22" s="231"/>
      <c r="EN22" s="231"/>
      <c r="EO22" s="231"/>
      <c r="EP22" s="231"/>
      <c r="EQ22" s="231"/>
    </row>
    <row r="23" spans="1:147" ht="22.9" customHeight="1" outlineLevel="2" x14ac:dyDescent="0.2">
      <c r="A23" s="146" t="s">
        <v>511</v>
      </c>
      <c r="B23" s="53" t="s">
        <v>24</v>
      </c>
      <c r="C23" s="50" t="s">
        <v>133</v>
      </c>
      <c r="D23" s="165">
        <v>1</v>
      </c>
      <c r="E23" s="158">
        <v>1</v>
      </c>
      <c r="F23" s="52">
        <f>SUM(H23:DY23)*E23*Table1[[#This Row],[Cycles]]</f>
        <v>0</v>
      </c>
      <c r="G23" s="46">
        <f>SUMPRODUCT($H$2:$DY$2,$H23:$DY23)*E23*D23</f>
        <v>0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219"/>
      <c r="EA23" s="231"/>
      <c r="EB23" s="231"/>
      <c r="EC23" s="231"/>
      <c r="ED23" s="231"/>
      <c r="EE23" s="231"/>
      <c r="EF23" s="231"/>
      <c r="EG23" s="231"/>
      <c r="EH23" s="231"/>
      <c r="EI23" s="231"/>
      <c r="EJ23" s="231"/>
      <c r="EK23" s="231"/>
      <c r="EL23" s="231"/>
      <c r="EM23" s="231"/>
      <c r="EN23" s="231"/>
      <c r="EO23" s="231"/>
      <c r="EP23" s="231"/>
      <c r="EQ23" s="231"/>
    </row>
    <row r="24" spans="1:147" ht="22.9" customHeight="1" outlineLevel="2" x14ac:dyDescent="0.2">
      <c r="A24" s="146" t="s">
        <v>512</v>
      </c>
      <c r="B24" s="53" t="s">
        <v>793</v>
      </c>
      <c r="C24" s="50" t="s">
        <v>133</v>
      </c>
      <c r="D24" s="165">
        <v>1</v>
      </c>
      <c r="E24" s="158">
        <v>1</v>
      </c>
      <c r="F24" s="52">
        <f>SUM(H24:DY24)*E24*Table1[[#This Row],[Cycles]]</f>
        <v>0</v>
      </c>
      <c r="G24" s="46">
        <f>SUMPRODUCT($H$2:$DY$2,$H24:$DY24)*E24*D24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219"/>
      <c r="EA24" s="231"/>
      <c r="EB24" s="231"/>
      <c r="EC24" s="231"/>
      <c r="ED24" s="231"/>
      <c r="EE24" s="231"/>
      <c r="EF24" s="231"/>
      <c r="EG24" s="231"/>
      <c r="EH24" s="231"/>
      <c r="EI24" s="231"/>
      <c r="EJ24" s="231"/>
      <c r="EK24" s="231"/>
      <c r="EL24" s="231"/>
      <c r="EM24" s="231"/>
      <c r="EN24" s="231"/>
      <c r="EO24" s="231"/>
      <c r="EP24" s="231"/>
      <c r="EQ24" s="231"/>
    </row>
    <row r="25" spans="1:147" ht="22.9" customHeight="1" outlineLevel="1" x14ac:dyDescent="0.2">
      <c r="A25" s="149" t="s">
        <v>513</v>
      </c>
      <c r="B25" s="34" t="s">
        <v>482</v>
      </c>
      <c r="C25" s="30" t="s">
        <v>100</v>
      </c>
      <c r="D25" s="164"/>
      <c r="E25" s="164"/>
      <c r="F25" s="45">
        <f>SUM(F26:F31)</f>
        <v>0</v>
      </c>
      <c r="G25" s="44">
        <f>SUM(G26:G31)</f>
        <v>0</v>
      </c>
      <c r="H25" s="45">
        <f>SUMPRODUCT($E$26:$E$31,$D$26:$D$31,H26:H31)</f>
        <v>0</v>
      </c>
      <c r="I25" s="45">
        <f>SUMPRODUCT($E$26:$E$31,$D$26:$D$31,I26:I31)</f>
        <v>0</v>
      </c>
      <c r="J25" s="45">
        <f t="shared" ref="J25:BT25" si="15">SUMPRODUCT($E$26:$E$31,$D$26:$D$31,J26:J31)</f>
        <v>0</v>
      </c>
      <c r="K25" s="45">
        <f t="shared" si="15"/>
        <v>0</v>
      </c>
      <c r="L25" s="45">
        <f t="shared" si="15"/>
        <v>0</v>
      </c>
      <c r="M25" s="45">
        <f t="shared" si="15"/>
        <v>0</v>
      </c>
      <c r="N25" s="45">
        <f t="shared" si="15"/>
        <v>0</v>
      </c>
      <c r="O25" s="45">
        <f t="shared" si="15"/>
        <v>0</v>
      </c>
      <c r="P25" s="45">
        <f t="shared" si="15"/>
        <v>0</v>
      </c>
      <c r="Q25" s="45">
        <f t="shared" si="15"/>
        <v>0</v>
      </c>
      <c r="R25" s="45">
        <f t="shared" si="15"/>
        <v>0</v>
      </c>
      <c r="S25" s="45">
        <f t="shared" si="15"/>
        <v>0</v>
      </c>
      <c r="T25" s="45">
        <f t="shared" si="15"/>
        <v>0</v>
      </c>
      <c r="U25" s="45">
        <f t="shared" si="15"/>
        <v>0</v>
      </c>
      <c r="V25" s="45">
        <f t="shared" si="15"/>
        <v>0</v>
      </c>
      <c r="W25" s="45">
        <f t="shared" si="15"/>
        <v>0</v>
      </c>
      <c r="X25" s="45">
        <f t="shared" si="15"/>
        <v>0</v>
      </c>
      <c r="Y25" s="45">
        <f t="shared" si="15"/>
        <v>0</v>
      </c>
      <c r="Z25" s="45">
        <f t="shared" si="15"/>
        <v>0</v>
      </c>
      <c r="AA25" s="45">
        <f t="shared" si="15"/>
        <v>0</v>
      </c>
      <c r="AB25" s="45">
        <f t="shared" si="15"/>
        <v>0</v>
      </c>
      <c r="AC25" s="45">
        <f t="shared" si="15"/>
        <v>0</v>
      </c>
      <c r="AD25" s="45">
        <f t="shared" si="15"/>
        <v>0</v>
      </c>
      <c r="AE25" s="45">
        <f t="shared" si="15"/>
        <v>0</v>
      </c>
      <c r="AF25" s="45">
        <f t="shared" si="15"/>
        <v>0</v>
      </c>
      <c r="AG25" s="45">
        <f t="shared" si="15"/>
        <v>0</v>
      </c>
      <c r="AH25" s="45">
        <f t="shared" si="15"/>
        <v>0</v>
      </c>
      <c r="AI25" s="45">
        <f t="shared" si="15"/>
        <v>0</v>
      </c>
      <c r="AJ25" s="45">
        <f t="shared" si="15"/>
        <v>0</v>
      </c>
      <c r="AK25" s="45">
        <f t="shared" si="15"/>
        <v>0</v>
      </c>
      <c r="AL25" s="45">
        <f t="shared" si="15"/>
        <v>0</v>
      </c>
      <c r="AM25" s="45">
        <f t="shared" si="15"/>
        <v>0</v>
      </c>
      <c r="AN25" s="45">
        <f t="shared" si="15"/>
        <v>0</v>
      </c>
      <c r="AO25" s="45">
        <f t="shared" si="15"/>
        <v>0</v>
      </c>
      <c r="AP25" s="45">
        <f t="shared" si="15"/>
        <v>0</v>
      </c>
      <c r="AQ25" s="45">
        <f t="shared" si="15"/>
        <v>0</v>
      </c>
      <c r="AR25" s="45">
        <f t="shared" si="15"/>
        <v>0</v>
      </c>
      <c r="AS25" s="45">
        <f t="shared" si="15"/>
        <v>0</v>
      </c>
      <c r="AT25" s="45">
        <f t="shared" si="15"/>
        <v>0</v>
      </c>
      <c r="AU25" s="45">
        <f t="shared" si="15"/>
        <v>0</v>
      </c>
      <c r="AV25" s="45">
        <f t="shared" si="15"/>
        <v>0</v>
      </c>
      <c r="AW25" s="45">
        <f t="shared" si="15"/>
        <v>0</v>
      </c>
      <c r="AX25" s="45">
        <f t="shared" si="15"/>
        <v>0</v>
      </c>
      <c r="AY25" s="45">
        <f t="shared" si="15"/>
        <v>0</v>
      </c>
      <c r="AZ25" s="45">
        <f t="shared" si="15"/>
        <v>0</v>
      </c>
      <c r="BA25" s="45">
        <f t="shared" si="15"/>
        <v>0</v>
      </c>
      <c r="BB25" s="45">
        <f t="shared" si="15"/>
        <v>0</v>
      </c>
      <c r="BC25" s="45">
        <f t="shared" si="15"/>
        <v>0</v>
      </c>
      <c r="BD25" s="45">
        <f t="shared" si="15"/>
        <v>0</v>
      </c>
      <c r="BE25" s="45">
        <f t="shared" si="15"/>
        <v>0</v>
      </c>
      <c r="BF25" s="45">
        <f t="shared" si="15"/>
        <v>0</v>
      </c>
      <c r="BG25" s="45">
        <f t="shared" si="15"/>
        <v>0</v>
      </c>
      <c r="BH25" s="45">
        <f t="shared" si="15"/>
        <v>0</v>
      </c>
      <c r="BI25" s="45">
        <f t="shared" si="15"/>
        <v>0</v>
      </c>
      <c r="BJ25" s="45">
        <f t="shared" si="15"/>
        <v>0</v>
      </c>
      <c r="BK25" s="45">
        <f t="shared" si="15"/>
        <v>0</v>
      </c>
      <c r="BL25" s="45">
        <f t="shared" si="15"/>
        <v>0</v>
      </c>
      <c r="BM25" s="45">
        <f t="shared" si="15"/>
        <v>0</v>
      </c>
      <c r="BN25" s="45">
        <f t="shared" si="15"/>
        <v>0</v>
      </c>
      <c r="BO25" s="45">
        <f>SUMPRODUCT($E$26:$E$31,$D$26:$D$31,BO26:BO31)</f>
        <v>0</v>
      </c>
      <c r="BP25" s="45">
        <f>SUMPRODUCT($E$26:$E$31,$D$26:$D$31,BP26:BP31)</f>
        <v>0</v>
      </c>
      <c r="BQ25" s="45">
        <f t="shared" si="15"/>
        <v>0</v>
      </c>
      <c r="BR25" s="45">
        <f t="shared" si="15"/>
        <v>0</v>
      </c>
      <c r="BS25" s="45">
        <f t="shared" si="15"/>
        <v>0</v>
      </c>
      <c r="BT25" s="45">
        <f t="shared" si="15"/>
        <v>0</v>
      </c>
      <c r="BU25" s="45">
        <f t="shared" ref="BU25:DY25" si="16">SUMPRODUCT($E$26:$E$31,$D$26:$D$31,BU26:BU31)</f>
        <v>0</v>
      </c>
      <c r="BV25" s="45">
        <f t="shared" si="16"/>
        <v>0</v>
      </c>
      <c r="BW25" s="45">
        <f t="shared" si="16"/>
        <v>0</v>
      </c>
      <c r="BX25" s="45">
        <f t="shared" si="16"/>
        <v>0</v>
      </c>
      <c r="BY25" s="45">
        <f t="shared" si="16"/>
        <v>0</v>
      </c>
      <c r="BZ25" s="45">
        <f t="shared" si="16"/>
        <v>0</v>
      </c>
      <c r="CA25" s="45">
        <f t="shared" si="16"/>
        <v>0</v>
      </c>
      <c r="CB25" s="45">
        <f t="shared" si="16"/>
        <v>0</v>
      </c>
      <c r="CC25" s="45">
        <f t="shared" si="16"/>
        <v>0</v>
      </c>
      <c r="CD25" s="45">
        <f t="shared" si="16"/>
        <v>0</v>
      </c>
      <c r="CE25" s="45">
        <f t="shared" si="16"/>
        <v>0</v>
      </c>
      <c r="CF25" s="45">
        <f t="shared" si="16"/>
        <v>0</v>
      </c>
      <c r="CG25" s="45">
        <f t="shared" si="16"/>
        <v>0</v>
      </c>
      <c r="CH25" s="45">
        <f t="shared" si="16"/>
        <v>0</v>
      </c>
      <c r="CI25" s="45">
        <f t="shared" si="16"/>
        <v>0</v>
      </c>
      <c r="CJ25" s="45">
        <f t="shared" si="16"/>
        <v>0</v>
      </c>
      <c r="CK25" s="45">
        <f t="shared" si="16"/>
        <v>0</v>
      </c>
      <c r="CL25" s="45">
        <f t="shared" si="16"/>
        <v>0</v>
      </c>
      <c r="CM25" s="45">
        <f t="shared" si="16"/>
        <v>0</v>
      </c>
      <c r="CN25" s="45">
        <f t="shared" si="16"/>
        <v>0</v>
      </c>
      <c r="CO25" s="45">
        <f t="shared" si="16"/>
        <v>0</v>
      </c>
      <c r="CP25" s="45">
        <f t="shared" si="16"/>
        <v>0</v>
      </c>
      <c r="CQ25" s="45">
        <f t="shared" si="16"/>
        <v>0</v>
      </c>
      <c r="CR25" s="45">
        <f t="shared" si="16"/>
        <v>0</v>
      </c>
      <c r="CS25" s="45">
        <f t="shared" si="16"/>
        <v>0</v>
      </c>
      <c r="CT25" s="45">
        <f t="shared" si="16"/>
        <v>0</v>
      </c>
      <c r="CU25" s="45">
        <f t="shared" si="16"/>
        <v>0</v>
      </c>
      <c r="CV25" s="45">
        <f t="shared" si="16"/>
        <v>0</v>
      </c>
      <c r="CW25" s="45">
        <f t="shared" si="16"/>
        <v>0</v>
      </c>
      <c r="CX25" s="45">
        <f t="shared" si="16"/>
        <v>0</v>
      </c>
      <c r="CY25" s="45">
        <f t="shared" si="16"/>
        <v>0</v>
      </c>
      <c r="CZ25" s="45">
        <f t="shared" si="16"/>
        <v>0</v>
      </c>
      <c r="DA25" s="45">
        <f t="shared" si="16"/>
        <v>0</v>
      </c>
      <c r="DB25" s="45">
        <f t="shared" si="16"/>
        <v>0</v>
      </c>
      <c r="DC25" s="45">
        <f t="shared" si="16"/>
        <v>0</v>
      </c>
      <c r="DD25" s="45">
        <f t="shared" si="16"/>
        <v>0</v>
      </c>
      <c r="DE25" s="45">
        <f t="shared" si="16"/>
        <v>0</v>
      </c>
      <c r="DF25" s="45">
        <f t="shared" si="16"/>
        <v>0</v>
      </c>
      <c r="DG25" s="45">
        <f t="shared" si="16"/>
        <v>0</v>
      </c>
      <c r="DH25" s="45">
        <f t="shared" si="16"/>
        <v>0</v>
      </c>
      <c r="DI25" s="45">
        <f t="shared" si="16"/>
        <v>0</v>
      </c>
      <c r="DJ25" s="45">
        <f t="shared" si="16"/>
        <v>0</v>
      </c>
      <c r="DK25" s="45">
        <f t="shared" si="16"/>
        <v>0</v>
      </c>
      <c r="DL25" s="45">
        <f t="shared" si="16"/>
        <v>0</v>
      </c>
      <c r="DM25" s="45">
        <f t="shared" si="16"/>
        <v>0</v>
      </c>
      <c r="DN25" s="45">
        <f t="shared" si="16"/>
        <v>0</v>
      </c>
      <c r="DO25" s="45">
        <f t="shared" si="16"/>
        <v>0</v>
      </c>
      <c r="DP25" s="45">
        <f t="shared" si="16"/>
        <v>0</v>
      </c>
      <c r="DQ25" s="45">
        <f t="shared" si="16"/>
        <v>0</v>
      </c>
      <c r="DR25" s="45">
        <f t="shared" si="16"/>
        <v>0</v>
      </c>
      <c r="DS25" s="45">
        <f t="shared" si="16"/>
        <v>0</v>
      </c>
      <c r="DT25" s="45">
        <f t="shared" si="16"/>
        <v>0</v>
      </c>
      <c r="DU25" s="45">
        <f t="shared" si="16"/>
        <v>0</v>
      </c>
      <c r="DV25" s="45">
        <f t="shared" si="16"/>
        <v>0</v>
      </c>
      <c r="DW25" s="45">
        <f t="shared" si="16"/>
        <v>0</v>
      </c>
      <c r="DX25" s="45">
        <f t="shared" si="16"/>
        <v>0</v>
      </c>
      <c r="DY25" s="45">
        <f t="shared" si="16"/>
        <v>0</v>
      </c>
      <c r="DZ25" s="218"/>
      <c r="EA25" s="231"/>
      <c r="EB25" s="231"/>
      <c r="EC25" s="231"/>
      <c r="ED25" s="231"/>
      <c r="EE25" s="231"/>
      <c r="EF25" s="231"/>
      <c r="EG25" s="231"/>
      <c r="EH25" s="231"/>
      <c r="EI25" s="231"/>
      <c r="EJ25" s="231"/>
      <c r="EK25" s="231"/>
      <c r="EL25" s="231"/>
      <c r="EM25" s="231"/>
      <c r="EN25" s="231"/>
      <c r="EO25" s="231"/>
      <c r="EP25" s="231"/>
      <c r="EQ25" s="231"/>
    </row>
    <row r="26" spans="1:147" ht="22.9" customHeight="1" outlineLevel="2" x14ac:dyDescent="0.2">
      <c r="A26" s="146" t="s">
        <v>514</v>
      </c>
      <c r="B26" s="53" t="s">
        <v>7</v>
      </c>
      <c r="C26" s="50" t="s">
        <v>133</v>
      </c>
      <c r="D26" s="165">
        <v>1</v>
      </c>
      <c r="E26" s="158">
        <v>1</v>
      </c>
      <c r="F26" s="52">
        <f>SUM(H26:DY26)*E26*Table1[[#This Row],[Cycles]]</f>
        <v>0</v>
      </c>
      <c r="G26" s="46">
        <f t="shared" ref="G26:G31" si="17">SUMPRODUCT($H$2:$DY$2,$H26:$DY26)*E26*D26</f>
        <v>0</v>
      </c>
      <c r="H26" s="93"/>
      <c r="I26" s="93"/>
      <c r="J26" s="93"/>
      <c r="K26" s="93"/>
      <c r="L26" s="93"/>
      <c r="M26" s="93"/>
      <c r="N26" s="93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219"/>
      <c r="EA26" s="231"/>
      <c r="EB26" s="231"/>
      <c r="EC26" s="231"/>
      <c r="ED26" s="231"/>
      <c r="EE26" s="231"/>
      <c r="EF26" s="231"/>
      <c r="EG26" s="231"/>
      <c r="EH26" s="231"/>
      <c r="EI26" s="231"/>
      <c r="EJ26" s="231"/>
      <c r="EK26" s="231"/>
      <c r="EL26" s="231"/>
      <c r="EM26" s="231"/>
      <c r="EN26" s="231"/>
      <c r="EO26" s="231"/>
      <c r="EP26" s="231"/>
      <c r="EQ26" s="231"/>
    </row>
    <row r="27" spans="1:147" ht="22.9" customHeight="1" outlineLevel="2" x14ac:dyDescent="0.2">
      <c r="A27" s="146" t="s">
        <v>515</v>
      </c>
      <c r="B27" s="53" t="s">
        <v>8</v>
      </c>
      <c r="C27" s="50" t="s">
        <v>133</v>
      </c>
      <c r="D27" s="168">
        <v>1</v>
      </c>
      <c r="E27" s="158">
        <v>1</v>
      </c>
      <c r="F27" s="52">
        <f>SUM(H27:DY27)*E27*Table1[[#This Row],[Cycles]]</f>
        <v>0</v>
      </c>
      <c r="G27" s="46">
        <f t="shared" si="17"/>
        <v>0</v>
      </c>
      <c r="H27" s="93"/>
      <c r="I27" s="93"/>
      <c r="J27" s="93"/>
      <c r="K27" s="93"/>
      <c r="L27" s="93"/>
      <c r="M27" s="93"/>
      <c r="N27" s="93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219"/>
      <c r="EA27" s="231"/>
      <c r="EB27" s="231"/>
      <c r="EC27" s="231"/>
      <c r="ED27" s="231"/>
      <c r="EE27" s="231"/>
      <c r="EF27" s="231"/>
      <c r="EG27" s="231"/>
      <c r="EH27" s="231"/>
      <c r="EI27" s="231"/>
      <c r="EJ27" s="231"/>
      <c r="EK27" s="231"/>
      <c r="EL27" s="231"/>
      <c r="EM27" s="231"/>
      <c r="EN27" s="231"/>
      <c r="EO27" s="231"/>
      <c r="EP27" s="231"/>
      <c r="EQ27" s="231"/>
    </row>
    <row r="28" spans="1:147" ht="22.9" customHeight="1" outlineLevel="2" x14ac:dyDescent="0.2">
      <c r="A28" s="146" t="s">
        <v>516</v>
      </c>
      <c r="B28" s="53" t="s">
        <v>411</v>
      </c>
      <c r="C28" s="50" t="s">
        <v>133</v>
      </c>
      <c r="D28" s="165">
        <v>1</v>
      </c>
      <c r="E28" s="158">
        <v>1</v>
      </c>
      <c r="F28" s="52">
        <f>SUM(H28:DY28)*E28*Table1[[#This Row],[Cycles]]</f>
        <v>0</v>
      </c>
      <c r="G28" s="46">
        <f t="shared" si="17"/>
        <v>0</v>
      </c>
      <c r="H28" s="93"/>
      <c r="I28" s="93"/>
      <c r="J28" s="93"/>
      <c r="K28" s="93"/>
      <c r="L28" s="93"/>
      <c r="M28" s="93"/>
      <c r="N28" s="93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47"/>
      <c r="DP28" s="47"/>
      <c r="DQ28" s="47"/>
      <c r="DR28" s="47"/>
      <c r="DS28" s="47"/>
      <c r="DT28" s="47"/>
      <c r="DU28" s="47"/>
      <c r="DV28" s="47"/>
      <c r="DW28" s="47"/>
      <c r="DX28" s="47"/>
      <c r="DY28" s="47"/>
      <c r="DZ28" s="219"/>
      <c r="EA28" s="231"/>
      <c r="EB28" s="231"/>
      <c r="EC28" s="231"/>
      <c r="ED28" s="231"/>
      <c r="EE28" s="231"/>
      <c r="EF28" s="231"/>
      <c r="EG28" s="231"/>
      <c r="EH28" s="231"/>
      <c r="EI28" s="231"/>
      <c r="EJ28" s="231"/>
      <c r="EK28" s="231"/>
      <c r="EL28" s="231"/>
      <c r="EM28" s="231"/>
      <c r="EN28" s="231"/>
      <c r="EO28" s="231"/>
      <c r="EP28" s="231"/>
      <c r="EQ28" s="231"/>
    </row>
    <row r="29" spans="1:147" ht="22.9" customHeight="1" outlineLevel="2" x14ac:dyDescent="0.2">
      <c r="A29" s="146" t="s">
        <v>517</v>
      </c>
      <c r="B29" s="53" t="s">
        <v>6</v>
      </c>
      <c r="C29" s="50" t="s">
        <v>133</v>
      </c>
      <c r="D29" s="165">
        <v>1</v>
      </c>
      <c r="E29" s="158">
        <v>2</v>
      </c>
      <c r="F29" s="52">
        <f>SUM(H29:DY29)*E29*Table1[[#This Row],[Cycles]]</f>
        <v>0</v>
      </c>
      <c r="G29" s="46">
        <f t="shared" si="17"/>
        <v>0</v>
      </c>
      <c r="H29" s="93"/>
      <c r="I29" s="93"/>
      <c r="J29" s="93"/>
      <c r="K29" s="93"/>
      <c r="L29" s="93"/>
      <c r="M29" s="93"/>
      <c r="N29" s="93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219"/>
      <c r="EA29" s="231"/>
      <c r="EB29" s="231"/>
      <c r="EC29" s="231"/>
      <c r="ED29" s="231"/>
      <c r="EE29" s="231"/>
      <c r="EF29" s="231"/>
      <c r="EG29" s="231"/>
      <c r="EH29" s="231"/>
      <c r="EI29" s="231"/>
      <c r="EJ29" s="231"/>
      <c r="EK29" s="231"/>
      <c r="EL29" s="231"/>
      <c r="EM29" s="231"/>
      <c r="EN29" s="231"/>
      <c r="EO29" s="231"/>
      <c r="EP29" s="231"/>
      <c r="EQ29" s="231"/>
    </row>
    <row r="30" spans="1:147" ht="22.9" customHeight="1" outlineLevel="2" x14ac:dyDescent="0.2">
      <c r="A30" s="146" t="s">
        <v>518</v>
      </c>
      <c r="B30" s="53" t="s">
        <v>9</v>
      </c>
      <c r="C30" s="50" t="s">
        <v>133</v>
      </c>
      <c r="D30" s="165">
        <v>1</v>
      </c>
      <c r="E30" s="158">
        <v>1</v>
      </c>
      <c r="F30" s="52">
        <f>SUM(H30:DY30)*E30*Table1[[#This Row],[Cycles]]</f>
        <v>0</v>
      </c>
      <c r="G30" s="46">
        <f t="shared" si="17"/>
        <v>0</v>
      </c>
      <c r="H30" s="93"/>
      <c r="I30" s="93"/>
      <c r="J30" s="93"/>
      <c r="K30" s="93"/>
      <c r="L30" s="93"/>
      <c r="M30" s="93"/>
      <c r="N30" s="93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7"/>
      <c r="CJ30" s="47"/>
      <c r="CK30" s="47"/>
      <c r="CL30" s="47"/>
      <c r="CM30" s="47"/>
      <c r="CN30" s="47"/>
      <c r="CO30" s="47"/>
      <c r="CP30" s="47"/>
      <c r="CQ30" s="47"/>
      <c r="CR30" s="47"/>
      <c r="CS30" s="47"/>
      <c r="CT30" s="47"/>
      <c r="CU30" s="47"/>
      <c r="CV30" s="47"/>
      <c r="CW30" s="47"/>
      <c r="CX30" s="47"/>
      <c r="CY30" s="47"/>
      <c r="CZ30" s="47"/>
      <c r="DA30" s="47"/>
      <c r="DB30" s="47"/>
      <c r="DC30" s="47"/>
      <c r="DD30" s="47"/>
      <c r="DE30" s="47"/>
      <c r="DF30" s="47"/>
      <c r="DG30" s="47"/>
      <c r="DH30" s="47"/>
      <c r="DI30" s="47"/>
      <c r="DJ30" s="47"/>
      <c r="DK30" s="47"/>
      <c r="DL30" s="47"/>
      <c r="DM30" s="47"/>
      <c r="DN30" s="47"/>
      <c r="DO30" s="47"/>
      <c r="DP30" s="47"/>
      <c r="DQ30" s="47"/>
      <c r="DR30" s="47"/>
      <c r="DS30" s="47"/>
      <c r="DT30" s="47"/>
      <c r="DU30" s="47"/>
      <c r="DV30" s="47"/>
      <c r="DW30" s="47"/>
      <c r="DX30" s="47"/>
      <c r="DY30" s="47"/>
      <c r="DZ30" s="219"/>
      <c r="EA30" s="231"/>
      <c r="EB30" s="231"/>
      <c r="EC30" s="231"/>
      <c r="ED30" s="231"/>
      <c r="EE30" s="231"/>
      <c r="EF30" s="231"/>
      <c r="EG30" s="231"/>
      <c r="EH30" s="231"/>
      <c r="EI30" s="231"/>
      <c r="EJ30" s="231"/>
      <c r="EK30" s="231"/>
      <c r="EL30" s="231"/>
      <c r="EM30" s="231"/>
      <c r="EN30" s="231"/>
      <c r="EO30" s="231"/>
      <c r="EP30" s="231"/>
      <c r="EQ30" s="231"/>
    </row>
    <row r="31" spans="1:147" ht="22.9" customHeight="1" outlineLevel="2" x14ac:dyDescent="0.2">
      <c r="A31" s="146" t="s">
        <v>519</v>
      </c>
      <c r="B31" s="53" t="s">
        <v>10</v>
      </c>
      <c r="C31" s="50" t="s">
        <v>133</v>
      </c>
      <c r="D31" s="165">
        <v>1</v>
      </c>
      <c r="E31" s="158">
        <v>1</v>
      </c>
      <c r="F31" s="52">
        <f>SUM(H31:DY31)*E31*Table1[[#This Row],[Cycles]]</f>
        <v>0</v>
      </c>
      <c r="G31" s="46">
        <f t="shared" si="17"/>
        <v>0</v>
      </c>
      <c r="H31" s="93"/>
      <c r="I31" s="93"/>
      <c r="J31" s="93"/>
      <c r="K31" s="93"/>
      <c r="L31" s="93"/>
      <c r="M31" s="93"/>
      <c r="N31" s="93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219"/>
      <c r="EA31" s="231"/>
      <c r="EB31" s="231"/>
      <c r="EC31" s="231"/>
      <c r="ED31" s="231"/>
      <c r="EE31" s="231"/>
      <c r="EF31" s="231"/>
      <c r="EG31" s="231"/>
      <c r="EH31" s="231"/>
      <c r="EI31" s="231"/>
      <c r="EJ31" s="231"/>
      <c r="EK31" s="231"/>
      <c r="EL31" s="231"/>
      <c r="EM31" s="231"/>
      <c r="EN31" s="231"/>
      <c r="EO31" s="231"/>
      <c r="EP31" s="231"/>
      <c r="EQ31" s="231"/>
    </row>
    <row r="32" spans="1:147" s="40" customFormat="1" ht="22.9" customHeight="1" x14ac:dyDescent="0.2">
      <c r="A32" s="148" t="s">
        <v>520</v>
      </c>
      <c r="B32" s="48" t="s">
        <v>409</v>
      </c>
      <c r="C32" s="33"/>
      <c r="D32" s="162"/>
      <c r="E32" s="163"/>
      <c r="F32" s="31" cm="1">
        <f t="array" ref="F32">SumByColor(F33:F52,REFERENCE!$G$2)</f>
        <v>0</v>
      </c>
      <c r="G32" s="31" cm="1">
        <f t="array" ref="G32">SumByColor(G33:G52,REFERENCE!$G$2)</f>
        <v>0</v>
      </c>
      <c r="H32" s="31" cm="1">
        <f t="array" ref="H32">SumByColor(H33:H52,REFERENCE!$G$2)</f>
        <v>0</v>
      </c>
      <c r="I32" s="31" cm="1">
        <f t="array" ref="I32">SumByColor(I33:I52,REFERENCE!$G$2)</f>
        <v>0</v>
      </c>
      <c r="J32" s="31" cm="1">
        <f t="array" ref="J32">SumByColor(J33:J52,REFERENCE!$G$2)</f>
        <v>0</v>
      </c>
      <c r="K32" s="31" cm="1">
        <f t="array" ref="K32">SumByColor(K33:K52,REFERENCE!$G$2)</f>
        <v>0</v>
      </c>
      <c r="L32" s="31" cm="1">
        <f t="array" ref="L32">SumByColor(L33:L52,REFERENCE!$G$2)</f>
        <v>0</v>
      </c>
      <c r="M32" s="31" cm="1">
        <f t="array" ref="M32">SumByColor(M33:M52,REFERENCE!$G$2)</f>
        <v>0</v>
      </c>
      <c r="N32" s="31" cm="1">
        <f t="array" ref="N32">SumByColor(N33:N52,REFERENCE!$G$2)</f>
        <v>0</v>
      </c>
      <c r="O32" s="31" cm="1">
        <f t="array" ref="O32">SumByColor(O33:O52,REFERENCE!$G$2)</f>
        <v>0</v>
      </c>
      <c r="P32" s="31" cm="1">
        <f t="array" ref="P32">SumByColor(P33:P52,REFERENCE!$G$2)</f>
        <v>0</v>
      </c>
      <c r="Q32" s="31" cm="1">
        <f t="array" ref="Q32">SumByColor(Q33:Q52,REFERENCE!$G$2)</f>
        <v>0</v>
      </c>
      <c r="R32" s="31" cm="1">
        <f t="array" ref="R32">SumByColor(R33:R52,REFERENCE!$G$2)</f>
        <v>0</v>
      </c>
      <c r="S32" s="31" cm="1">
        <f t="array" ref="S32">SumByColor(S33:S52,REFERENCE!$G$2)</f>
        <v>0</v>
      </c>
      <c r="T32" s="31" cm="1">
        <f t="array" ref="T32">SumByColor(T33:T52,REFERENCE!$G$2)</f>
        <v>0</v>
      </c>
      <c r="U32" s="31" cm="1">
        <f t="array" ref="U32">SumByColor(U33:U52,REFERENCE!$G$2)</f>
        <v>0</v>
      </c>
      <c r="V32" s="31" cm="1">
        <f t="array" ref="V32">SumByColor(V33:V52,REFERENCE!$G$2)</f>
        <v>0</v>
      </c>
      <c r="W32" s="31" cm="1">
        <f t="array" ref="W32">SumByColor(W33:W52,REFERENCE!$G$2)</f>
        <v>0</v>
      </c>
      <c r="X32" s="31" cm="1">
        <f t="array" ref="X32">SumByColor(X33:X52,REFERENCE!$G$2)</f>
        <v>0</v>
      </c>
      <c r="Y32" s="31" cm="1">
        <f t="array" ref="Y32">SumByColor(Y33:Y52,REFERENCE!$G$2)</f>
        <v>0</v>
      </c>
      <c r="Z32" s="31" cm="1">
        <f t="array" ref="Z32">SumByColor(Z33:Z52,REFERENCE!$G$2)</f>
        <v>0</v>
      </c>
      <c r="AA32" s="31" cm="1">
        <f t="array" ref="AA32">SumByColor(AA33:AA52,REFERENCE!$G$2)</f>
        <v>0</v>
      </c>
      <c r="AB32" s="31" cm="1">
        <f t="array" ref="AB32">SumByColor(AB33:AB52,REFERENCE!$G$2)</f>
        <v>0</v>
      </c>
      <c r="AC32" s="31" cm="1">
        <f t="array" ref="AC32">SumByColor(AC33:AC52,REFERENCE!$G$2)</f>
        <v>0</v>
      </c>
      <c r="AD32" s="31" cm="1">
        <f t="array" ref="AD32">SumByColor(AD33:AD52,REFERENCE!$G$2)</f>
        <v>0</v>
      </c>
      <c r="AE32" s="31" cm="1">
        <f t="array" ref="AE32">SumByColor(AE33:AE52,REFERENCE!$G$2)</f>
        <v>0</v>
      </c>
      <c r="AF32" s="31" cm="1">
        <f t="array" ref="AF32">SumByColor(AF33:AF52,REFERENCE!$G$2)</f>
        <v>0</v>
      </c>
      <c r="AG32" s="31" cm="1">
        <f t="array" ref="AG32">SumByColor(AG33:AG52,REFERENCE!$G$2)</f>
        <v>0</v>
      </c>
      <c r="AH32" s="31" cm="1">
        <f t="array" ref="AH32">SumByColor(AH33:AH52,REFERENCE!$G$2)</f>
        <v>0</v>
      </c>
      <c r="AI32" s="31" cm="1">
        <f t="array" ref="AI32">SumByColor(AI33:AI52,REFERENCE!$G$2)</f>
        <v>0</v>
      </c>
      <c r="AJ32" s="31" cm="1">
        <f t="array" ref="AJ32">SumByColor(AJ33:AJ52,REFERENCE!$G$2)</f>
        <v>0</v>
      </c>
      <c r="AK32" s="31" cm="1">
        <f t="array" ref="AK32">SumByColor(AK33:AK52,REFERENCE!$G$2)</f>
        <v>0</v>
      </c>
      <c r="AL32" s="31" cm="1">
        <f t="array" ref="AL32">SumByColor(AL33:AL52,REFERENCE!$G$2)</f>
        <v>0</v>
      </c>
      <c r="AM32" s="31" cm="1">
        <f t="array" ref="AM32">SumByColor(AM33:AM52,REFERENCE!$G$2)</f>
        <v>0</v>
      </c>
      <c r="AN32" s="31" cm="1">
        <f t="array" ref="AN32">SumByColor(AN33:AN52,REFERENCE!$G$2)</f>
        <v>0</v>
      </c>
      <c r="AO32" s="31" cm="1">
        <f t="array" ref="AO32">SumByColor(AO33:AO52,REFERENCE!$G$2)</f>
        <v>0</v>
      </c>
      <c r="AP32" s="31" cm="1">
        <f t="array" ref="AP32">SumByColor(AP33:AP52,REFERENCE!$G$2)</f>
        <v>0</v>
      </c>
      <c r="AQ32" s="31" cm="1">
        <f t="array" ref="AQ32">SumByColor(AQ33:AQ52,REFERENCE!$G$2)</f>
        <v>0</v>
      </c>
      <c r="AR32" s="31" cm="1">
        <f t="array" ref="AR32">SumByColor(AR33:AR52,REFERENCE!$G$2)</f>
        <v>0</v>
      </c>
      <c r="AS32" s="31" cm="1">
        <f t="array" ref="AS32">SumByColor(AS33:AS52,REFERENCE!$G$2)</f>
        <v>0</v>
      </c>
      <c r="AT32" s="31" cm="1">
        <f t="array" ref="AT32">SumByColor(AT33:AT52,REFERENCE!$G$2)</f>
        <v>0</v>
      </c>
      <c r="AU32" s="31" cm="1">
        <f t="array" ref="AU32">SumByColor(AU33:AU52,REFERENCE!$G$2)</f>
        <v>0</v>
      </c>
      <c r="AV32" s="31" cm="1">
        <f t="array" ref="AV32">SumByColor(AV33:AV52,REFERENCE!$G$2)</f>
        <v>0</v>
      </c>
      <c r="AW32" s="31" cm="1">
        <f t="array" ref="AW32">SumByColor(AW33:AW52,REFERENCE!$G$2)</f>
        <v>0</v>
      </c>
      <c r="AX32" s="31" cm="1">
        <f t="array" ref="AX32">SumByColor(AX33:AX52,REFERENCE!$G$2)</f>
        <v>0</v>
      </c>
      <c r="AY32" s="31" cm="1">
        <f t="array" ref="AY32">SumByColor(AY33:AY52,REFERENCE!$G$2)</f>
        <v>0</v>
      </c>
      <c r="AZ32" s="31" cm="1">
        <f t="array" ref="AZ32">SumByColor(AZ33:AZ52,REFERENCE!$G$2)</f>
        <v>0</v>
      </c>
      <c r="BA32" s="31" cm="1">
        <f t="array" ref="BA32">SumByColor(BA33:BA52,REFERENCE!$G$2)</f>
        <v>0</v>
      </c>
      <c r="BB32" s="31" cm="1">
        <f t="array" ref="BB32">SumByColor(BB33:BB52,REFERENCE!$G$2)</f>
        <v>0</v>
      </c>
      <c r="BC32" s="31" cm="1">
        <f t="array" ref="BC32">SumByColor(BC33:BC52,REFERENCE!$G$2)</f>
        <v>0</v>
      </c>
      <c r="BD32" s="31" cm="1">
        <f t="array" ref="BD32">SumByColor(BD33:BD52,REFERENCE!$G$2)</f>
        <v>0</v>
      </c>
      <c r="BE32" s="31" cm="1">
        <f t="array" ref="BE32">SumByColor(BE33:BE52,REFERENCE!$G$2)</f>
        <v>0</v>
      </c>
      <c r="BF32" s="31" cm="1">
        <f t="array" ref="BF32">SumByColor(BF33:BF52,REFERENCE!$G$2)</f>
        <v>0</v>
      </c>
      <c r="BG32" s="31" cm="1">
        <f t="array" ref="BG32">SumByColor(BG33:BG52,REFERENCE!$G$2)</f>
        <v>0</v>
      </c>
      <c r="BH32" s="31" cm="1">
        <f t="array" ref="BH32">SumByColor(BH33:BH52,REFERENCE!$G$2)</f>
        <v>0</v>
      </c>
      <c r="BI32" s="31" cm="1">
        <f t="array" ref="BI32">SumByColor(BI33:BI52,REFERENCE!$G$2)</f>
        <v>0</v>
      </c>
      <c r="BJ32" s="31" cm="1">
        <f t="array" ref="BJ32">SumByColor(BJ33:BJ52,REFERENCE!$G$2)</f>
        <v>0</v>
      </c>
      <c r="BK32" s="31" cm="1">
        <f t="array" ref="BK32">SumByColor(BK33:BK52,REFERENCE!$G$2)</f>
        <v>0</v>
      </c>
      <c r="BL32" s="31" cm="1">
        <f t="array" ref="BL32">SumByColor(BL33:BL52,REFERENCE!$G$2)</f>
        <v>0</v>
      </c>
      <c r="BM32" s="31" cm="1">
        <f t="array" ref="BM32">SumByColor(BM33:BM52,REFERENCE!$G$2)</f>
        <v>0</v>
      </c>
      <c r="BN32" s="31" cm="1">
        <f t="array" ref="BN32">SumByColor(BN33:BN52,REFERENCE!$G$2)</f>
        <v>0</v>
      </c>
      <c r="BO32" s="31" cm="1">
        <f t="array" ref="BO32">SumByColor(BO33:BO52,REFERENCE!$G$2)</f>
        <v>0</v>
      </c>
      <c r="BP32" s="31" cm="1">
        <f t="array" ref="BP32">SumByColor(BP33:BP52,REFERENCE!$G$2)</f>
        <v>0</v>
      </c>
      <c r="BQ32" s="31" cm="1">
        <f t="array" ref="BQ32">SumByColor(BQ33:BQ52,REFERENCE!$G$2)</f>
        <v>0</v>
      </c>
      <c r="BR32" s="31" cm="1">
        <f t="array" ref="BR32">SumByColor(BR33:BR52,REFERENCE!$G$2)</f>
        <v>0</v>
      </c>
      <c r="BS32" s="31" cm="1">
        <f t="array" ref="BS32">SumByColor(BS33:BS52,REFERENCE!$G$2)</f>
        <v>0</v>
      </c>
      <c r="BT32" s="31" cm="1">
        <f t="array" ref="BT32">SumByColor(BT33:BT52,REFERENCE!$G$2)</f>
        <v>0</v>
      </c>
      <c r="BU32" s="31" cm="1">
        <f t="array" ref="BU32">SumByColor(BU33:BU52,REFERENCE!$G$2)</f>
        <v>0</v>
      </c>
      <c r="BV32" s="31" cm="1">
        <f t="array" ref="BV32">SumByColor(BV33:BV52,REFERENCE!$G$2)</f>
        <v>0</v>
      </c>
      <c r="BW32" s="31" cm="1">
        <f t="array" ref="BW32">SumByColor(BW33:BW52,REFERENCE!$G$2)</f>
        <v>0</v>
      </c>
      <c r="BX32" s="31" cm="1">
        <f t="array" ref="BX32">SumByColor(BX33:BX52,REFERENCE!$G$2)</f>
        <v>0</v>
      </c>
      <c r="BY32" s="31" cm="1">
        <f t="array" ref="BY32">SumByColor(BY33:BY52,REFERENCE!$G$2)</f>
        <v>0</v>
      </c>
      <c r="BZ32" s="31" cm="1">
        <f t="array" ref="BZ32">SumByColor(BZ33:BZ52,REFERENCE!$G$2)</f>
        <v>0</v>
      </c>
      <c r="CA32" s="31" cm="1">
        <f t="array" ref="CA32">SumByColor(CA33:CA52,REFERENCE!$G$2)</f>
        <v>0</v>
      </c>
      <c r="CB32" s="31" cm="1">
        <f t="array" ref="CB32">SumByColor(CB33:CB52,REFERENCE!$G$2)</f>
        <v>0</v>
      </c>
      <c r="CC32" s="31" cm="1">
        <f t="array" ref="CC32">SumByColor(CC33:CC52,REFERENCE!$G$2)</f>
        <v>0</v>
      </c>
      <c r="CD32" s="31" cm="1">
        <f t="array" ref="CD32">SumByColor(CD33:CD52,REFERENCE!$G$2)</f>
        <v>0</v>
      </c>
      <c r="CE32" s="31" cm="1">
        <f t="array" ref="CE32">SumByColor(CE33:CE52,REFERENCE!$G$2)</f>
        <v>0</v>
      </c>
      <c r="CF32" s="31" cm="1">
        <f t="array" ref="CF32">SumByColor(CF33:CF52,REFERENCE!$G$2)</f>
        <v>0</v>
      </c>
      <c r="CG32" s="31" cm="1">
        <f t="array" ref="CG32">SumByColor(CG33:CG52,REFERENCE!$G$2)</f>
        <v>0</v>
      </c>
      <c r="CH32" s="31" cm="1">
        <f t="array" ref="CH32">SumByColor(CH33:CH52,REFERENCE!$G$2)</f>
        <v>0</v>
      </c>
      <c r="CI32" s="31" cm="1">
        <f t="array" ref="CI32">SumByColor(CI33:CI52,REFERENCE!$G$2)</f>
        <v>0</v>
      </c>
      <c r="CJ32" s="31" cm="1">
        <f t="array" ref="CJ32">SumByColor(CJ33:CJ52,REFERENCE!$G$2)</f>
        <v>0</v>
      </c>
      <c r="CK32" s="31" cm="1">
        <f t="array" ref="CK32">SumByColor(CK33:CK52,REFERENCE!$G$2)</f>
        <v>0</v>
      </c>
      <c r="CL32" s="31" cm="1">
        <f t="array" ref="CL32">SumByColor(CL33:CL52,REFERENCE!$G$2)</f>
        <v>0</v>
      </c>
      <c r="CM32" s="31" cm="1">
        <f t="array" ref="CM32">SumByColor(CM33:CM52,REFERENCE!$G$2)</f>
        <v>0</v>
      </c>
      <c r="CN32" s="31" cm="1">
        <f t="array" ref="CN32">SumByColor(CN33:CN52,REFERENCE!$G$2)</f>
        <v>0</v>
      </c>
      <c r="CO32" s="31" cm="1">
        <f t="array" ref="CO32">SumByColor(CO33:CO52,REFERENCE!$G$2)</f>
        <v>0</v>
      </c>
      <c r="CP32" s="31" cm="1">
        <f t="array" ref="CP32">SumByColor(CP33:CP52,REFERENCE!$G$2)</f>
        <v>0</v>
      </c>
      <c r="CQ32" s="31" cm="1">
        <f t="array" ref="CQ32">SumByColor(CQ33:CQ52,REFERENCE!$G$2)</f>
        <v>0</v>
      </c>
      <c r="CR32" s="31" cm="1">
        <f t="array" ref="CR32">SumByColor(CR33:CR52,REFERENCE!$G$2)</f>
        <v>0</v>
      </c>
      <c r="CS32" s="31" cm="1">
        <f t="array" ref="CS32">SumByColor(CS33:CS52,REFERENCE!$G$2)</f>
        <v>0</v>
      </c>
      <c r="CT32" s="31" cm="1">
        <f t="array" ref="CT32">SumByColor(CT33:CT52,REFERENCE!$G$2)</f>
        <v>0</v>
      </c>
      <c r="CU32" s="31" cm="1">
        <f t="array" ref="CU32">SumByColor(CU33:CU52,REFERENCE!$G$2)</f>
        <v>0</v>
      </c>
      <c r="CV32" s="31" cm="1">
        <f t="array" ref="CV32">SumByColor(CV33:CV52,REFERENCE!$G$2)</f>
        <v>0</v>
      </c>
      <c r="CW32" s="31" cm="1">
        <f t="array" ref="CW32">SumByColor(CW33:CW52,REFERENCE!$G$2)</f>
        <v>0</v>
      </c>
      <c r="CX32" s="31" cm="1">
        <f t="array" ref="CX32">SumByColor(CX33:CX52,REFERENCE!$G$2)</f>
        <v>0</v>
      </c>
      <c r="CY32" s="31" cm="1">
        <f t="array" ref="CY32">SumByColor(CY33:CY52,REFERENCE!$G$2)</f>
        <v>0</v>
      </c>
      <c r="CZ32" s="31" cm="1">
        <f t="array" ref="CZ32">SumByColor(CZ33:CZ52,REFERENCE!$G$2)</f>
        <v>0</v>
      </c>
      <c r="DA32" s="31" cm="1">
        <f t="array" ref="DA32">SumByColor(DA33:DA52,REFERENCE!$G$2)</f>
        <v>0</v>
      </c>
      <c r="DB32" s="31" cm="1">
        <f t="array" ref="DB32">SumByColor(DB33:DB52,REFERENCE!$G$2)</f>
        <v>0</v>
      </c>
      <c r="DC32" s="31" cm="1">
        <f t="array" ref="DC32">SumByColor(DC33:DC52,REFERENCE!$G$2)</f>
        <v>0</v>
      </c>
      <c r="DD32" s="31" cm="1">
        <f t="array" ref="DD32">SumByColor(DD33:DD52,REFERENCE!$G$2)</f>
        <v>0</v>
      </c>
      <c r="DE32" s="31" cm="1">
        <f t="array" ref="DE32">SumByColor(DE33:DE52,REFERENCE!$G$2)</f>
        <v>0</v>
      </c>
      <c r="DF32" s="31" cm="1">
        <f t="array" ref="DF32">SumByColor(DF33:DF52,REFERENCE!$G$2)</f>
        <v>0</v>
      </c>
      <c r="DG32" s="31" cm="1">
        <f t="array" ref="DG32">SumByColor(DG33:DG52,REFERENCE!$G$2)</f>
        <v>0</v>
      </c>
      <c r="DH32" s="31" cm="1">
        <f t="array" ref="DH32">SumByColor(DH33:DH52,REFERENCE!$G$2)</f>
        <v>0</v>
      </c>
      <c r="DI32" s="31" cm="1">
        <f t="array" ref="DI32">SumByColor(DI33:DI52,REFERENCE!$G$2)</f>
        <v>0</v>
      </c>
      <c r="DJ32" s="31" cm="1">
        <f t="array" ref="DJ32">SumByColor(DJ33:DJ52,REFERENCE!$G$2)</f>
        <v>0</v>
      </c>
      <c r="DK32" s="31" cm="1">
        <f t="array" ref="DK32">SumByColor(DK33:DK52,REFERENCE!$G$2)</f>
        <v>0</v>
      </c>
      <c r="DL32" s="31" cm="1">
        <f t="array" ref="DL32">SumByColor(DL33:DL52,REFERENCE!$G$2)</f>
        <v>0</v>
      </c>
      <c r="DM32" s="31" cm="1">
        <f t="array" ref="DM32">SumByColor(DM33:DM52,REFERENCE!$G$2)</f>
        <v>0</v>
      </c>
      <c r="DN32" s="31" cm="1">
        <f t="array" ref="DN32">SumByColor(DN33:DN52,REFERENCE!$G$2)</f>
        <v>0</v>
      </c>
      <c r="DO32" s="31" cm="1">
        <f t="array" ref="DO32">SumByColor(DO33:DO52,REFERENCE!$G$2)</f>
        <v>0</v>
      </c>
      <c r="DP32" s="31" cm="1">
        <f t="array" ref="DP32">SumByColor(DP33:DP52,REFERENCE!$G$2)</f>
        <v>0</v>
      </c>
      <c r="DQ32" s="31" cm="1">
        <f t="array" ref="DQ32">SumByColor(DQ33:DQ52,REFERENCE!$G$2)</f>
        <v>0</v>
      </c>
      <c r="DR32" s="31" cm="1">
        <f t="array" ref="DR32">SumByColor(DR33:DR52,REFERENCE!$G$2)</f>
        <v>0</v>
      </c>
      <c r="DS32" s="31" cm="1">
        <f t="array" ref="DS32">SumByColor(DS33:DS52,REFERENCE!$G$2)</f>
        <v>0</v>
      </c>
      <c r="DT32" s="31" cm="1">
        <f t="array" ref="DT32">SumByColor(DT33:DT52,REFERENCE!$G$2)</f>
        <v>0</v>
      </c>
      <c r="DU32" s="31" cm="1">
        <f t="array" ref="DU32">SumByColor(DU33:DU52,REFERENCE!$G$2)</f>
        <v>0</v>
      </c>
      <c r="DV32" s="31" cm="1">
        <f t="array" ref="DV32">SumByColor(DV33:DV52,REFERENCE!$G$2)</f>
        <v>0</v>
      </c>
      <c r="DW32" s="31" cm="1">
        <f t="array" ref="DW32">SumByColor(DW33:DW52,REFERENCE!$G$2)</f>
        <v>0</v>
      </c>
      <c r="DX32" s="31" cm="1">
        <f t="array" ref="DX32">SumByColor(DX33:DX52,REFERENCE!$G$2)</f>
        <v>0</v>
      </c>
      <c r="DY32" s="31" cm="1">
        <f t="array" ref="DY32">SumByColor(DY33:DY52,REFERENCE!$G$2)</f>
        <v>0</v>
      </c>
      <c r="DZ32" s="218"/>
      <c r="EA32" s="232"/>
      <c r="EB32" s="232"/>
      <c r="EC32" s="232"/>
      <c r="ED32" s="232"/>
      <c r="EE32" s="232"/>
      <c r="EF32" s="232"/>
      <c r="EG32" s="232"/>
      <c r="EH32" s="232"/>
      <c r="EI32" s="232"/>
      <c r="EJ32" s="232"/>
      <c r="EK32" s="232"/>
      <c r="EL32" s="232"/>
      <c r="EM32" s="232"/>
      <c r="EN32" s="232"/>
      <c r="EO32" s="232"/>
      <c r="EP32" s="232"/>
      <c r="EQ32" s="232"/>
    </row>
    <row r="33" spans="1:147" ht="22.9" customHeight="1" outlineLevel="2" x14ac:dyDescent="0.2">
      <c r="A33" s="149" t="s">
        <v>536</v>
      </c>
      <c r="B33" s="34" t="s">
        <v>210</v>
      </c>
      <c r="C33" s="30" t="s">
        <v>100</v>
      </c>
      <c r="D33" s="164"/>
      <c r="E33" s="164"/>
      <c r="F33" s="45">
        <f>SUM(F34:F36)</f>
        <v>0</v>
      </c>
      <c r="G33" s="44">
        <f>SUM(G34:G36)</f>
        <v>0</v>
      </c>
      <c r="H33" s="45">
        <f>SUMPRODUCT($E$34:$E$36,$D$34:$D$36,H34:H36)</f>
        <v>0</v>
      </c>
      <c r="I33" s="45">
        <f t="shared" ref="I33:BT33" si="18">SUMPRODUCT($E$34:$E$36,$D$34:$D$36,I34:I36)</f>
        <v>0</v>
      </c>
      <c r="J33" s="45">
        <f t="shared" si="18"/>
        <v>0</v>
      </c>
      <c r="K33" s="45">
        <f t="shared" si="18"/>
        <v>0</v>
      </c>
      <c r="L33" s="45">
        <f t="shared" si="18"/>
        <v>0</v>
      </c>
      <c r="M33" s="45">
        <f t="shared" si="18"/>
        <v>0</v>
      </c>
      <c r="N33" s="45">
        <f t="shared" si="18"/>
        <v>0</v>
      </c>
      <c r="O33" s="45">
        <f t="shared" si="18"/>
        <v>0</v>
      </c>
      <c r="P33" s="45">
        <f t="shared" si="18"/>
        <v>0</v>
      </c>
      <c r="Q33" s="45">
        <f t="shared" si="18"/>
        <v>0</v>
      </c>
      <c r="R33" s="45">
        <f t="shared" si="18"/>
        <v>0</v>
      </c>
      <c r="S33" s="45">
        <f t="shared" si="18"/>
        <v>0</v>
      </c>
      <c r="T33" s="45">
        <f t="shared" si="18"/>
        <v>0</v>
      </c>
      <c r="U33" s="45">
        <f t="shared" si="18"/>
        <v>0</v>
      </c>
      <c r="V33" s="45">
        <f t="shared" si="18"/>
        <v>0</v>
      </c>
      <c r="W33" s="45">
        <f t="shared" si="18"/>
        <v>0</v>
      </c>
      <c r="X33" s="45">
        <f t="shared" si="18"/>
        <v>0</v>
      </c>
      <c r="Y33" s="45">
        <f t="shared" si="18"/>
        <v>0</v>
      </c>
      <c r="Z33" s="45">
        <f t="shared" si="18"/>
        <v>0</v>
      </c>
      <c r="AA33" s="45">
        <f t="shared" si="18"/>
        <v>0</v>
      </c>
      <c r="AB33" s="45">
        <f t="shared" si="18"/>
        <v>0</v>
      </c>
      <c r="AC33" s="45">
        <f t="shared" si="18"/>
        <v>0</v>
      </c>
      <c r="AD33" s="45">
        <f t="shared" si="18"/>
        <v>0</v>
      </c>
      <c r="AE33" s="45">
        <f t="shared" si="18"/>
        <v>0</v>
      </c>
      <c r="AF33" s="45">
        <f t="shared" si="18"/>
        <v>0</v>
      </c>
      <c r="AG33" s="45">
        <f t="shared" si="18"/>
        <v>0</v>
      </c>
      <c r="AH33" s="45">
        <f t="shared" si="18"/>
        <v>0</v>
      </c>
      <c r="AI33" s="45">
        <f t="shared" si="18"/>
        <v>0</v>
      </c>
      <c r="AJ33" s="45">
        <f t="shared" si="18"/>
        <v>0</v>
      </c>
      <c r="AK33" s="45">
        <f t="shared" si="18"/>
        <v>0</v>
      </c>
      <c r="AL33" s="45">
        <f t="shared" si="18"/>
        <v>0</v>
      </c>
      <c r="AM33" s="45">
        <f t="shared" si="18"/>
        <v>0</v>
      </c>
      <c r="AN33" s="45">
        <f t="shared" si="18"/>
        <v>0</v>
      </c>
      <c r="AO33" s="45">
        <f t="shared" si="18"/>
        <v>0</v>
      </c>
      <c r="AP33" s="45">
        <f t="shared" si="18"/>
        <v>0</v>
      </c>
      <c r="AQ33" s="45">
        <f t="shared" si="18"/>
        <v>0</v>
      </c>
      <c r="AR33" s="45">
        <f t="shared" si="18"/>
        <v>0</v>
      </c>
      <c r="AS33" s="45">
        <f t="shared" si="18"/>
        <v>0</v>
      </c>
      <c r="AT33" s="45">
        <f t="shared" si="18"/>
        <v>0</v>
      </c>
      <c r="AU33" s="45">
        <f t="shared" si="18"/>
        <v>0</v>
      </c>
      <c r="AV33" s="45">
        <f t="shared" si="18"/>
        <v>0</v>
      </c>
      <c r="AW33" s="45">
        <f t="shared" si="18"/>
        <v>0</v>
      </c>
      <c r="AX33" s="45">
        <f t="shared" si="18"/>
        <v>0</v>
      </c>
      <c r="AY33" s="45">
        <f t="shared" si="18"/>
        <v>0</v>
      </c>
      <c r="AZ33" s="45">
        <f t="shared" si="18"/>
        <v>0</v>
      </c>
      <c r="BA33" s="45">
        <f t="shared" si="18"/>
        <v>0</v>
      </c>
      <c r="BB33" s="45">
        <f t="shared" si="18"/>
        <v>0</v>
      </c>
      <c r="BC33" s="45">
        <f t="shared" si="18"/>
        <v>0</v>
      </c>
      <c r="BD33" s="45">
        <f t="shared" si="18"/>
        <v>0</v>
      </c>
      <c r="BE33" s="45">
        <f t="shared" si="18"/>
        <v>0</v>
      </c>
      <c r="BF33" s="45">
        <f t="shared" si="18"/>
        <v>0</v>
      </c>
      <c r="BG33" s="45">
        <f t="shared" si="18"/>
        <v>0</v>
      </c>
      <c r="BH33" s="45">
        <f t="shared" si="18"/>
        <v>0</v>
      </c>
      <c r="BI33" s="45">
        <f t="shared" si="18"/>
        <v>0</v>
      </c>
      <c r="BJ33" s="45">
        <f t="shared" si="18"/>
        <v>0</v>
      </c>
      <c r="BK33" s="45">
        <f t="shared" si="18"/>
        <v>0</v>
      </c>
      <c r="BL33" s="45">
        <f t="shared" si="18"/>
        <v>0</v>
      </c>
      <c r="BM33" s="45">
        <f t="shared" si="18"/>
        <v>0</v>
      </c>
      <c r="BN33" s="45">
        <f t="shared" si="18"/>
        <v>0</v>
      </c>
      <c r="BO33" s="45">
        <f t="shared" si="18"/>
        <v>0</v>
      </c>
      <c r="BP33" s="45">
        <f>SUMPRODUCT($E$34:$E$36,$D$34:$D$36,BP34:BP36)</f>
        <v>0</v>
      </c>
      <c r="BQ33" s="45">
        <f t="shared" si="18"/>
        <v>0</v>
      </c>
      <c r="BR33" s="45">
        <f t="shared" si="18"/>
        <v>0</v>
      </c>
      <c r="BS33" s="45">
        <f t="shared" si="18"/>
        <v>0</v>
      </c>
      <c r="BT33" s="45">
        <f t="shared" si="18"/>
        <v>0</v>
      </c>
      <c r="BU33" s="45">
        <f t="shared" ref="BU33:DY33" si="19">SUMPRODUCT($E$34:$E$36,$D$34:$D$36,BU34:BU36)</f>
        <v>0</v>
      </c>
      <c r="BV33" s="45">
        <f>SUMPRODUCT($E$34:$E$36,$D$34:$D$36,BV34:BV36)</f>
        <v>0</v>
      </c>
      <c r="BW33" s="45">
        <f t="shared" si="19"/>
        <v>0</v>
      </c>
      <c r="BX33" s="45">
        <f t="shared" si="19"/>
        <v>0</v>
      </c>
      <c r="BY33" s="45">
        <f t="shared" si="19"/>
        <v>0</v>
      </c>
      <c r="BZ33" s="45">
        <f t="shared" si="19"/>
        <v>0</v>
      </c>
      <c r="CA33" s="45">
        <f t="shared" si="19"/>
        <v>0</v>
      </c>
      <c r="CB33" s="45">
        <f t="shared" si="19"/>
        <v>0</v>
      </c>
      <c r="CC33" s="45">
        <f t="shared" si="19"/>
        <v>0</v>
      </c>
      <c r="CD33" s="45">
        <f t="shared" si="19"/>
        <v>0</v>
      </c>
      <c r="CE33" s="45">
        <f t="shared" si="19"/>
        <v>0</v>
      </c>
      <c r="CF33" s="45">
        <f t="shared" si="19"/>
        <v>0</v>
      </c>
      <c r="CG33" s="45">
        <f t="shared" si="19"/>
        <v>0</v>
      </c>
      <c r="CH33" s="45">
        <f t="shared" si="19"/>
        <v>0</v>
      </c>
      <c r="CI33" s="45">
        <f t="shared" si="19"/>
        <v>0</v>
      </c>
      <c r="CJ33" s="45">
        <f t="shared" si="19"/>
        <v>0</v>
      </c>
      <c r="CK33" s="45">
        <f t="shared" si="19"/>
        <v>0</v>
      </c>
      <c r="CL33" s="45">
        <f t="shared" si="19"/>
        <v>0</v>
      </c>
      <c r="CM33" s="45">
        <f t="shared" si="19"/>
        <v>0</v>
      </c>
      <c r="CN33" s="45">
        <f t="shared" si="19"/>
        <v>0</v>
      </c>
      <c r="CO33" s="45">
        <f t="shared" si="19"/>
        <v>0</v>
      </c>
      <c r="CP33" s="45">
        <f t="shared" si="19"/>
        <v>0</v>
      </c>
      <c r="CQ33" s="45">
        <f t="shared" si="19"/>
        <v>0</v>
      </c>
      <c r="CR33" s="45">
        <f t="shared" si="19"/>
        <v>0</v>
      </c>
      <c r="CS33" s="45">
        <f t="shared" si="19"/>
        <v>0</v>
      </c>
      <c r="CT33" s="45">
        <f t="shared" si="19"/>
        <v>0</v>
      </c>
      <c r="CU33" s="45">
        <f t="shared" si="19"/>
        <v>0</v>
      </c>
      <c r="CV33" s="45">
        <f t="shared" si="19"/>
        <v>0</v>
      </c>
      <c r="CW33" s="45">
        <f t="shared" si="19"/>
        <v>0</v>
      </c>
      <c r="CX33" s="45">
        <f t="shared" si="19"/>
        <v>0</v>
      </c>
      <c r="CY33" s="45">
        <f t="shared" si="19"/>
        <v>0</v>
      </c>
      <c r="CZ33" s="45">
        <f t="shared" si="19"/>
        <v>0</v>
      </c>
      <c r="DA33" s="45">
        <f t="shared" si="19"/>
        <v>0</v>
      </c>
      <c r="DB33" s="45">
        <f t="shared" si="19"/>
        <v>0</v>
      </c>
      <c r="DC33" s="45">
        <f t="shared" si="19"/>
        <v>0</v>
      </c>
      <c r="DD33" s="45">
        <f t="shared" si="19"/>
        <v>0</v>
      </c>
      <c r="DE33" s="45">
        <f t="shared" si="19"/>
        <v>0</v>
      </c>
      <c r="DF33" s="45">
        <f t="shared" si="19"/>
        <v>0</v>
      </c>
      <c r="DG33" s="45">
        <f t="shared" si="19"/>
        <v>0</v>
      </c>
      <c r="DH33" s="45">
        <f t="shared" si="19"/>
        <v>0</v>
      </c>
      <c r="DI33" s="45">
        <f t="shared" si="19"/>
        <v>0</v>
      </c>
      <c r="DJ33" s="45">
        <f t="shared" si="19"/>
        <v>0</v>
      </c>
      <c r="DK33" s="45">
        <f t="shared" si="19"/>
        <v>0</v>
      </c>
      <c r="DL33" s="45">
        <f t="shared" si="19"/>
        <v>0</v>
      </c>
      <c r="DM33" s="45">
        <f t="shared" si="19"/>
        <v>0</v>
      </c>
      <c r="DN33" s="45">
        <f t="shared" si="19"/>
        <v>0</v>
      </c>
      <c r="DO33" s="45">
        <f t="shared" si="19"/>
        <v>0</v>
      </c>
      <c r="DP33" s="45">
        <f t="shared" si="19"/>
        <v>0</v>
      </c>
      <c r="DQ33" s="45">
        <f t="shared" si="19"/>
        <v>0</v>
      </c>
      <c r="DR33" s="45">
        <f t="shared" si="19"/>
        <v>0</v>
      </c>
      <c r="DS33" s="45">
        <f t="shared" si="19"/>
        <v>0</v>
      </c>
      <c r="DT33" s="45">
        <f t="shared" si="19"/>
        <v>0</v>
      </c>
      <c r="DU33" s="45">
        <f t="shared" si="19"/>
        <v>0</v>
      </c>
      <c r="DV33" s="45">
        <f t="shared" si="19"/>
        <v>0</v>
      </c>
      <c r="DW33" s="45">
        <f t="shared" si="19"/>
        <v>0</v>
      </c>
      <c r="DX33" s="45">
        <f t="shared" si="19"/>
        <v>0</v>
      </c>
      <c r="DY33" s="45">
        <f t="shared" si="19"/>
        <v>0</v>
      </c>
      <c r="DZ33" s="218"/>
      <c r="EA33" s="231"/>
      <c r="EB33" s="231"/>
      <c r="EC33" s="231"/>
      <c r="ED33" s="231"/>
      <c r="EE33" s="231"/>
      <c r="EF33" s="231"/>
      <c r="EG33" s="231"/>
      <c r="EH33" s="231"/>
      <c r="EI33" s="231"/>
      <c r="EJ33" s="231"/>
      <c r="EK33" s="231"/>
      <c r="EL33" s="231"/>
      <c r="EM33" s="231"/>
      <c r="EN33" s="231"/>
      <c r="EO33" s="231"/>
      <c r="EP33" s="231"/>
      <c r="EQ33" s="231"/>
    </row>
    <row r="34" spans="1:147" ht="22.9" customHeight="1" outlineLevel="2" x14ac:dyDescent="0.2">
      <c r="A34" s="146" t="s">
        <v>521</v>
      </c>
      <c r="B34" s="53" t="s">
        <v>3</v>
      </c>
      <c r="C34" s="50" t="s">
        <v>133</v>
      </c>
      <c r="D34" s="165">
        <v>1</v>
      </c>
      <c r="E34" s="158">
        <v>1</v>
      </c>
      <c r="F34" s="52">
        <f>SUM(H34:DY34)*E34*Table1[[#This Row],[Cycles]]</f>
        <v>0</v>
      </c>
      <c r="G34" s="46">
        <f>SUMPRODUCT($H$2:$DY$2,$H34:$DY34)*E34*D34</f>
        <v>0</v>
      </c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47"/>
      <c r="DP34" s="47"/>
      <c r="DQ34" s="47"/>
      <c r="DR34" s="47"/>
      <c r="DS34" s="47"/>
      <c r="DT34" s="47"/>
      <c r="DU34" s="47"/>
      <c r="DV34" s="47"/>
      <c r="DW34" s="47"/>
      <c r="DX34" s="47"/>
      <c r="DY34" s="47"/>
      <c r="DZ34" s="219"/>
      <c r="EA34" s="231"/>
      <c r="EB34" s="231"/>
      <c r="EC34" s="231"/>
      <c r="ED34" s="231"/>
      <c r="EE34" s="231"/>
      <c r="EF34" s="231"/>
      <c r="EG34" s="231"/>
      <c r="EH34" s="231"/>
      <c r="EI34" s="231"/>
      <c r="EJ34" s="231"/>
      <c r="EK34" s="231"/>
      <c r="EL34" s="231"/>
      <c r="EM34" s="231"/>
      <c r="EN34" s="231"/>
      <c r="EO34" s="231"/>
      <c r="EP34" s="231"/>
      <c r="EQ34" s="231"/>
    </row>
    <row r="35" spans="1:147" ht="22.9" customHeight="1" outlineLevel="2" x14ac:dyDescent="0.2">
      <c r="A35" s="146" t="s">
        <v>522</v>
      </c>
      <c r="B35" s="53" t="s">
        <v>123</v>
      </c>
      <c r="C35" s="50" t="s">
        <v>133</v>
      </c>
      <c r="D35" s="165">
        <v>1</v>
      </c>
      <c r="E35" s="158">
        <v>1</v>
      </c>
      <c r="F35" s="52">
        <f>SUM(H35:DY35)*E35*Table1[[#This Row],[Cycles]]</f>
        <v>0</v>
      </c>
      <c r="G35" s="46">
        <f>SUMPRODUCT($H$2:$DY$2,$H35:$DY35)*E35*D35</f>
        <v>0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219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</row>
    <row r="36" spans="1:147" ht="22.9" customHeight="1" outlineLevel="2" x14ac:dyDescent="0.2">
      <c r="A36" s="146" t="s">
        <v>523</v>
      </c>
      <c r="B36" s="53" t="s">
        <v>481</v>
      </c>
      <c r="C36" s="50" t="s">
        <v>133</v>
      </c>
      <c r="D36" s="165">
        <v>1</v>
      </c>
      <c r="E36" s="158">
        <v>1</v>
      </c>
      <c r="F36" s="52">
        <f>SUM(H36:DY36)*E36*Table1[[#This Row],[Cycles]]</f>
        <v>0</v>
      </c>
      <c r="G36" s="46">
        <f>SUMPRODUCT($H$2:$DY$2,$H36:$DY36)*E36*D36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47"/>
      <c r="DP36" s="47"/>
      <c r="DQ36" s="47"/>
      <c r="DR36" s="47"/>
      <c r="DS36" s="47"/>
      <c r="DT36" s="47"/>
      <c r="DU36" s="47"/>
      <c r="DV36" s="47"/>
      <c r="DW36" s="47"/>
      <c r="DX36" s="47"/>
      <c r="DY36" s="47"/>
      <c r="DZ36" s="219"/>
      <c r="EA36" s="231"/>
      <c r="EB36" s="231"/>
      <c r="EC36" s="231"/>
      <c r="ED36" s="231"/>
      <c r="EE36" s="231"/>
      <c r="EF36" s="231"/>
      <c r="EG36" s="231"/>
      <c r="EH36" s="231"/>
      <c r="EI36" s="231"/>
      <c r="EJ36" s="231"/>
      <c r="EK36" s="231"/>
      <c r="EL36" s="231"/>
      <c r="EM36" s="231"/>
      <c r="EN36" s="231"/>
      <c r="EO36" s="231"/>
      <c r="EP36" s="231"/>
      <c r="EQ36" s="231"/>
    </row>
    <row r="37" spans="1:147" s="40" customFormat="1" ht="22.9" customHeight="1" outlineLevel="1" x14ac:dyDescent="0.2">
      <c r="A37" s="149" t="s">
        <v>455</v>
      </c>
      <c r="B37" s="34" t="s">
        <v>210</v>
      </c>
      <c r="C37" s="30" t="s">
        <v>100</v>
      </c>
      <c r="D37" s="164"/>
      <c r="E37" s="164"/>
      <c r="F37" s="45">
        <f>SUM(F39:F47)</f>
        <v>0</v>
      </c>
      <c r="G37" s="44">
        <f>SUM(G39:G47)</f>
        <v>0</v>
      </c>
      <c r="H37" s="45">
        <f>SUMPRODUCT($E$38:$E$41,$D$38:$D$41,H38:H41)</f>
        <v>0</v>
      </c>
      <c r="I37" s="45">
        <f t="shared" ref="I37:BT37" si="20">SUMPRODUCT($E$38:$E$41,$D$38:$D$41,I38:I41)</f>
        <v>0</v>
      </c>
      <c r="J37" s="45">
        <f t="shared" si="20"/>
        <v>0</v>
      </c>
      <c r="K37" s="45">
        <f t="shared" si="20"/>
        <v>0</v>
      </c>
      <c r="L37" s="45">
        <f t="shared" si="20"/>
        <v>0</v>
      </c>
      <c r="M37" s="45">
        <f t="shared" si="20"/>
        <v>0</v>
      </c>
      <c r="N37" s="45">
        <f t="shared" si="20"/>
        <v>0</v>
      </c>
      <c r="O37" s="45">
        <f t="shared" si="20"/>
        <v>0</v>
      </c>
      <c r="P37" s="45">
        <f t="shared" si="20"/>
        <v>0</v>
      </c>
      <c r="Q37" s="45">
        <f t="shared" si="20"/>
        <v>0</v>
      </c>
      <c r="R37" s="45">
        <f t="shared" si="20"/>
        <v>0</v>
      </c>
      <c r="S37" s="45">
        <f t="shared" si="20"/>
        <v>0</v>
      </c>
      <c r="T37" s="45">
        <f t="shared" si="20"/>
        <v>0</v>
      </c>
      <c r="U37" s="45">
        <f t="shared" si="20"/>
        <v>0</v>
      </c>
      <c r="V37" s="45">
        <f t="shared" si="20"/>
        <v>0</v>
      </c>
      <c r="W37" s="45">
        <f t="shared" si="20"/>
        <v>0</v>
      </c>
      <c r="X37" s="45">
        <f t="shared" si="20"/>
        <v>0</v>
      </c>
      <c r="Y37" s="45">
        <f t="shared" si="20"/>
        <v>0</v>
      </c>
      <c r="Z37" s="45">
        <f t="shared" si="20"/>
        <v>0</v>
      </c>
      <c r="AA37" s="45">
        <f t="shared" si="20"/>
        <v>0</v>
      </c>
      <c r="AB37" s="45">
        <f t="shared" si="20"/>
        <v>0</v>
      </c>
      <c r="AC37" s="45">
        <f t="shared" si="20"/>
        <v>0</v>
      </c>
      <c r="AD37" s="45">
        <f t="shared" si="20"/>
        <v>0</v>
      </c>
      <c r="AE37" s="45">
        <f t="shared" si="20"/>
        <v>0</v>
      </c>
      <c r="AF37" s="45">
        <f t="shared" si="20"/>
        <v>0</v>
      </c>
      <c r="AG37" s="45">
        <f t="shared" si="20"/>
        <v>0</v>
      </c>
      <c r="AH37" s="45">
        <f t="shared" si="20"/>
        <v>0</v>
      </c>
      <c r="AI37" s="45">
        <f t="shared" si="20"/>
        <v>0</v>
      </c>
      <c r="AJ37" s="45">
        <f t="shared" si="20"/>
        <v>0</v>
      </c>
      <c r="AK37" s="45">
        <f t="shared" si="20"/>
        <v>0</v>
      </c>
      <c r="AL37" s="45">
        <f t="shared" si="20"/>
        <v>0</v>
      </c>
      <c r="AM37" s="45">
        <f t="shared" si="20"/>
        <v>0</v>
      </c>
      <c r="AN37" s="45">
        <f t="shared" si="20"/>
        <v>0</v>
      </c>
      <c r="AO37" s="45">
        <f t="shared" si="20"/>
        <v>0</v>
      </c>
      <c r="AP37" s="45">
        <f t="shared" si="20"/>
        <v>0</v>
      </c>
      <c r="AQ37" s="45">
        <f t="shared" si="20"/>
        <v>0</v>
      </c>
      <c r="AR37" s="45">
        <f t="shared" si="20"/>
        <v>0</v>
      </c>
      <c r="AS37" s="45">
        <f t="shared" si="20"/>
        <v>0</v>
      </c>
      <c r="AT37" s="45">
        <f t="shared" si="20"/>
        <v>0</v>
      </c>
      <c r="AU37" s="45">
        <f t="shared" si="20"/>
        <v>0</v>
      </c>
      <c r="AV37" s="45">
        <f t="shared" si="20"/>
        <v>0</v>
      </c>
      <c r="AW37" s="45">
        <f t="shared" si="20"/>
        <v>0</v>
      </c>
      <c r="AX37" s="45">
        <f t="shared" si="20"/>
        <v>0</v>
      </c>
      <c r="AY37" s="45">
        <f t="shared" si="20"/>
        <v>0</v>
      </c>
      <c r="AZ37" s="45">
        <f t="shared" si="20"/>
        <v>0</v>
      </c>
      <c r="BA37" s="45">
        <f t="shared" si="20"/>
        <v>0</v>
      </c>
      <c r="BB37" s="45">
        <f t="shared" si="20"/>
        <v>0</v>
      </c>
      <c r="BC37" s="45">
        <f t="shared" si="20"/>
        <v>0</v>
      </c>
      <c r="BD37" s="45">
        <f t="shared" si="20"/>
        <v>0</v>
      </c>
      <c r="BE37" s="45">
        <f t="shared" si="20"/>
        <v>0</v>
      </c>
      <c r="BF37" s="45">
        <f t="shared" si="20"/>
        <v>0</v>
      </c>
      <c r="BG37" s="45">
        <f t="shared" si="20"/>
        <v>0</v>
      </c>
      <c r="BH37" s="45">
        <f t="shared" si="20"/>
        <v>0</v>
      </c>
      <c r="BI37" s="45">
        <f t="shared" si="20"/>
        <v>0</v>
      </c>
      <c r="BJ37" s="45">
        <f t="shared" si="20"/>
        <v>0</v>
      </c>
      <c r="BK37" s="45">
        <f t="shared" si="20"/>
        <v>0</v>
      </c>
      <c r="BL37" s="45">
        <f t="shared" si="20"/>
        <v>0</v>
      </c>
      <c r="BM37" s="45">
        <f t="shared" si="20"/>
        <v>0</v>
      </c>
      <c r="BN37" s="45">
        <f t="shared" si="20"/>
        <v>0</v>
      </c>
      <c r="BO37" s="45">
        <f t="shared" si="20"/>
        <v>0</v>
      </c>
      <c r="BP37" s="45">
        <f>SUMPRODUCT($E$38:$E$41,$D$38:$D$41,BP38:BP41)</f>
        <v>0</v>
      </c>
      <c r="BQ37" s="45">
        <f t="shared" si="20"/>
        <v>0</v>
      </c>
      <c r="BR37" s="45">
        <f t="shared" si="20"/>
        <v>0</v>
      </c>
      <c r="BS37" s="45">
        <f t="shared" si="20"/>
        <v>0</v>
      </c>
      <c r="BT37" s="45">
        <f t="shared" si="20"/>
        <v>0</v>
      </c>
      <c r="BU37" s="45">
        <f t="shared" ref="BU37:DY37" si="21">SUMPRODUCT($E$38:$E$41,$D$38:$D$41,BU38:BU41)</f>
        <v>0</v>
      </c>
      <c r="BV37" s="45">
        <f t="shared" si="21"/>
        <v>0</v>
      </c>
      <c r="BW37" s="45">
        <f>SUMPRODUCT($E$38:$E$41,$D$38:$D$41,BW38:BW41)</f>
        <v>0</v>
      </c>
      <c r="BX37" s="45">
        <f t="shared" si="21"/>
        <v>0</v>
      </c>
      <c r="BY37" s="45">
        <f t="shared" si="21"/>
        <v>0</v>
      </c>
      <c r="BZ37" s="45">
        <f t="shared" si="21"/>
        <v>0</v>
      </c>
      <c r="CA37" s="45">
        <f t="shared" si="21"/>
        <v>0</v>
      </c>
      <c r="CB37" s="45">
        <f t="shared" si="21"/>
        <v>0</v>
      </c>
      <c r="CC37" s="45">
        <f t="shared" si="21"/>
        <v>0</v>
      </c>
      <c r="CD37" s="45">
        <f t="shared" si="21"/>
        <v>0</v>
      </c>
      <c r="CE37" s="45">
        <f t="shared" si="21"/>
        <v>0</v>
      </c>
      <c r="CF37" s="45">
        <f t="shared" si="21"/>
        <v>0</v>
      </c>
      <c r="CG37" s="45">
        <f t="shared" si="21"/>
        <v>0</v>
      </c>
      <c r="CH37" s="45">
        <f t="shared" si="21"/>
        <v>0</v>
      </c>
      <c r="CI37" s="45">
        <f t="shared" si="21"/>
        <v>0</v>
      </c>
      <c r="CJ37" s="45">
        <f t="shared" si="21"/>
        <v>0</v>
      </c>
      <c r="CK37" s="45">
        <f t="shared" si="21"/>
        <v>0</v>
      </c>
      <c r="CL37" s="45">
        <f t="shared" si="21"/>
        <v>0</v>
      </c>
      <c r="CM37" s="45">
        <f t="shared" si="21"/>
        <v>0</v>
      </c>
      <c r="CN37" s="45">
        <f t="shared" si="21"/>
        <v>0</v>
      </c>
      <c r="CO37" s="45">
        <f t="shared" si="21"/>
        <v>0</v>
      </c>
      <c r="CP37" s="45">
        <f t="shared" si="21"/>
        <v>0</v>
      </c>
      <c r="CQ37" s="45">
        <f t="shared" si="21"/>
        <v>0</v>
      </c>
      <c r="CR37" s="45">
        <f t="shared" si="21"/>
        <v>0</v>
      </c>
      <c r="CS37" s="45">
        <f t="shared" si="21"/>
        <v>0</v>
      </c>
      <c r="CT37" s="45">
        <f t="shared" si="21"/>
        <v>0</v>
      </c>
      <c r="CU37" s="45">
        <f t="shared" si="21"/>
        <v>0</v>
      </c>
      <c r="CV37" s="45">
        <f t="shared" si="21"/>
        <v>0</v>
      </c>
      <c r="CW37" s="45">
        <f t="shared" si="21"/>
        <v>0</v>
      </c>
      <c r="CX37" s="45">
        <f t="shared" si="21"/>
        <v>0</v>
      </c>
      <c r="CY37" s="45">
        <f t="shared" si="21"/>
        <v>0</v>
      </c>
      <c r="CZ37" s="45">
        <f t="shared" si="21"/>
        <v>0</v>
      </c>
      <c r="DA37" s="45">
        <f t="shared" si="21"/>
        <v>0</v>
      </c>
      <c r="DB37" s="45">
        <f t="shared" si="21"/>
        <v>0</v>
      </c>
      <c r="DC37" s="45">
        <f t="shared" si="21"/>
        <v>0</v>
      </c>
      <c r="DD37" s="45">
        <f t="shared" si="21"/>
        <v>0</v>
      </c>
      <c r="DE37" s="45">
        <f t="shared" si="21"/>
        <v>0</v>
      </c>
      <c r="DF37" s="45">
        <f t="shared" si="21"/>
        <v>0</v>
      </c>
      <c r="DG37" s="45">
        <f t="shared" si="21"/>
        <v>0</v>
      </c>
      <c r="DH37" s="45">
        <f t="shared" si="21"/>
        <v>0</v>
      </c>
      <c r="DI37" s="45">
        <f t="shared" si="21"/>
        <v>0</v>
      </c>
      <c r="DJ37" s="45">
        <f t="shared" si="21"/>
        <v>0</v>
      </c>
      <c r="DK37" s="45">
        <f t="shared" si="21"/>
        <v>0</v>
      </c>
      <c r="DL37" s="45">
        <f t="shared" si="21"/>
        <v>0</v>
      </c>
      <c r="DM37" s="45">
        <f t="shared" si="21"/>
        <v>0</v>
      </c>
      <c r="DN37" s="45">
        <f t="shared" si="21"/>
        <v>0</v>
      </c>
      <c r="DO37" s="45">
        <f t="shared" si="21"/>
        <v>0</v>
      </c>
      <c r="DP37" s="45">
        <f t="shared" si="21"/>
        <v>0</v>
      </c>
      <c r="DQ37" s="45">
        <f t="shared" si="21"/>
        <v>0</v>
      </c>
      <c r="DR37" s="45">
        <f t="shared" si="21"/>
        <v>0</v>
      </c>
      <c r="DS37" s="45">
        <f t="shared" si="21"/>
        <v>0</v>
      </c>
      <c r="DT37" s="45">
        <f t="shared" si="21"/>
        <v>0</v>
      </c>
      <c r="DU37" s="45">
        <f t="shared" si="21"/>
        <v>0</v>
      </c>
      <c r="DV37" s="45">
        <f t="shared" si="21"/>
        <v>0</v>
      </c>
      <c r="DW37" s="45">
        <f t="shared" si="21"/>
        <v>0</v>
      </c>
      <c r="DX37" s="45">
        <f t="shared" si="21"/>
        <v>0</v>
      </c>
      <c r="DY37" s="45">
        <f t="shared" si="21"/>
        <v>0</v>
      </c>
      <c r="DZ37" s="218"/>
      <c r="EA37" s="231"/>
      <c r="EB37" s="231"/>
      <c r="EC37" s="231"/>
      <c r="ED37" s="231"/>
      <c r="EE37" s="231"/>
      <c r="EF37" s="231"/>
      <c r="EG37" s="231"/>
      <c r="EH37" s="231"/>
      <c r="EI37" s="231"/>
      <c r="EJ37" s="231"/>
      <c r="EK37" s="231"/>
      <c r="EL37" s="231"/>
      <c r="EM37" s="231"/>
      <c r="EN37" s="231"/>
      <c r="EO37" s="231"/>
      <c r="EP37" s="231"/>
      <c r="EQ37" s="231"/>
    </row>
    <row r="38" spans="1:147" ht="22.9" customHeight="1" outlineLevel="2" x14ac:dyDescent="0.2">
      <c r="A38" s="146" t="s">
        <v>521</v>
      </c>
      <c r="B38" s="53" t="s">
        <v>123</v>
      </c>
      <c r="C38" s="50" t="s">
        <v>235</v>
      </c>
      <c r="D38" s="165">
        <v>1</v>
      </c>
      <c r="E38" s="158" t="s">
        <v>454</v>
      </c>
      <c r="F38" s="52">
        <f>SUM(H38:DY38)*E38*Table1[[#This Row],[Cycles]]</f>
        <v>0</v>
      </c>
      <c r="G38" s="46">
        <f>SUMPRODUCT($H$2:$DY$2,$H38:$DY38)*E38*D38</f>
        <v>0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47"/>
      <c r="DP38" s="47"/>
      <c r="DQ38" s="47"/>
      <c r="DR38" s="47"/>
      <c r="DS38" s="47"/>
      <c r="DT38" s="47"/>
      <c r="DU38" s="47"/>
      <c r="DV38" s="47"/>
      <c r="DW38" s="47"/>
      <c r="DX38" s="47"/>
      <c r="DY38" s="47"/>
      <c r="DZ38" s="219"/>
      <c r="EA38" s="231"/>
      <c r="EB38" s="231"/>
      <c r="EC38" s="231"/>
      <c r="ED38" s="231"/>
      <c r="EE38" s="231"/>
      <c r="EF38" s="231"/>
      <c r="EG38" s="231"/>
      <c r="EH38" s="231"/>
      <c r="EI38" s="231"/>
      <c r="EJ38" s="231"/>
      <c r="EK38" s="231"/>
      <c r="EL38" s="231"/>
      <c r="EM38" s="231"/>
      <c r="EN38" s="231"/>
      <c r="EO38" s="231"/>
      <c r="EP38" s="231"/>
      <c r="EQ38" s="231"/>
    </row>
    <row r="39" spans="1:147" ht="22.9" customHeight="1" outlineLevel="2" x14ac:dyDescent="0.2">
      <c r="A39" s="146" t="s">
        <v>522</v>
      </c>
      <c r="B39" s="53" t="s">
        <v>3</v>
      </c>
      <c r="C39" s="50" t="s">
        <v>235</v>
      </c>
      <c r="D39" s="165">
        <v>1</v>
      </c>
      <c r="E39" s="158" t="s">
        <v>454</v>
      </c>
      <c r="F39" s="52">
        <f>SUM(H39:DY39)*E39*Table1[[#This Row],[Cycles]]</f>
        <v>0</v>
      </c>
      <c r="G39" s="46">
        <f>SUMPRODUCT($H$2:$DY$2,$H39:$DY39)*E39*D39</f>
        <v>0</v>
      </c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219"/>
      <c r="EA39" s="231"/>
      <c r="EB39" s="231"/>
      <c r="EC39" s="231"/>
      <c r="ED39" s="231"/>
      <c r="EE39" s="231"/>
      <c r="EF39" s="231"/>
      <c r="EG39" s="231"/>
      <c r="EH39" s="231"/>
      <c r="EI39" s="231"/>
      <c r="EJ39" s="231"/>
      <c r="EK39" s="231"/>
      <c r="EL39" s="231"/>
      <c r="EM39" s="231"/>
      <c r="EN39" s="231"/>
      <c r="EO39" s="231"/>
      <c r="EP39" s="231"/>
      <c r="EQ39" s="231"/>
    </row>
    <row r="40" spans="1:147" ht="22.9" customHeight="1" outlineLevel="2" x14ac:dyDescent="0.2">
      <c r="A40" s="146" t="s">
        <v>523</v>
      </c>
      <c r="B40" s="53" t="s">
        <v>724</v>
      </c>
      <c r="C40" s="50" t="s">
        <v>235</v>
      </c>
      <c r="D40" s="165">
        <v>1</v>
      </c>
      <c r="E40" s="158" t="s">
        <v>454</v>
      </c>
      <c r="F40" s="52">
        <f>SUM(H40:DY40)*E40*Table1[[#This Row],[Cycles]]</f>
        <v>0</v>
      </c>
      <c r="G40" s="46">
        <f>SUMPRODUCT($H$2:$DY$2,$H40:$DY40)*E40*D40</f>
        <v>0</v>
      </c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219"/>
      <c r="EA40" s="231"/>
      <c r="EB40" s="231"/>
      <c r="EC40" s="231"/>
      <c r="ED40" s="231"/>
      <c r="EE40" s="231"/>
      <c r="EF40" s="231"/>
      <c r="EG40" s="231"/>
      <c r="EH40" s="231"/>
      <c r="EI40" s="231"/>
      <c r="EJ40" s="231"/>
      <c r="EK40" s="231"/>
      <c r="EL40" s="231"/>
      <c r="EM40" s="231"/>
      <c r="EN40" s="231"/>
      <c r="EO40" s="231"/>
      <c r="EP40" s="231"/>
      <c r="EQ40" s="231"/>
    </row>
    <row r="41" spans="1:147" ht="22.9" customHeight="1" outlineLevel="2" x14ac:dyDescent="0.2">
      <c r="A41" s="146" t="s">
        <v>723</v>
      </c>
      <c r="B41" s="53" t="s">
        <v>794</v>
      </c>
      <c r="C41" s="50" t="s">
        <v>235</v>
      </c>
      <c r="D41" s="165">
        <v>1</v>
      </c>
      <c r="E41" s="158" t="s">
        <v>454</v>
      </c>
      <c r="F41" s="52">
        <f>SUM(H41:DY41)*E41*Table1[[#This Row],[Cycles]]</f>
        <v>0</v>
      </c>
      <c r="G41" s="46">
        <f>SUMPRODUCT($H$2:$DY$2,$H41:$DY41)*E41*D41</f>
        <v>0</v>
      </c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219"/>
      <c r="EA41" s="231"/>
      <c r="EB41" s="231"/>
      <c r="EC41" s="231"/>
      <c r="ED41" s="231"/>
      <c r="EE41" s="231"/>
      <c r="EF41" s="231"/>
      <c r="EG41" s="231"/>
      <c r="EH41" s="231"/>
      <c r="EI41" s="231"/>
      <c r="EJ41" s="231"/>
      <c r="EK41" s="231"/>
      <c r="EL41" s="231"/>
      <c r="EM41" s="231"/>
      <c r="EN41" s="231"/>
      <c r="EO41" s="231"/>
      <c r="EP41" s="231"/>
      <c r="EQ41" s="231"/>
    </row>
    <row r="42" spans="1:147" s="40" customFormat="1" ht="22.9" customHeight="1" outlineLevel="1" x14ac:dyDescent="0.2">
      <c r="A42" s="149" t="s">
        <v>524</v>
      </c>
      <c r="B42" s="34" t="s">
        <v>479</v>
      </c>
      <c r="C42" s="30" t="s">
        <v>100</v>
      </c>
      <c r="D42" s="164"/>
      <c r="E42" s="164"/>
      <c r="F42" s="45">
        <f>SUM(F44:F52)</f>
        <v>0</v>
      </c>
      <c r="G42" s="44">
        <f>SUM(G44:G52)</f>
        <v>0</v>
      </c>
      <c r="H42" s="45">
        <f>SUMPRODUCT($E$43:$E$52,$D$43:$D$52,H43:H52)</f>
        <v>0</v>
      </c>
      <c r="I42" s="45">
        <f t="shared" ref="I42:BT42" si="22">SUMPRODUCT($E$43:$E$52,$D$43:$D$52,I43:I52)</f>
        <v>0</v>
      </c>
      <c r="J42" s="45">
        <f t="shared" si="22"/>
        <v>0</v>
      </c>
      <c r="K42" s="45">
        <f t="shared" si="22"/>
        <v>0</v>
      </c>
      <c r="L42" s="45">
        <f t="shared" si="22"/>
        <v>0</v>
      </c>
      <c r="M42" s="45">
        <f t="shared" si="22"/>
        <v>0</v>
      </c>
      <c r="N42" s="45">
        <f t="shared" si="22"/>
        <v>0</v>
      </c>
      <c r="O42" s="45">
        <f t="shared" si="22"/>
        <v>0</v>
      </c>
      <c r="P42" s="45">
        <f t="shared" si="22"/>
        <v>0</v>
      </c>
      <c r="Q42" s="45">
        <f t="shared" si="22"/>
        <v>0</v>
      </c>
      <c r="R42" s="45">
        <f t="shared" si="22"/>
        <v>0</v>
      </c>
      <c r="S42" s="45">
        <f t="shared" si="22"/>
        <v>0</v>
      </c>
      <c r="T42" s="45">
        <f t="shared" si="22"/>
        <v>0</v>
      </c>
      <c r="U42" s="45">
        <f t="shared" si="22"/>
        <v>0</v>
      </c>
      <c r="V42" s="45">
        <f t="shared" si="22"/>
        <v>0</v>
      </c>
      <c r="W42" s="45">
        <f t="shared" si="22"/>
        <v>0</v>
      </c>
      <c r="X42" s="45">
        <f t="shared" si="22"/>
        <v>0</v>
      </c>
      <c r="Y42" s="45">
        <f t="shared" si="22"/>
        <v>0</v>
      </c>
      <c r="Z42" s="45">
        <f t="shared" si="22"/>
        <v>0</v>
      </c>
      <c r="AA42" s="45">
        <f t="shared" si="22"/>
        <v>0</v>
      </c>
      <c r="AB42" s="45">
        <f t="shared" si="22"/>
        <v>0</v>
      </c>
      <c r="AC42" s="45">
        <f t="shared" si="22"/>
        <v>0</v>
      </c>
      <c r="AD42" s="45">
        <f t="shared" si="22"/>
        <v>0</v>
      </c>
      <c r="AE42" s="45">
        <f t="shared" si="22"/>
        <v>0</v>
      </c>
      <c r="AF42" s="45">
        <f t="shared" si="22"/>
        <v>0</v>
      </c>
      <c r="AG42" s="45">
        <f t="shared" si="22"/>
        <v>0</v>
      </c>
      <c r="AH42" s="45">
        <f t="shared" si="22"/>
        <v>0</v>
      </c>
      <c r="AI42" s="45">
        <f t="shared" si="22"/>
        <v>0</v>
      </c>
      <c r="AJ42" s="45">
        <f t="shared" si="22"/>
        <v>0</v>
      </c>
      <c r="AK42" s="45">
        <f t="shared" si="22"/>
        <v>0</v>
      </c>
      <c r="AL42" s="45">
        <f t="shared" si="22"/>
        <v>0</v>
      </c>
      <c r="AM42" s="45">
        <f t="shared" si="22"/>
        <v>0</v>
      </c>
      <c r="AN42" s="45">
        <f t="shared" si="22"/>
        <v>0</v>
      </c>
      <c r="AO42" s="45">
        <f t="shared" si="22"/>
        <v>0</v>
      </c>
      <c r="AP42" s="45">
        <f t="shared" si="22"/>
        <v>0</v>
      </c>
      <c r="AQ42" s="45">
        <f t="shared" si="22"/>
        <v>0</v>
      </c>
      <c r="AR42" s="45">
        <f t="shared" si="22"/>
        <v>0</v>
      </c>
      <c r="AS42" s="45">
        <f t="shared" si="22"/>
        <v>0</v>
      </c>
      <c r="AT42" s="45">
        <f t="shared" si="22"/>
        <v>0</v>
      </c>
      <c r="AU42" s="45">
        <f t="shared" si="22"/>
        <v>0</v>
      </c>
      <c r="AV42" s="45">
        <f t="shared" si="22"/>
        <v>0</v>
      </c>
      <c r="AW42" s="45">
        <f t="shared" si="22"/>
        <v>0</v>
      </c>
      <c r="AX42" s="45">
        <f t="shared" si="22"/>
        <v>0</v>
      </c>
      <c r="AY42" s="45">
        <f t="shared" si="22"/>
        <v>0</v>
      </c>
      <c r="AZ42" s="45">
        <f t="shared" si="22"/>
        <v>0</v>
      </c>
      <c r="BA42" s="45">
        <f t="shared" si="22"/>
        <v>0</v>
      </c>
      <c r="BB42" s="45">
        <f t="shared" si="22"/>
        <v>0</v>
      </c>
      <c r="BC42" s="45">
        <f t="shared" si="22"/>
        <v>0</v>
      </c>
      <c r="BD42" s="45">
        <f t="shared" si="22"/>
        <v>0</v>
      </c>
      <c r="BE42" s="45">
        <f t="shared" si="22"/>
        <v>0</v>
      </c>
      <c r="BF42" s="45">
        <f t="shared" si="22"/>
        <v>0</v>
      </c>
      <c r="BG42" s="45">
        <f t="shared" si="22"/>
        <v>0</v>
      </c>
      <c r="BH42" s="45">
        <f t="shared" si="22"/>
        <v>0</v>
      </c>
      <c r="BI42" s="45">
        <f t="shared" si="22"/>
        <v>0</v>
      </c>
      <c r="BJ42" s="45">
        <f t="shared" si="22"/>
        <v>0</v>
      </c>
      <c r="BK42" s="45">
        <f t="shared" si="22"/>
        <v>0</v>
      </c>
      <c r="BL42" s="45">
        <f t="shared" si="22"/>
        <v>0</v>
      </c>
      <c r="BM42" s="45">
        <f t="shared" si="22"/>
        <v>0</v>
      </c>
      <c r="BN42" s="45">
        <f t="shared" si="22"/>
        <v>0</v>
      </c>
      <c r="BO42" s="45">
        <f t="shared" si="22"/>
        <v>0</v>
      </c>
      <c r="BP42" s="45">
        <f t="shared" si="22"/>
        <v>0</v>
      </c>
      <c r="BQ42" s="45">
        <f t="shared" si="22"/>
        <v>0</v>
      </c>
      <c r="BR42" s="45">
        <f t="shared" si="22"/>
        <v>0</v>
      </c>
      <c r="BS42" s="45">
        <f t="shared" si="22"/>
        <v>0</v>
      </c>
      <c r="BT42" s="45">
        <f t="shared" si="22"/>
        <v>0</v>
      </c>
      <c r="BU42" s="45">
        <f t="shared" ref="BU42:DX42" si="23">SUMPRODUCT($E$43:$E$52,$D$43:$D$52,BU43:BU52)</f>
        <v>0</v>
      </c>
      <c r="BV42" s="45">
        <f>SUMPRODUCT($E$43:$E$52,$D$43:$D$52,BV43:BV52)</f>
        <v>0</v>
      </c>
      <c r="BW42" s="45">
        <f t="shared" si="23"/>
        <v>0</v>
      </c>
      <c r="BX42" s="45">
        <f t="shared" si="23"/>
        <v>0</v>
      </c>
      <c r="BY42" s="45">
        <f t="shared" si="23"/>
        <v>0</v>
      </c>
      <c r="BZ42" s="45">
        <f t="shared" si="23"/>
        <v>0</v>
      </c>
      <c r="CA42" s="45">
        <f t="shared" si="23"/>
        <v>0</v>
      </c>
      <c r="CB42" s="45">
        <f t="shared" si="23"/>
        <v>0</v>
      </c>
      <c r="CC42" s="45">
        <f t="shared" si="23"/>
        <v>0</v>
      </c>
      <c r="CD42" s="45">
        <f t="shared" si="23"/>
        <v>0</v>
      </c>
      <c r="CE42" s="45">
        <f t="shared" si="23"/>
        <v>0</v>
      </c>
      <c r="CF42" s="45">
        <f t="shared" si="23"/>
        <v>0</v>
      </c>
      <c r="CG42" s="45">
        <f t="shared" si="23"/>
        <v>0</v>
      </c>
      <c r="CH42" s="45">
        <f t="shared" si="23"/>
        <v>0</v>
      </c>
      <c r="CI42" s="45">
        <f t="shared" si="23"/>
        <v>0</v>
      </c>
      <c r="CJ42" s="45">
        <f t="shared" si="23"/>
        <v>0</v>
      </c>
      <c r="CK42" s="45">
        <f t="shared" si="23"/>
        <v>0</v>
      </c>
      <c r="CL42" s="45">
        <f t="shared" si="23"/>
        <v>0</v>
      </c>
      <c r="CM42" s="45">
        <f t="shared" si="23"/>
        <v>0</v>
      </c>
      <c r="CN42" s="45">
        <f t="shared" si="23"/>
        <v>0</v>
      </c>
      <c r="CO42" s="45">
        <f t="shared" si="23"/>
        <v>0</v>
      </c>
      <c r="CP42" s="45">
        <f t="shared" si="23"/>
        <v>0</v>
      </c>
      <c r="CQ42" s="45">
        <f t="shared" si="23"/>
        <v>0</v>
      </c>
      <c r="CR42" s="45">
        <f t="shared" si="23"/>
        <v>0</v>
      </c>
      <c r="CS42" s="45">
        <f t="shared" si="23"/>
        <v>0</v>
      </c>
      <c r="CT42" s="45">
        <f t="shared" si="23"/>
        <v>0</v>
      </c>
      <c r="CU42" s="45">
        <f t="shared" si="23"/>
        <v>0</v>
      </c>
      <c r="CV42" s="45">
        <f t="shared" si="23"/>
        <v>0</v>
      </c>
      <c r="CW42" s="45">
        <f t="shared" si="23"/>
        <v>0</v>
      </c>
      <c r="CX42" s="45">
        <f t="shared" si="23"/>
        <v>0</v>
      </c>
      <c r="CY42" s="45">
        <f t="shared" si="23"/>
        <v>0</v>
      </c>
      <c r="CZ42" s="45">
        <f t="shared" si="23"/>
        <v>0</v>
      </c>
      <c r="DA42" s="45">
        <f t="shared" si="23"/>
        <v>0</v>
      </c>
      <c r="DB42" s="45">
        <f t="shared" si="23"/>
        <v>0</v>
      </c>
      <c r="DC42" s="45">
        <f t="shared" si="23"/>
        <v>0</v>
      </c>
      <c r="DD42" s="45">
        <f t="shared" si="23"/>
        <v>0</v>
      </c>
      <c r="DE42" s="45">
        <f t="shared" si="23"/>
        <v>0</v>
      </c>
      <c r="DF42" s="45">
        <f t="shared" si="23"/>
        <v>0</v>
      </c>
      <c r="DG42" s="45">
        <f t="shared" si="23"/>
        <v>0</v>
      </c>
      <c r="DH42" s="45">
        <f t="shared" si="23"/>
        <v>0</v>
      </c>
      <c r="DI42" s="45">
        <f t="shared" si="23"/>
        <v>0</v>
      </c>
      <c r="DJ42" s="45">
        <f t="shared" si="23"/>
        <v>0</v>
      </c>
      <c r="DK42" s="45">
        <f t="shared" si="23"/>
        <v>0</v>
      </c>
      <c r="DL42" s="45">
        <f t="shared" si="23"/>
        <v>0</v>
      </c>
      <c r="DM42" s="45">
        <f t="shared" si="23"/>
        <v>0</v>
      </c>
      <c r="DN42" s="45">
        <f t="shared" si="23"/>
        <v>0</v>
      </c>
      <c r="DO42" s="45">
        <f t="shared" si="23"/>
        <v>0</v>
      </c>
      <c r="DP42" s="45">
        <f t="shared" si="23"/>
        <v>0</v>
      </c>
      <c r="DQ42" s="45">
        <f t="shared" si="23"/>
        <v>0</v>
      </c>
      <c r="DR42" s="45">
        <f t="shared" si="23"/>
        <v>0</v>
      </c>
      <c r="DS42" s="45">
        <f t="shared" si="23"/>
        <v>0</v>
      </c>
      <c r="DT42" s="45">
        <f t="shared" si="23"/>
        <v>0</v>
      </c>
      <c r="DU42" s="45">
        <f t="shared" si="23"/>
        <v>0</v>
      </c>
      <c r="DV42" s="45">
        <f t="shared" si="23"/>
        <v>0</v>
      </c>
      <c r="DW42" s="45">
        <f t="shared" si="23"/>
        <v>0</v>
      </c>
      <c r="DX42" s="45">
        <f t="shared" si="23"/>
        <v>0</v>
      </c>
      <c r="DY42" s="45">
        <f>SUMPRODUCT($E$43:$E$52,$D$43:$D$52,DY43:DY52)</f>
        <v>0</v>
      </c>
      <c r="DZ42" s="218"/>
      <c r="EA42" s="231"/>
      <c r="EB42" s="231"/>
      <c r="EC42" s="231"/>
      <c r="ED42" s="231"/>
      <c r="EE42" s="231"/>
      <c r="EF42" s="231"/>
      <c r="EG42" s="231"/>
      <c r="EH42" s="231"/>
      <c r="EI42" s="231"/>
      <c r="EJ42" s="231"/>
      <c r="EK42" s="231"/>
      <c r="EL42" s="231"/>
      <c r="EM42" s="231"/>
      <c r="EN42" s="231"/>
      <c r="EO42" s="231"/>
      <c r="EP42" s="231"/>
      <c r="EQ42" s="231"/>
    </row>
    <row r="43" spans="1:147" ht="22.9" customHeight="1" outlineLevel="2" x14ac:dyDescent="0.2">
      <c r="A43" s="146" t="s">
        <v>525</v>
      </c>
      <c r="B43" s="53" t="s">
        <v>101</v>
      </c>
      <c r="C43" s="50" t="s">
        <v>133</v>
      </c>
      <c r="D43" s="165">
        <v>1</v>
      </c>
      <c r="E43" s="158">
        <v>1</v>
      </c>
      <c r="F43" s="52">
        <f>SUM(H43:DY43)*E43*Table1[[#This Row],[Cycles]]</f>
        <v>0</v>
      </c>
      <c r="G43" s="46">
        <f>SUMPRODUCT($H$2:$DY$2,$H43:$DY43)*E43*D43</f>
        <v>0</v>
      </c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219"/>
      <c r="EA43" s="231"/>
      <c r="EB43" s="231"/>
      <c r="EC43" s="231"/>
      <c r="ED43" s="231"/>
      <c r="EE43" s="231"/>
      <c r="EF43" s="231"/>
      <c r="EG43" s="231"/>
      <c r="EH43" s="231"/>
      <c r="EI43" s="231"/>
      <c r="EJ43" s="231"/>
      <c r="EK43" s="231"/>
      <c r="EL43" s="231"/>
      <c r="EM43" s="231"/>
      <c r="EN43" s="231"/>
      <c r="EO43" s="231"/>
      <c r="EP43" s="231"/>
      <c r="EQ43" s="231"/>
    </row>
    <row r="44" spans="1:147" ht="22.9" customHeight="1" outlineLevel="2" x14ac:dyDescent="0.2">
      <c r="A44" s="146" t="s">
        <v>526</v>
      </c>
      <c r="B44" s="53" t="s">
        <v>125</v>
      </c>
      <c r="C44" s="50" t="s">
        <v>133</v>
      </c>
      <c r="D44" s="165">
        <v>1</v>
      </c>
      <c r="E44" s="158">
        <v>1</v>
      </c>
      <c r="F44" s="52">
        <f>SUM(H44:DY44)*E44*Table1[[#This Row],[Cycles]]</f>
        <v>0</v>
      </c>
      <c r="G44" s="46">
        <f t="shared" ref="G44:G52" si="24">SUMPRODUCT($H$2:$DY$2,$H44:$DY44)*E44*D44</f>
        <v>0</v>
      </c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219"/>
      <c r="EA44" s="231"/>
      <c r="EB44" s="231"/>
      <c r="EC44" s="231"/>
      <c r="ED44" s="231"/>
      <c r="EE44" s="231"/>
      <c r="EF44" s="231"/>
      <c r="EG44" s="231"/>
      <c r="EH44" s="231"/>
      <c r="EI44" s="231"/>
      <c r="EJ44" s="231"/>
      <c r="EK44" s="231"/>
      <c r="EL44" s="231"/>
      <c r="EM44" s="231"/>
      <c r="EN44" s="231"/>
      <c r="EO44" s="231"/>
      <c r="EP44" s="231"/>
      <c r="EQ44" s="231"/>
    </row>
    <row r="45" spans="1:147" ht="22.9" customHeight="1" outlineLevel="2" x14ac:dyDescent="0.2">
      <c r="A45" s="146" t="s">
        <v>527</v>
      </c>
      <c r="B45" s="53" t="s">
        <v>410</v>
      </c>
      <c r="C45" s="50" t="s">
        <v>133</v>
      </c>
      <c r="D45" s="165">
        <v>1</v>
      </c>
      <c r="E45" s="158">
        <v>1</v>
      </c>
      <c r="F45" s="52">
        <f>SUM(H45:DY45)*E45*Table1[[#This Row],[Cycles]]</f>
        <v>0</v>
      </c>
      <c r="G45" s="46">
        <f t="shared" si="24"/>
        <v>0</v>
      </c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219"/>
      <c r="EA45" s="233"/>
      <c r="EB45" s="233"/>
      <c r="EC45" s="233"/>
      <c r="ED45" s="233"/>
      <c r="EE45" s="233"/>
      <c r="EF45" s="233"/>
      <c r="EG45" s="233"/>
      <c r="EH45" s="231"/>
      <c r="EI45" s="231"/>
      <c r="EJ45" s="231"/>
      <c r="EK45" s="231"/>
      <c r="EL45" s="231"/>
      <c r="EM45" s="231"/>
      <c r="EN45" s="231"/>
      <c r="EO45" s="231"/>
      <c r="EP45" s="231"/>
      <c r="EQ45" s="231"/>
    </row>
    <row r="46" spans="1:147" ht="22.9" customHeight="1" outlineLevel="2" x14ac:dyDescent="0.2">
      <c r="A46" s="146" t="s">
        <v>528</v>
      </c>
      <c r="B46" s="53" t="s">
        <v>11</v>
      </c>
      <c r="C46" s="50" t="s">
        <v>133</v>
      </c>
      <c r="D46" s="165">
        <v>1</v>
      </c>
      <c r="E46" s="158">
        <v>3</v>
      </c>
      <c r="F46" s="52">
        <f>SUM(H46:DY46)*E46*Table1[[#This Row],[Cycles]]</f>
        <v>0</v>
      </c>
      <c r="G46" s="46">
        <f t="shared" si="24"/>
        <v>0</v>
      </c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219"/>
      <c r="EA46" s="231"/>
      <c r="EB46" s="231"/>
      <c r="EC46" s="231"/>
      <c r="ED46" s="231"/>
      <c r="EE46" s="231"/>
      <c r="EF46" s="231"/>
      <c r="EG46" s="231"/>
      <c r="EH46" s="231"/>
      <c r="EI46" s="231"/>
      <c r="EJ46" s="231"/>
      <c r="EK46" s="231"/>
      <c r="EL46" s="231"/>
      <c r="EM46" s="231"/>
      <c r="EN46" s="231"/>
      <c r="EO46" s="231"/>
      <c r="EP46" s="231"/>
      <c r="EQ46" s="231"/>
    </row>
    <row r="47" spans="1:147" ht="22.9" customHeight="1" outlineLevel="2" x14ac:dyDescent="0.2">
      <c r="A47" s="146" t="s">
        <v>529</v>
      </c>
      <c r="B47" s="53" t="s">
        <v>12</v>
      </c>
      <c r="C47" s="50" t="s">
        <v>133</v>
      </c>
      <c r="D47" s="165">
        <v>1</v>
      </c>
      <c r="E47" s="158">
        <v>1</v>
      </c>
      <c r="F47" s="52">
        <f>SUM(H47:DY47)*E47*Table1[[#This Row],[Cycles]]</f>
        <v>0</v>
      </c>
      <c r="G47" s="46">
        <f t="shared" si="24"/>
        <v>0</v>
      </c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219"/>
      <c r="EA47" s="231"/>
      <c r="EB47" s="231"/>
      <c r="EC47" s="231"/>
      <c r="ED47" s="231"/>
      <c r="EE47" s="231"/>
      <c r="EF47" s="231"/>
      <c r="EG47" s="231"/>
      <c r="EH47" s="231"/>
      <c r="EI47" s="231"/>
      <c r="EJ47" s="231"/>
      <c r="EK47" s="231"/>
      <c r="EL47" s="231"/>
      <c r="EM47" s="231"/>
      <c r="EN47" s="231"/>
      <c r="EO47" s="231"/>
      <c r="EP47" s="231"/>
      <c r="EQ47" s="231"/>
    </row>
    <row r="48" spans="1:147" ht="22.9" customHeight="1" outlineLevel="2" x14ac:dyDescent="0.2">
      <c r="A48" s="146" t="s">
        <v>530</v>
      </c>
      <c r="B48" s="53" t="s">
        <v>13</v>
      </c>
      <c r="C48" s="50" t="s">
        <v>133</v>
      </c>
      <c r="D48" s="165">
        <v>1</v>
      </c>
      <c r="E48" s="158">
        <v>1</v>
      </c>
      <c r="F48" s="52">
        <f>SUM(H48:DY48)*E48*Table1[[#This Row],[Cycles]]</f>
        <v>0</v>
      </c>
      <c r="G48" s="46">
        <f t="shared" si="24"/>
        <v>0</v>
      </c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47"/>
      <c r="DP48" s="47"/>
      <c r="DQ48" s="47"/>
      <c r="DR48" s="47"/>
      <c r="DS48" s="47"/>
      <c r="DT48" s="47"/>
      <c r="DU48" s="47"/>
      <c r="DV48" s="47"/>
      <c r="DW48" s="47"/>
      <c r="DX48" s="47"/>
      <c r="DY48" s="47"/>
      <c r="DZ48" s="219"/>
      <c r="EA48" s="231"/>
      <c r="EB48" s="231"/>
      <c r="EC48" s="231"/>
      <c r="ED48" s="231"/>
      <c r="EE48" s="231"/>
      <c r="EF48" s="231"/>
      <c r="EG48" s="231"/>
      <c r="EH48" s="231"/>
      <c r="EI48" s="231"/>
      <c r="EJ48" s="231"/>
      <c r="EK48" s="231"/>
      <c r="EL48" s="231"/>
      <c r="EM48" s="231"/>
      <c r="EN48" s="231"/>
      <c r="EO48" s="231"/>
      <c r="EP48" s="231"/>
      <c r="EQ48" s="231"/>
    </row>
    <row r="49" spans="1:147" ht="22.9" customHeight="1" outlineLevel="2" x14ac:dyDescent="0.2">
      <c r="A49" s="146" t="s">
        <v>531</v>
      </c>
      <c r="B49" s="53" t="s">
        <v>14</v>
      </c>
      <c r="C49" s="50" t="s">
        <v>133</v>
      </c>
      <c r="D49" s="165">
        <v>1</v>
      </c>
      <c r="E49" s="158">
        <v>1</v>
      </c>
      <c r="F49" s="52">
        <f>SUM(H49:DY49)*E49*Table1[[#This Row],[Cycles]]</f>
        <v>0</v>
      </c>
      <c r="G49" s="46">
        <f t="shared" si="24"/>
        <v>0</v>
      </c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219"/>
      <c r="EA49" s="231"/>
      <c r="EB49" s="231"/>
      <c r="EC49" s="231"/>
      <c r="ED49" s="231"/>
      <c r="EE49" s="231"/>
      <c r="EF49" s="231"/>
      <c r="EG49" s="231"/>
      <c r="EH49" s="231"/>
      <c r="EI49" s="231"/>
      <c r="EJ49" s="231"/>
      <c r="EK49" s="231"/>
      <c r="EL49" s="231"/>
      <c r="EM49" s="231"/>
      <c r="EN49" s="231"/>
      <c r="EO49" s="231"/>
      <c r="EP49" s="231"/>
      <c r="EQ49" s="231"/>
    </row>
    <row r="50" spans="1:147" ht="22.9" customHeight="1" outlineLevel="2" x14ac:dyDescent="0.2">
      <c r="A50" s="146" t="s">
        <v>532</v>
      </c>
      <c r="B50" s="53" t="s">
        <v>15</v>
      </c>
      <c r="C50" s="50" t="s">
        <v>133</v>
      </c>
      <c r="D50" s="165">
        <v>1</v>
      </c>
      <c r="E50" s="158">
        <v>1</v>
      </c>
      <c r="F50" s="52">
        <f>SUM(H50:DY50)*E50*Table1[[#This Row],[Cycles]]</f>
        <v>0</v>
      </c>
      <c r="G50" s="46">
        <f t="shared" si="24"/>
        <v>0</v>
      </c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47"/>
      <c r="DP50" s="47"/>
      <c r="DQ50" s="47"/>
      <c r="DR50" s="47"/>
      <c r="DS50" s="47"/>
      <c r="DT50" s="47"/>
      <c r="DU50" s="47"/>
      <c r="DV50" s="47"/>
      <c r="DW50" s="47"/>
      <c r="DX50" s="47"/>
      <c r="DY50" s="47"/>
      <c r="DZ50" s="219"/>
      <c r="EA50" s="231"/>
      <c r="EB50" s="231"/>
      <c r="EC50" s="231"/>
      <c r="ED50" s="231"/>
      <c r="EE50" s="231"/>
      <c r="EF50" s="231"/>
      <c r="EG50" s="231"/>
      <c r="EH50" s="231"/>
      <c r="EI50" s="231"/>
      <c r="EJ50" s="231"/>
      <c r="EK50" s="231"/>
      <c r="EL50" s="231"/>
      <c r="EM50" s="231"/>
      <c r="EN50" s="231"/>
      <c r="EO50" s="231"/>
      <c r="EP50" s="231"/>
      <c r="EQ50" s="231"/>
    </row>
    <row r="51" spans="1:147" ht="22.9" customHeight="1" outlineLevel="2" x14ac:dyDescent="0.2">
      <c r="A51" s="146" t="s">
        <v>533</v>
      </c>
      <c r="B51" s="53" t="s">
        <v>16</v>
      </c>
      <c r="C51" s="50" t="s">
        <v>133</v>
      </c>
      <c r="D51" s="165">
        <v>1</v>
      </c>
      <c r="E51" s="158">
        <v>1</v>
      </c>
      <c r="F51" s="52">
        <f>SUM(H51:DY51)*E51*Table1[[#This Row],[Cycles]]</f>
        <v>0</v>
      </c>
      <c r="G51" s="46">
        <f t="shared" si="24"/>
        <v>0</v>
      </c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219"/>
      <c r="EA51" s="231"/>
      <c r="EB51" s="231"/>
      <c r="EC51" s="231"/>
      <c r="ED51" s="231"/>
      <c r="EE51" s="231"/>
      <c r="EF51" s="231"/>
      <c r="EG51" s="231"/>
      <c r="EH51" s="231"/>
      <c r="EI51" s="231"/>
      <c r="EJ51" s="231"/>
      <c r="EK51" s="231"/>
      <c r="EL51" s="231"/>
      <c r="EM51" s="231"/>
      <c r="EN51" s="231"/>
      <c r="EO51" s="231"/>
      <c r="EP51" s="231"/>
      <c r="EQ51" s="231"/>
    </row>
    <row r="52" spans="1:147" ht="22.9" customHeight="1" outlineLevel="2" x14ac:dyDescent="0.2">
      <c r="A52" s="146" t="s">
        <v>534</v>
      </c>
      <c r="B52" s="53" t="s">
        <v>107</v>
      </c>
      <c r="C52" s="50" t="s">
        <v>133</v>
      </c>
      <c r="D52" s="165">
        <v>1</v>
      </c>
      <c r="E52" s="158">
        <v>1</v>
      </c>
      <c r="F52" s="52">
        <f>SUM(H52:DY52)*E52*Table1[[#This Row],[Cycles]]</f>
        <v>0</v>
      </c>
      <c r="G52" s="46">
        <f t="shared" si="24"/>
        <v>0</v>
      </c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47"/>
      <c r="DP52" s="47"/>
      <c r="DQ52" s="47"/>
      <c r="DR52" s="47"/>
      <c r="DS52" s="47"/>
      <c r="DT52" s="47"/>
      <c r="DU52" s="47"/>
      <c r="DV52" s="47"/>
      <c r="DW52" s="47"/>
      <c r="DX52" s="47"/>
      <c r="DY52" s="47"/>
      <c r="DZ52" s="219"/>
      <c r="EA52" s="231"/>
      <c r="EB52" s="231"/>
      <c r="EC52" s="231"/>
      <c r="ED52" s="231"/>
      <c r="EE52" s="231"/>
      <c r="EF52" s="231"/>
      <c r="EG52" s="231"/>
      <c r="EH52" s="231"/>
      <c r="EI52" s="231"/>
      <c r="EJ52" s="231"/>
      <c r="EK52" s="231"/>
      <c r="EL52" s="231"/>
      <c r="EM52" s="231"/>
      <c r="EN52" s="231"/>
      <c r="EO52" s="231"/>
      <c r="EP52" s="231"/>
      <c r="EQ52" s="231"/>
    </row>
    <row r="53" spans="1:147" s="40" customFormat="1" ht="22.9" customHeight="1" x14ac:dyDescent="0.2">
      <c r="A53" s="148" t="s">
        <v>535</v>
      </c>
      <c r="B53" s="48" t="s">
        <v>208</v>
      </c>
      <c r="C53" s="33"/>
      <c r="D53" s="162"/>
      <c r="E53" s="163"/>
      <c r="F53" s="31" cm="1">
        <f t="array" ref="F53">SumByColor(F54:F131,REFERENCE!$G$2)</f>
        <v>0</v>
      </c>
      <c r="G53" s="31" cm="1">
        <f t="array" ref="G53">SumByColor(G54:G131,REFERENCE!$G$2)</f>
        <v>0</v>
      </c>
      <c r="H53" s="31" cm="1">
        <f t="array" ref="H53">SumByColor(H54:H131,REFERENCE!$G$2)</f>
        <v>0</v>
      </c>
      <c r="I53" s="31" cm="1">
        <f t="array" ref="I53">SumByColor(I54:I131,REFERENCE!$G$2)</f>
        <v>0</v>
      </c>
      <c r="J53" s="31" cm="1">
        <f t="array" ref="J53">SumByColor(J54:J131,REFERENCE!$G$2)</f>
        <v>0</v>
      </c>
      <c r="K53" s="31" cm="1">
        <f t="array" ref="K53">SumByColor(K54:K131,REFERENCE!$G$2)</f>
        <v>0</v>
      </c>
      <c r="L53" s="31" cm="1">
        <f t="array" ref="L53">SumByColor(L54:L131,REFERENCE!$G$2)</f>
        <v>0</v>
      </c>
      <c r="M53" s="31" cm="1">
        <f t="array" ref="M53">SumByColor(M54:M131,REFERENCE!$G$2)</f>
        <v>0</v>
      </c>
      <c r="N53" s="31" cm="1">
        <f t="array" ref="N53">SumByColor(N54:N131,REFERENCE!$G$2)</f>
        <v>0</v>
      </c>
      <c r="O53" s="31" cm="1">
        <f t="array" ref="O53">SumByColor(O54:O131,REFERENCE!$G$2)</f>
        <v>0</v>
      </c>
      <c r="P53" s="31" cm="1">
        <f t="array" ref="P53">SumByColor(P54:P131,REFERENCE!$G$2)</f>
        <v>0</v>
      </c>
      <c r="Q53" s="31" cm="1">
        <f t="array" ref="Q53">SumByColor(Q54:Q131,REFERENCE!$G$2)</f>
        <v>0</v>
      </c>
      <c r="R53" s="31" cm="1">
        <f t="array" ref="R53">SumByColor(R54:R131,REFERENCE!$G$2)</f>
        <v>0</v>
      </c>
      <c r="S53" s="31" cm="1">
        <f t="array" ref="S53">SumByColor(S54:S131,REFERENCE!$G$2)</f>
        <v>0</v>
      </c>
      <c r="T53" s="31" cm="1">
        <f t="array" ref="T53">SumByColor(T54:T131,REFERENCE!$G$2)</f>
        <v>0</v>
      </c>
      <c r="U53" s="31" cm="1">
        <f t="array" ref="U53">SumByColor(U54:U131,REFERENCE!$G$2)</f>
        <v>0</v>
      </c>
      <c r="V53" s="31" cm="1">
        <f t="array" ref="V53">SumByColor(V54:V131,REFERENCE!$G$2)</f>
        <v>0</v>
      </c>
      <c r="W53" s="31" cm="1">
        <f t="array" ref="W53">SumByColor(W54:W131,REFERENCE!$G$2)</f>
        <v>0</v>
      </c>
      <c r="X53" s="31" cm="1">
        <f t="array" ref="X53">SumByColor(X54:X131,REFERENCE!$G$2)</f>
        <v>0</v>
      </c>
      <c r="Y53" s="31" cm="1">
        <f t="array" ref="Y53">SumByColor(Y54:Y131,REFERENCE!$G$2)</f>
        <v>0</v>
      </c>
      <c r="Z53" s="31" cm="1">
        <f t="array" ref="Z53">SumByColor(Z54:Z131,REFERENCE!$G$2)</f>
        <v>0</v>
      </c>
      <c r="AA53" s="31" cm="1">
        <f t="array" ref="AA53">SumByColor(AA54:AA131,REFERENCE!$G$2)</f>
        <v>0</v>
      </c>
      <c r="AB53" s="31" cm="1">
        <f t="array" ref="AB53">SumByColor(AB54:AB131,REFERENCE!$G$2)</f>
        <v>0</v>
      </c>
      <c r="AC53" s="31" cm="1">
        <f t="array" ref="AC53">SumByColor(AC54:AC131,REFERENCE!$G$2)</f>
        <v>0</v>
      </c>
      <c r="AD53" s="31" cm="1">
        <f t="array" ref="AD53">SumByColor(AD54:AD131,REFERENCE!$G$2)</f>
        <v>0</v>
      </c>
      <c r="AE53" s="31" cm="1">
        <f t="array" ref="AE53">SumByColor(AE54:AE131,REFERENCE!$G$2)</f>
        <v>0</v>
      </c>
      <c r="AF53" s="31" cm="1">
        <f t="array" ref="AF53">SumByColor(AF54:AF131,REFERENCE!$G$2)</f>
        <v>0</v>
      </c>
      <c r="AG53" s="31" cm="1">
        <f t="array" ref="AG53">SumByColor(AG54:AG131,REFERENCE!$G$2)</f>
        <v>0</v>
      </c>
      <c r="AH53" s="31" cm="1">
        <f t="array" ref="AH53">SumByColor(AH54:AH131,REFERENCE!$G$2)</f>
        <v>0</v>
      </c>
      <c r="AI53" s="31" cm="1">
        <f t="array" ref="AI53">SumByColor(AI54:AI131,REFERENCE!$G$2)</f>
        <v>0</v>
      </c>
      <c r="AJ53" s="31" cm="1">
        <f t="array" ref="AJ53">SumByColor(AJ54:AJ131,REFERENCE!$G$2)</f>
        <v>0</v>
      </c>
      <c r="AK53" s="31" cm="1">
        <f t="array" ref="AK53">SumByColor(AK54:AK131,REFERENCE!$G$2)</f>
        <v>0</v>
      </c>
      <c r="AL53" s="31" cm="1">
        <f t="array" ref="AL53">SumByColor(AL54:AL131,REFERENCE!$G$2)</f>
        <v>0</v>
      </c>
      <c r="AM53" s="31" cm="1">
        <f t="array" ref="AM53">SumByColor(AM54:AM131,REFERENCE!$G$2)</f>
        <v>0</v>
      </c>
      <c r="AN53" s="31" cm="1">
        <f t="array" ref="AN53">SumByColor(AN54:AN131,REFERENCE!$G$2)</f>
        <v>0</v>
      </c>
      <c r="AO53" s="31" cm="1">
        <f t="array" ref="AO53">SumByColor(AO54:AO131,REFERENCE!$G$2)</f>
        <v>0</v>
      </c>
      <c r="AP53" s="31" cm="1">
        <f t="array" ref="AP53">SumByColor(AP54:AP131,REFERENCE!$G$2)</f>
        <v>0</v>
      </c>
      <c r="AQ53" s="31" cm="1">
        <f t="array" ref="AQ53">SumByColor(AQ54:AQ131,REFERENCE!$G$2)</f>
        <v>0</v>
      </c>
      <c r="AR53" s="31" cm="1">
        <f t="array" ref="AR53">SumByColor(AR54:AR131,REFERENCE!$G$2)</f>
        <v>0</v>
      </c>
      <c r="AS53" s="31" cm="1">
        <f t="array" ref="AS53">SumByColor(AS54:AS131,REFERENCE!$G$2)</f>
        <v>0</v>
      </c>
      <c r="AT53" s="31" cm="1">
        <f t="array" ref="AT53">SumByColor(AT54:AT131,REFERENCE!$G$2)</f>
        <v>0</v>
      </c>
      <c r="AU53" s="31" cm="1">
        <f t="array" ref="AU53">SumByColor(AU54:AU131,REFERENCE!$G$2)</f>
        <v>0</v>
      </c>
      <c r="AV53" s="31" cm="1">
        <f t="array" ref="AV53">SumByColor(AV54:AV131,REFERENCE!$G$2)</f>
        <v>0</v>
      </c>
      <c r="AW53" s="31" cm="1">
        <f t="array" ref="AW53">SumByColor(AW54:AW131,REFERENCE!$G$2)</f>
        <v>0</v>
      </c>
      <c r="AX53" s="31" cm="1">
        <f t="array" ref="AX53">SumByColor(AX54:AX131,REFERENCE!$G$2)</f>
        <v>0</v>
      </c>
      <c r="AY53" s="31" cm="1">
        <f t="array" ref="AY53">SumByColor(AY54:AY131,REFERENCE!$G$2)</f>
        <v>0</v>
      </c>
      <c r="AZ53" s="31" cm="1">
        <f t="array" ref="AZ53">SumByColor(AZ54:AZ131,REFERENCE!$G$2)</f>
        <v>0</v>
      </c>
      <c r="BA53" s="31" cm="1">
        <f t="array" ref="BA53">SumByColor(BA54:BA131,REFERENCE!$G$2)</f>
        <v>0</v>
      </c>
      <c r="BB53" s="31" cm="1">
        <f t="array" ref="BB53">SumByColor(BB54:BB131,REFERENCE!$G$2)</f>
        <v>0</v>
      </c>
      <c r="BC53" s="31" cm="1">
        <f t="array" ref="BC53">SumByColor(BC54:BC131,REFERENCE!$G$2)</f>
        <v>0</v>
      </c>
      <c r="BD53" s="31" cm="1">
        <f t="array" ref="BD53">SumByColor(BD54:BD131,REFERENCE!$G$2)</f>
        <v>0</v>
      </c>
      <c r="BE53" s="31" cm="1">
        <f t="array" ref="BE53">SumByColor(BE54:BE131,REFERENCE!$G$2)</f>
        <v>0</v>
      </c>
      <c r="BF53" s="31" cm="1">
        <f t="array" ref="BF53">SumByColor(BF54:BF131,REFERENCE!$G$2)</f>
        <v>0</v>
      </c>
      <c r="BG53" s="31" cm="1">
        <f t="array" ref="BG53">SumByColor(BG54:BG131,REFERENCE!$G$2)</f>
        <v>0</v>
      </c>
      <c r="BH53" s="31" cm="1">
        <f t="array" ref="BH53">SumByColor(BH54:BH131,REFERENCE!$G$2)</f>
        <v>0</v>
      </c>
      <c r="BI53" s="31" cm="1">
        <f t="array" ref="BI53">SumByColor(BI54:BI131,REFERENCE!$G$2)</f>
        <v>0</v>
      </c>
      <c r="BJ53" s="31" cm="1">
        <f t="array" ref="BJ53">SumByColor(BJ54:BJ131,REFERENCE!$G$2)</f>
        <v>0</v>
      </c>
      <c r="BK53" s="31" cm="1">
        <f t="array" ref="BK53">SumByColor(BK54:BK131,REFERENCE!$G$2)</f>
        <v>0</v>
      </c>
      <c r="BL53" s="31" cm="1">
        <f t="array" ref="BL53">SumByColor(BL54:BL131,REFERENCE!$G$2)</f>
        <v>0</v>
      </c>
      <c r="BM53" s="31" cm="1">
        <f t="array" ref="BM53">SumByColor(BM54:BM131,REFERENCE!$G$2)</f>
        <v>0</v>
      </c>
      <c r="BN53" s="31" cm="1">
        <f t="array" ref="BN53">SumByColor(BN54:BN131,REFERENCE!$G$2)</f>
        <v>0</v>
      </c>
      <c r="BO53" s="31" cm="1">
        <f t="array" ref="BO53">SumByColor(BO54:BO131,REFERENCE!$G$2)</f>
        <v>0</v>
      </c>
      <c r="BP53" s="31" cm="1">
        <f t="array" ref="BP53">SumByColor(BP54:BP131,REFERENCE!$G$2)</f>
        <v>0</v>
      </c>
      <c r="BQ53" s="31" cm="1">
        <f t="array" ref="BQ53">SumByColor(BQ54:BQ131,REFERENCE!$G$2)</f>
        <v>0</v>
      </c>
      <c r="BR53" s="31" cm="1">
        <f t="array" ref="BR53">SumByColor(BR54:BR131,REFERENCE!$G$2)</f>
        <v>0</v>
      </c>
      <c r="BS53" s="31" cm="1">
        <f t="array" ref="BS53">SumByColor(BS54:BS131,REFERENCE!$G$2)</f>
        <v>0</v>
      </c>
      <c r="BT53" s="31" cm="1">
        <f t="array" ref="BT53">SumByColor(BT54:BT131,REFERENCE!$G$2)</f>
        <v>0</v>
      </c>
      <c r="BU53" s="31" cm="1">
        <f t="array" ref="BU53">SumByColor(BU54:BU131,REFERENCE!$G$2)</f>
        <v>0</v>
      </c>
      <c r="BV53" s="31" cm="1">
        <f t="array" ref="BV53">SumByColor(BV54:BV131,REFERENCE!$G$2)</f>
        <v>0</v>
      </c>
      <c r="BW53" s="31" cm="1">
        <f t="array" ref="BW53">SumByColor(BW54:BW131,REFERENCE!$G$2)</f>
        <v>0</v>
      </c>
      <c r="BX53" s="31" cm="1">
        <f t="array" ref="BX53">SumByColor(BX54:BX131,REFERENCE!$G$2)</f>
        <v>0</v>
      </c>
      <c r="BY53" s="31" cm="1">
        <f t="array" ref="BY53">SumByColor(BY54:BY131,REFERENCE!$G$2)</f>
        <v>0</v>
      </c>
      <c r="BZ53" s="31" cm="1">
        <f t="array" ref="BZ53">SumByColor(BZ54:BZ131,REFERENCE!$G$2)</f>
        <v>0</v>
      </c>
      <c r="CA53" s="31" cm="1">
        <f t="array" ref="CA53">SumByColor(CA54:CA131,REFERENCE!$G$2)</f>
        <v>0</v>
      </c>
      <c r="CB53" s="31" cm="1">
        <f t="array" ref="CB53">SumByColor(CB54:CB131,REFERENCE!$G$2)</f>
        <v>0</v>
      </c>
      <c r="CC53" s="31" cm="1">
        <f t="array" ref="CC53">SumByColor(CC54:CC131,REFERENCE!$G$2)</f>
        <v>0</v>
      </c>
      <c r="CD53" s="31" cm="1">
        <f t="array" ref="CD53">SumByColor(CD54:CD131,REFERENCE!$G$2)</f>
        <v>0</v>
      </c>
      <c r="CE53" s="31" cm="1">
        <f t="array" ref="CE53">SumByColor(CE54:CE131,REFERENCE!$G$2)</f>
        <v>0</v>
      </c>
      <c r="CF53" s="31" cm="1">
        <f t="array" ref="CF53">SumByColor(CF54:CF131,REFERENCE!$G$2)</f>
        <v>0</v>
      </c>
      <c r="CG53" s="31" cm="1">
        <f t="array" ref="CG53">SumByColor(CG54:CG131,REFERENCE!$G$2)</f>
        <v>0</v>
      </c>
      <c r="CH53" s="31" cm="1">
        <f t="array" ref="CH53">SumByColor(CH54:CH131,REFERENCE!$G$2)</f>
        <v>0</v>
      </c>
      <c r="CI53" s="31" cm="1">
        <f t="array" ref="CI53">SumByColor(CI54:CI131,REFERENCE!$G$2)</f>
        <v>0</v>
      </c>
      <c r="CJ53" s="31" cm="1">
        <f t="array" ref="CJ53">SumByColor(CJ54:CJ131,REFERENCE!$G$2)</f>
        <v>0</v>
      </c>
      <c r="CK53" s="31" cm="1">
        <f t="array" ref="CK53">SumByColor(CK54:CK131,REFERENCE!$G$2)</f>
        <v>0</v>
      </c>
      <c r="CL53" s="31" cm="1">
        <f t="array" ref="CL53">SumByColor(CL54:CL131,REFERENCE!$G$2)</f>
        <v>0</v>
      </c>
      <c r="CM53" s="31" cm="1">
        <f t="array" ref="CM53">SumByColor(CM54:CM131,REFERENCE!$G$2)</f>
        <v>0</v>
      </c>
      <c r="CN53" s="31" cm="1">
        <f t="array" ref="CN53">SumByColor(CN54:CN131,REFERENCE!$G$2)</f>
        <v>0</v>
      </c>
      <c r="CO53" s="31" cm="1">
        <f t="array" ref="CO53">SumByColor(CO54:CO131,REFERENCE!$G$2)</f>
        <v>0</v>
      </c>
      <c r="CP53" s="31" cm="1">
        <f t="array" ref="CP53">SumByColor(CP54:CP131,REFERENCE!$G$2)</f>
        <v>0</v>
      </c>
      <c r="CQ53" s="31" cm="1">
        <f t="array" ref="CQ53">SumByColor(CQ54:CQ131,REFERENCE!$G$2)</f>
        <v>0</v>
      </c>
      <c r="CR53" s="31" cm="1">
        <f t="array" ref="CR53">SumByColor(CR54:CR131,REFERENCE!$G$2)</f>
        <v>0</v>
      </c>
      <c r="CS53" s="31" cm="1">
        <f t="array" ref="CS53">SumByColor(CS54:CS131,REFERENCE!$G$2)</f>
        <v>0</v>
      </c>
      <c r="CT53" s="31" cm="1">
        <f t="array" ref="CT53">SumByColor(CT54:CT131,REFERENCE!$G$2)</f>
        <v>0</v>
      </c>
      <c r="CU53" s="31" cm="1">
        <f t="array" ref="CU53">SumByColor(CU54:CU131,REFERENCE!$G$2)</f>
        <v>0</v>
      </c>
      <c r="CV53" s="31" cm="1">
        <f t="array" ref="CV53">SumByColor(CV54:CV131,REFERENCE!$G$2)</f>
        <v>0</v>
      </c>
      <c r="CW53" s="31" cm="1">
        <f t="array" ref="CW53">SumByColor(CW54:CW131,REFERENCE!$G$2)</f>
        <v>0</v>
      </c>
      <c r="CX53" s="31" cm="1">
        <f t="array" ref="CX53">SumByColor(CX54:CX131,REFERENCE!$G$2)</f>
        <v>0</v>
      </c>
      <c r="CY53" s="31" cm="1">
        <f t="array" ref="CY53">SumByColor(CY54:CY131,REFERENCE!$G$2)</f>
        <v>0</v>
      </c>
      <c r="CZ53" s="31" cm="1">
        <f t="array" ref="CZ53">SumByColor(CZ54:CZ131,REFERENCE!$G$2)</f>
        <v>0</v>
      </c>
      <c r="DA53" s="31" cm="1">
        <f t="array" ref="DA53">SumByColor(DA54:DA131,REFERENCE!$G$2)</f>
        <v>0</v>
      </c>
      <c r="DB53" s="31" cm="1">
        <f t="array" ref="DB53">SumByColor(DB54:DB131,REFERENCE!$G$2)</f>
        <v>0</v>
      </c>
      <c r="DC53" s="31" cm="1">
        <f t="array" ref="DC53">SumByColor(DC54:DC131,REFERENCE!$G$2)</f>
        <v>0</v>
      </c>
      <c r="DD53" s="31" cm="1">
        <f t="array" ref="DD53">SumByColor(DD54:DD131,REFERENCE!$G$2)</f>
        <v>0</v>
      </c>
      <c r="DE53" s="31" cm="1">
        <f t="array" ref="DE53">SumByColor(DE54:DE131,REFERENCE!$G$2)</f>
        <v>0</v>
      </c>
      <c r="DF53" s="31" cm="1">
        <f t="array" ref="DF53">SumByColor(DF54:DF131,REFERENCE!$G$2)</f>
        <v>0</v>
      </c>
      <c r="DG53" s="31" cm="1">
        <f t="array" ref="DG53">SumByColor(DG54:DG131,REFERENCE!$G$2)</f>
        <v>0</v>
      </c>
      <c r="DH53" s="31" cm="1">
        <f t="array" ref="DH53">SumByColor(DH54:DH131,REFERENCE!$G$2)</f>
        <v>0</v>
      </c>
      <c r="DI53" s="31" cm="1">
        <f t="array" ref="DI53">SumByColor(DI54:DI131,REFERENCE!$G$2)</f>
        <v>0</v>
      </c>
      <c r="DJ53" s="31" cm="1">
        <f t="array" ref="DJ53">SumByColor(DJ54:DJ131,REFERENCE!$G$2)</f>
        <v>0</v>
      </c>
      <c r="DK53" s="31" cm="1">
        <f t="array" ref="DK53">SumByColor(DK54:DK131,REFERENCE!$G$2)</f>
        <v>0</v>
      </c>
      <c r="DL53" s="31" cm="1">
        <f t="array" ref="DL53">SumByColor(DL54:DL131,REFERENCE!$G$2)</f>
        <v>0</v>
      </c>
      <c r="DM53" s="31" cm="1">
        <f t="array" ref="DM53">SumByColor(DM54:DM131,REFERENCE!$G$2)</f>
        <v>0</v>
      </c>
      <c r="DN53" s="31" cm="1">
        <f t="array" ref="DN53">SumByColor(DN54:DN131,REFERENCE!$G$2)</f>
        <v>0</v>
      </c>
      <c r="DO53" s="31" cm="1">
        <f t="array" ref="DO53">SumByColor(DO54:DO131,REFERENCE!$G$2)</f>
        <v>0</v>
      </c>
      <c r="DP53" s="31" cm="1">
        <f t="array" ref="DP53">SumByColor(DP54:DP131,REFERENCE!$G$2)</f>
        <v>0</v>
      </c>
      <c r="DQ53" s="31" cm="1">
        <f t="array" ref="DQ53">SumByColor(DQ54:DQ131,REFERENCE!$G$2)</f>
        <v>0</v>
      </c>
      <c r="DR53" s="31" cm="1">
        <f t="array" ref="DR53">SumByColor(DR54:DR131,REFERENCE!$G$2)</f>
        <v>0</v>
      </c>
      <c r="DS53" s="31" cm="1">
        <f t="array" ref="DS53">SumByColor(DS54:DS131,REFERENCE!$G$2)</f>
        <v>0</v>
      </c>
      <c r="DT53" s="31" cm="1">
        <f t="array" ref="DT53">SumByColor(DT54:DT131,REFERENCE!$G$2)</f>
        <v>0</v>
      </c>
      <c r="DU53" s="31" cm="1">
        <f t="array" ref="DU53">SumByColor(DU54:DU131,REFERENCE!$G$2)</f>
        <v>0</v>
      </c>
      <c r="DV53" s="31" cm="1">
        <f t="array" ref="DV53">SumByColor(DV54:DV131,REFERENCE!$G$2)</f>
        <v>0</v>
      </c>
      <c r="DW53" s="31" cm="1">
        <f t="array" ref="DW53">SumByColor(DW54:DW131,REFERENCE!$G$2)</f>
        <v>0</v>
      </c>
      <c r="DX53" s="31" cm="1">
        <f t="array" ref="DX53">SumByColor(DX54:DX131,REFERENCE!$G$2)</f>
        <v>0</v>
      </c>
      <c r="DY53" s="31" cm="1">
        <f t="array" ref="DY53">SumByColor(DY54:DY131,REFERENCE!$G$2)</f>
        <v>0</v>
      </c>
      <c r="DZ53" s="218"/>
      <c r="EA53" s="232"/>
      <c r="EB53" s="232"/>
      <c r="EC53" s="232"/>
      <c r="ED53" s="232"/>
      <c r="EE53" s="232"/>
      <c r="EF53" s="232"/>
      <c r="EG53" s="232"/>
      <c r="EH53" s="232"/>
      <c r="EI53" s="232"/>
      <c r="EJ53" s="232"/>
      <c r="EK53" s="232"/>
      <c r="EL53" s="232"/>
      <c r="EM53" s="232"/>
      <c r="EN53" s="232"/>
      <c r="EO53" s="232"/>
      <c r="EP53" s="232"/>
      <c r="EQ53" s="232"/>
    </row>
    <row r="54" spans="1:147" s="40" customFormat="1" ht="22.9" customHeight="1" outlineLevel="1" x14ac:dyDescent="0.2">
      <c r="A54" s="149" t="s">
        <v>537</v>
      </c>
      <c r="B54" s="34" t="s">
        <v>450</v>
      </c>
      <c r="C54" s="30" t="s">
        <v>100</v>
      </c>
      <c r="D54" s="164"/>
      <c r="E54" s="164"/>
      <c r="F54" s="45">
        <f>SUM(F55:F56)</f>
        <v>0</v>
      </c>
      <c r="G54" s="44">
        <f>SUM(G55:G56)</f>
        <v>0</v>
      </c>
      <c r="H54" s="45">
        <f>SUMPRODUCT($E$55:$E$56,$D$55:$D$56,H55:H56)</f>
        <v>0</v>
      </c>
      <c r="I54" s="45">
        <f t="shared" ref="I54:BT54" si="25">SUMPRODUCT($E$55:$E$56,$D$55:$D$56,I55:I56)</f>
        <v>0</v>
      </c>
      <c r="J54" s="45">
        <f t="shared" si="25"/>
        <v>0</v>
      </c>
      <c r="K54" s="45">
        <f t="shared" si="25"/>
        <v>0</v>
      </c>
      <c r="L54" s="45">
        <f t="shared" si="25"/>
        <v>0</v>
      </c>
      <c r="M54" s="45">
        <f t="shared" si="25"/>
        <v>0</v>
      </c>
      <c r="N54" s="45">
        <f t="shared" si="25"/>
        <v>0</v>
      </c>
      <c r="O54" s="45">
        <f t="shared" si="25"/>
        <v>0</v>
      </c>
      <c r="P54" s="45">
        <f t="shared" si="25"/>
        <v>0</v>
      </c>
      <c r="Q54" s="45">
        <f t="shared" si="25"/>
        <v>0</v>
      </c>
      <c r="R54" s="45">
        <f t="shared" si="25"/>
        <v>0</v>
      </c>
      <c r="S54" s="45">
        <f t="shared" si="25"/>
        <v>0</v>
      </c>
      <c r="T54" s="45">
        <f t="shared" si="25"/>
        <v>0</v>
      </c>
      <c r="U54" s="45">
        <f t="shared" si="25"/>
        <v>0</v>
      </c>
      <c r="V54" s="45">
        <f t="shared" si="25"/>
        <v>0</v>
      </c>
      <c r="W54" s="45">
        <f t="shared" si="25"/>
        <v>0</v>
      </c>
      <c r="X54" s="45">
        <f t="shared" si="25"/>
        <v>0</v>
      </c>
      <c r="Y54" s="45">
        <f t="shared" si="25"/>
        <v>0</v>
      </c>
      <c r="Z54" s="45">
        <f t="shared" si="25"/>
        <v>0</v>
      </c>
      <c r="AA54" s="45">
        <f t="shared" si="25"/>
        <v>0</v>
      </c>
      <c r="AB54" s="45">
        <f t="shared" si="25"/>
        <v>0</v>
      </c>
      <c r="AC54" s="45">
        <f t="shared" si="25"/>
        <v>0</v>
      </c>
      <c r="AD54" s="45">
        <f t="shared" si="25"/>
        <v>0</v>
      </c>
      <c r="AE54" s="45">
        <f t="shared" si="25"/>
        <v>0</v>
      </c>
      <c r="AF54" s="45">
        <f t="shared" si="25"/>
        <v>0</v>
      </c>
      <c r="AG54" s="45">
        <f t="shared" si="25"/>
        <v>0</v>
      </c>
      <c r="AH54" s="45">
        <f t="shared" si="25"/>
        <v>0</v>
      </c>
      <c r="AI54" s="45">
        <f t="shared" si="25"/>
        <v>0</v>
      </c>
      <c r="AJ54" s="45">
        <f t="shared" si="25"/>
        <v>0</v>
      </c>
      <c r="AK54" s="45">
        <f t="shared" si="25"/>
        <v>0</v>
      </c>
      <c r="AL54" s="45">
        <f t="shared" si="25"/>
        <v>0</v>
      </c>
      <c r="AM54" s="45">
        <f t="shared" si="25"/>
        <v>0</v>
      </c>
      <c r="AN54" s="45">
        <f t="shared" si="25"/>
        <v>0</v>
      </c>
      <c r="AO54" s="45">
        <f t="shared" si="25"/>
        <v>0</v>
      </c>
      <c r="AP54" s="45">
        <f t="shared" si="25"/>
        <v>0</v>
      </c>
      <c r="AQ54" s="45">
        <f t="shared" si="25"/>
        <v>0</v>
      </c>
      <c r="AR54" s="45">
        <f t="shared" si="25"/>
        <v>0</v>
      </c>
      <c r="AS54" s="45">
        <f t="shared" si="25"/>
        <v>0</v>
      </c>
      <c r="AT54" s="45">
        <f t="shared" si="25"/>
        <v>0</v>
      </c>
      <c r="AU54" s="45">
        <f t="shared" si="25"/>
        <v>0</v>
      </c>
      <c r="AV54" s="45">
        <f t="shared" si="25"/>
        <v>0</v>
      </c>
      <c r="AW54" s="45">
        <f t="shared" si="25"/>
        <v>0</v>
      </c>
      <c r="AX54" s="45">
        <f t="shared" si="25"/>
        <v>0</v>
      </c>
      <c r="AY54" s="45">
        <f t="shared" si="25"/>
        <v>0</v>
      </c>
      <c r="AZ54" s="45">
        <f t="shared" si="25"/>
        <v>0</v>
      </c>
      <c r="BA54" s="45">
        <f t="shared" si="25"/>
        <v>0</v>
      </c>
      <c r="BB54" s="45">
        <f t="shared" si="25"/>
        <v>0</v>
      </c>
      <c r="BC54" s="45">
        <f t="shared" si="25"/>
        <v>0</v>
      </c>
      <c r="BD54" s="45">
        <f t="shared" si="25"/>
        <v>0</v>
      </c>
      <c r="BE54" s="45">
        <f t="shared" si="25"/>
        <v>0</v>
      </c>
      <c r="BF54" s="45">
        <f t="shared" si="25"/>
        <v>0</v>
      </c>
      <c r="BG54" s="45">
        <f t="shared" si="25"/>
        <v>0</v>
      </c>
      <c r="BH54" s="45">
        <f t="shared" si="25"/>
        <v>0</v>
      </c>
      <c r="BI54" s="45">
        <f t="shared" si="25"/>
        <v>0</v>
      </c>
      <c r="BJ54" s="45">
        <f t="shared" si="25"/>
        <v>0</v>
      </c>
      <c r="BK54" s="45">
        <f t="shared" si="25"/>
        <v>0</v>
      </c>
      <c r="BL54" s="45">
        <f t="shared" si="25"/>
        <v>0</v>
      </c>
      <c r="BM54" s="45">
        <f t="shared" si="25"/>
        <v>0</v>
      </c>
      <c r="BN54" s="45">
        <f t="shared" si="25"/>
        <v>0</v>
      </c>
      <c r="BO54" s="45">
        <f t="shared" si="25"/>
        <v>0</v>
      </c>
      <c r="BP54" s="45">
        <f t="shared" si="25"/>
        <v>0</v>
      </c>
      <c r="BQ54" s="45">
        <f t="shared" si="25"/>
        <v>0</v>
      </c>
      <c r="BR54" s="45">
        <f t="shared" si="25"/>
        <v>0</v>
      </c>
      <c r="BS54" s="45">
        <f t="shared" si="25"/>
        <v>0</v>
      </c>
      <c r="BT54" s="45">
        <f t="shared" si="25"/>
        <v>0</v>
      </c>
      <c r="BU54" s="45">
        <f>SUMPRODUCT($E$55:$E$56,$D$55:$D$56,BU55:BU56)</f>
        <v>0</v>
      </c>
      <c r="BV54" s="45">
        <f t="shared" ref="BV54:DY54" si="26">SUMPRODUCT($E$55:$E$56,$D$55:$D$56,BV55:BV56)</f>
        <v>0</v>
      </c>
      <c r="BW54" s="45">
        <f t="shared" si="26"/>
        <v>0</v>
      </c>
      <c r="BX54" s="45">
        <f t="shared" si="26"/>
        <v>0</v>
      </c>
      <c r="BY54" s="45">
        <f t="shared" si="26"/>
        <v>0</v>
      </c>
      <c r="BZ54" s="45">
        <f t="shared" si="26"/>
        <v>0</v>
      </c>
      <c r="CA54" s="45">
        <f t="shared" si="26"/>
        <v>0</v>
      </c>
      <c r="CB54" s="45">
        <f t="shared" si="26"/>
        <v>0</v>
      </c>
      <c r="CC54" s="45">
        <f t="shared" si="26"/>
        <v>0</v>
      </c>
      <c r="CD54" s="45">
        <f t="shared" si="26"/>
        <v>0</v>
      </c>
      <c r="CE54" s="45">
        <f t="shared" si="26"/>
        <v>0</v>
      </c>
      <c r="CF54" s="45">
        <f t="shared" si="26"/>
        <v>0</v>
      </c>
      <c r="CG54" s="45">
        <f t="shared" si="26"/>
        <v>0</v>
      </c>
      <c r="CH54" s="45">
        <f t="shared" si="26"/>
        <v>0</v>
      </c>
      <c r="CI54" s="45">
        <f t="shared" si="26"/>
        <v>0</v>
      </c>
      <c r="CJ54" s="45">
        <f t="shared" si="26"/>
        <v>0</v>
      </c>
      <c r="CK54" s="45">
        <f t="shared" si="26"/>
        <v>0</v>
      </c>
      <c r="CL54" s="45">
        <f t="shared" si="26"/>
        <v>0</v>
      </c>
      <c r="CM54" s="45">
        <f t="shared" si="26"/>
        <v>0</v>
      </c>
      <c r="CN54" s="45">
        <f t="shared" si="26"/>
        <v>0</v>
      </c>
      <c r="CO54" s="45">
        <f t="shared" si="26"/>
        <v>0</v>
      </c>
      <c r="CP54" s="45">
        <f t="shared" si="26"/>
        <v>0</v>
      </c>
      <c r="CQ54" s="45">
        <f t="shared" si="26"/>
        <v>0</v>
      </c>
      <c r="CR54" s="45">
        <f t="shared" si="26"/>
        <v>0</v>
      </c>
      <c r="CS54" s="45">
        <f t="shared" si="26"/>
        <v>0</v>
      </c>
      <c r="CT54" s="45">
        <f t="shared" si="26"/>
        <v>0</v>
      </c>
      <c r="CU54" s="45">
        <f t="shared" si="26"/>
        <v>0</v>
      </c>
      <c r="CV54" s="45">
        <f t="shared" si="26"/>
        <v>0</v>
      </c>
      <c r="CW54" s="45">
        <f t="shared" si="26"/>
        <v>0</v>
      </c>
      <c r="CX54" s="45">
        <f t="shared" si="26"/>
        <v>0</v>
      </c>
      <c r="CY54" s="45">
        <f t="shared" si="26"/>
        <v>0</v>
      </c>
      <c r="CZ54" s="45">
        <f t="shared" si="26"/>
        <v>0</v>
      </c>
      <c r="DA54" s="45">
        <f t="shared" si="26"/>
        <v>0</v>
      </c>
      <c r="DB54" s="45">
        <f t="shared" si="26"/>
        <v>0</v>
      </c>
      <c r="DC54" s="45">
        <f t="shared" si="26"/>
        <v>0</v>
      </c>
      <c r="DD54" s="45">
        <f t="shared" si="26"/>
        <v>0</v>
      </c>
      <c r="DE54" s="45">
        <f t="shared" si="26"/>
        <v>0</v>
      </c>
      <c r="DF54" s="45">
        <f t="shared" si="26"/>
        <v>0</v>
      </c>
      <c r="DG54" s="45">
        <f t="shared" si="26"/>
        <v>0</v>
      </c>
      <c r="DH54" s="45">
        <f t="shared" si="26"/>
        <v>0</v>
      </c>
      <c r="DI54" s="45">
        <f t="shared" si="26"/>
        <v>0</v>
      </c>
      <c r="DJ54" s="45">
        <f t="shared" si="26"/>
        <v>0</v>
      </c>
      <c r="DK54" s="45">
        <f t="shared" si="26"/>
        <v>0</v>
      </c>
      <c r="DL54" s="45">
        <f t="shared" si="26"/>
        <v>0</v>
      </c>
      <c r="DM54" s="45">
        <f t="shared" si="26"/>
        <v>0</v>
      </c>
      <c r="DN54" s="45">
        <f t="shared" si="26"/>
        <v>0</v>
      </c>
      <c r="DO54" s="45">
        <f t="shared" si="26"/>
        <v>0</v>
      </c>
      <c r="DP54" s="45">
        <f t="shared" si="26"/>
        <v>0</v>
      </c>
      <c r="DQ54" s="45">
        <f t="shared" si="26"/>
        <v>0</v>
      </c>
      <c r="DR54" s="45">
        <f t="shared" si="26"/>
        <v>0</v>
      </c>
      <c r="DS54" s="45">
        <f t="shared" si="26"/>
        <v>0</v>
      </c>
      <c r="DT54" s="45">
        <f t="shared" si="26"/>
        <v>0</v>
      </c>
      <c r="DU54" s="45">
        <f t="shared" si="26"/>
        <v>0</v>
      </c>
      <c r="DV54" s="45">
        <f t="shared" si="26"/>
        <v>0</v>
      </c>
      <c r="DW54" s="45">
        <f t="shared" si="26"/>
        <v>0</v>
      </c>
      <c r="DX54" s="45">
        <f t="shared" si="26"/>
        <v>0</v>
      </c>
      <c r="DY54" s="45">
        <f t="shared" si="26"/>
        <v>0</v>
      </c>
      <c r="DZ54" s="218"/>
      <c r="EA54" s="231"/>
      <c r="EB54" s="231"/>
      <c r="EC54" s="231"/>
      <c r="ED54" s="231"/>
      <c r="EE54" s="231"/>
      <c r="EF54" s="231"/>
      <c r="EG54" s="231"/>
      <c r="EH54" s="231"/>
      <c r="EI54" s="231"/>
      <c r="EJ54" s="231"/>
      <c r="EK54" s="231"/>
      <c r="EL54" s="231"/>
      <c r="EM54" s="231"/>
      <c r="EN54" s="231"/>
      <c r="EO54" s="231"/>
      <c r="EP54" s="231"/>
      <c r="EQ54" s="231"/>
    </row>
    <row r="55" spans="1:147" ht="22.9" customHeight="1" outlineLevel="2" x14ac:dyDescent="0.2">
      <c r="A55" s="146" t="s">
        <v>150</v>
      </c>
      <c r="B55" s="53" t="s">
        <v>134</v>
      </c>
      <c r="C55" s="50" t="s">
        <v>133</v>
      </c>
      <c r="D55" s="165" t="s">
        <v>454</v>
      </c>
      <c r="E55" s="158">
        <v>1</v>
      </c>
      <c r="F55" s="52">
        <f>SUM(H55:DY55)*E55*Table1[[#This Row],[Cycles]]</f>
        <v>0</v>
      </c>
      <c r="G55" s="46">
        <f>SUMPRODUCT($H$2:$DY$2,$H55:$DY55)*E55*D55</f>
        <v>0</v>
      </c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219"/>
      <c r="EA55" s="231"/>
      <c r="EB55" s="231"/>
      <c r="EC55" s="231"/>
      <c r="ED55" s="231"/>
      <c r="EE55" s="231"/>
      <c r="EF55" s="231"/>
      <c r="EG55" s="231"/>
      <c r="EH55" s="231"/>
      <c r="EI55" s="231"/>
      <c r="EJ55" s="231"/>
      <c r="EK55" s="231"/>
      <c r="EL55" s="231"/>
      <c r="EM55" s="231"/>
      <c r="EN55" s="231"/>
      <c r="EO55" s="231"/>
      <c r="EP55" s="231"/>
      <c r="EQ55" s="231"/>
    </row>
    <row r="56" spans="1:147" ht="22.9" customHeight="1" outlineLevel="2" x14ac:dyDescent="0.2">
      <c r="A56" s="146" t="s">
        <v>151</v>
      </c>
      <c r="B56" s="53" t="s">
        <v>451</v>
      </c>
      <c r="C56" s="50" t="s">
        <v>133</v>
      </c>
      <c r="D56" s="165" t="s">
        <v>454</v>
      </c>
      <c r="E56" s="158">
        <v>1</v>
      </c>
      <c r="F56" s="52">
        <f>SUM(H56:DY56)*E56*Table1[[#This Row],[Cycles]]</f>
        <v>0</v>
      </c>
      <c r="G56" s="46">
        <f>SUMPRODUCT($H$2:$DY$2,$H56:$DY56)*E56*D56</f>
        <v>0</v>
      </c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47"/>
      <c r="CY56" s="47"/>
      <c r="CZ56" s="47"/>
      <c r="DA56" s="47"/>
      <c r="DB56" s="47"/>
      <c r="DC56" s="47"/>
      <c r="DD56" s="47"/>
      <c r="DE56" s="47"/>
      <c r="DF56" s="47"/>
      <c r="DG56" s="47"/>
      <c r="DH56" s="47"/>
      <c r="DI56" s="47"/>
      <c r="DJ56" s="47"/>
      <c r="DK56" s="47"/>
      <c r="DL56" s="47"/>
      <c r="DM56" s="47"/>
      <c r="DN56" s="47"/>
      <c r="DO56" s="47"/>
      <c r="DP56" s="47"/>
      <c r="DQ56" s="47"/>
      <c r="DR56" s="47"/>
      <c r="DS56" s="47"/>
      <c r="DT56" s="47"/>
      <c r="DU56" s="47"/>
      <c r="DV56" s="47"/>
      <c r="DW56" s="47"/>
      <c r="DX56" s="47"/>
      <c r="DY56" s="47"/>
      <c r="DZ56" s="219"/>
      <c r="EA56" s="231"/>
      <c r="EB56" s="231"/>
      <c r="EC56" s="231"/>
      <c r="ED56" s="231"/>
      <c r="EE56" s="231"/>
      <c r="EF56" s="231"/>
      <c r="EG56" s="231"/>
      <c r="EH56" s="231"/>
      <c r="EI56" s="231"/>
      <c r="EJ56" s="231"/>
      <c r="EK56" s="231"/>
      <c r="EL56" s="231"/>
      <c r="EM56" s="231"/>
      <c r="EN56" s="231"/>
      <c r="EO56" s="231"/>
      <c r="EP56" s="231"/>
      <c r="EQ56" s="231"/>
    </row>
    <row r="57" spans="1:147" s="40" customFormat="1" ht="22.9" customHeight="1" outlineLevel="1" x14ac:dyDescent="0.2">
      <c r="A57" s="149" t="s">
        <v>538</v>
      </c>
      <c r="B57" s="34" t="s">
        <v>486</v>
      </c>
      <c r="C57" s="30" t="s">
        <v>100</v>
      </c>
      <c r="D57" s="164"/>
      <c r="E57" s="164"/>
      <c r="F57" s="45">
        <f>SUM(F58:F71)</f>
        <v>0</v>
      </c>
      <c r="G57" s="44">
        <f>SUM(G58:G71)</f>
        <v>0</v>
      </c>
      <c r="H57" s="45">
        <f>SUMPRODUCT($E$58:$E$71,$D$58:$D$71,H58:H71)</f>
        <v>0</v>
      </c>
      <c r="I57" s="45">
        <f t="shared" ref="I57:BT57" si="27">SUMPRODUCT($E$58:$E$71,$D$58:$D$71,I58:I71)</f>
        <v>0</v>
      </c>
      <c r="J57" s="45">
        <f t="shared" si="27"/>
        <v>0</v>
      </c>
      <c r="K57" s="45">
        <f t="shared" si="27"/>
        <v>0</v>
      </c>
      <c r="L57" s="45">
        <f t="shared" si="27"/>
        <v>0</v>
      </c>
      <c r="M57" s="45">
        <f t="shared" si="27"/>
        <v>0</v>
      </c>
      <c r="N57" s="45">
        <f t="shared" si="27"/>
        <v>0</v>
      </c>
      <c r="O57" s="45">
        <f t="shared" si="27"/>
        <v>0</v>
      </c>
      <c r="P57" s="45">
        <f t="shared" si="27"/>
        <v>0</v>
      </c>
      <c r="Q57" s="45">
        <f t="shared" si="27"/>
        <v>0</v>
      </c>
      <c r="R57" s="45">
        <f t="shared" si="27"/>
        <v>0</v>
      </c>
      <c r="S57" s="45">
        <f t="shared" si="27"/>
        <v>0</v>
      </c>
      <c r="T57" s="45">
        <f t="shared" si="27"/>
        <v>0</v>
      </c>
      <c r="U57" s="45">
        <f t="shared" si="27"/>
        <v>0</v>
      </c>
      <c r="V57" s="45">
        <f t="shared" si="27"/>
        <v>0</v>
      </c>
      <c r="W57" s="45">
        <f t="shared" si="27"/>
        <v>0</v>
      </c>
      <c r="X57" s="45">
        <f t="shared" si="27"/>
        <v>0</v>
      </c>
      <c r="Y57" s="45">
        <f t="shared" si="27"/>
        <v>0</v>
      </c>
      <c r="Z57" s="45">
        <f t="shared" si="27"/>
        <v>0</v>
      </c>
      <c r="AA57" s="45">
        <f t="shared" si="27"/>
        <v>0</v>
      </c>
      <c r="AB57" s="45">
        <f t="shared" si="27"/>
        <v>0</v>
      </c>
      <c r="AC57" s="45">
        <f t="shared" si="27"/>
        <v>0</v>
      </c>
      <c r="AD57" s="45">
        <f t="shared" si="27"/>
        <v>0</v>
      </c>
      <c r="AE57" s="45">
        <f t="shared" si="27"/>
        <v>0</v>
      </c>
      <c r="AF57" s="45">
        <f t="shared" si="27"/>
        <v>0</v>
      </c>
      <c r="AG57" s="45">
        <f t="shared" si="27"/>
        <v>0</v>
      </c>
      <c r="AH57" s="45">
        <f t="shared" si="27"/>
        <v>0</v>
      </c>
      <c r="AI57" s="45">
        <f t="shared" si="27"/>
        <v>0</v>
      </c>
      <c r="AJ57" s="45">
        <f t="shared" si="27"/>
        <v>0</v>
      </c>
      <c r="AK57" s="45">
        <f t="shared" si="27"/>
        <v>0</v>
      </c>
      <c r="AL57" s="45">
        <f t="shared" si="27"/>
        <v>0</v>
      </c>
      <c r="AM57" s="45">
        <f t="shared" si="27"/>
        <v>0</v>
      </c>
      <c r="AN57" s="45">
        <f t="shared" si="27"/>
        <v>0</v>
      </c>
      <c r="AO57" s="45">
        <f t="shared" si="27"/>
        <v>0</v>
      </c>
      <c r="AP57" s="45">
        <f t="shared" si="27"/>
        <v>0</v>
      </c>
      <c r="AQ57" s="45">
        <f t="shared" si="27"/>
        <v>0</v>
      </c>
      <c r="AR57" s="45">
        <f t="shared" si="27"/>
        <v>0</v>
      </c>
      <c r="AS57" s="45">
        <f t="shared" si="27"/>
        <v>0</v>
      </c>
      <c r="AT57" s="45">
        <f t="shared" si="27"/>
        <v>0</v>
      </c>
      <c r="AU57" s="45">
        <f t="shared" si="27"/>
        <v>0</v>
      </c>
      <c r="AV57" s="45">
        <f t="shared" si="27"/>
        <v>0</v>
      </c>
      <c r="AW57" s="45">
        <f t="shared" si="27"/>
        <v>0</v>
      </c>
      <c r="AX57" s="45">
        <f t="shared" si="27"/>
        <v>0</v>
      </c>
      <c r="AY57" s="45">
        <f t="shared" si="27"/>
        <v>0</v>
      </c>
      <c r="AZ57" s="45">
        <f t="shared" si="27"/>
        <v>0</v>
      </c>
      <c r="BA57" s="45">
        <f t="shared" si="27"/>
        <v>0</v>
      </c>
      <c r="BB57" s="45">
        <f t="shared" si="27"/>
        <v>0</v>
      </c>
      <c r="BC57" s="45">
        <f t="shared" si="27"/>
        <v>0</v>
      </c>
      <c r="BD57" s="45">
        <f t="shared" si="27"/>
        <v>0</v>
      </c>
      <c r="BE57" s="45">
        <f t="shared" si="27"/>
        <v>0</v>
      </c>
      <c r="BF57" s="45">
        <f t="shared" si="27"/>
        <v>0</v>
      </c>
      <c r="BG57" s="45">
        <f t="shared" si="27"/>
        <v>0</v>
      </c>
      <c r="BH57" s="45">
        <f t="shared" si="27"/>
        <v>0</v>
      </c>
      <c r="BI57" s="45">
        <f t="shared" si="27"/>
        <v>0</v>
      </c>
      <c r="BJ57" s="45">
        <f t="shared" si="27"/>
        <v>0</v>
      </c>
      <c r="BK57" s="45">
        <f t="shared" si="27"/>
        <v>0</v>
      </c>
      <c r="BL57" s="45">
        <f t="shared" si="27"/>
        <v>0</v>
      </c>
      <c r="BM57" s="45">
        <f t="shared" si="27"/>
        <v>0</v>
      </c>
      <c r="BN57" s="45">
        <f t="shared" si="27"/>
        <v>0</v>
      </c>
      <c r="BO57" s="45">
        <f t="shared" si="27"/>
        <v>0</v>
      </c>
      <c r="BP57" s="45">
        <f t="shared" si="27"/>
        <v>0</v>
      </c>
      <c r="BQ57" s="45">
        <f t="shared" si="27"/>
        <v>0</v>
      </c>
      <c r="BR57" s="45">
        <f t="shared" si="27"/>
        <v>0</v>
      </c>
      <c r="BS57" s="45">
        <f t="shared" si="27"/>
        <v>0</v>
      </c>
      <c r="BT57" s="45">
        <f t="shared" si="27"/>
        <v>0</v>
      </c>
      <c r="BU57" s="45">
        <f t="shared" ref="BU57:DY57" si="28">SUMPRODUCT($E$58:$E$71,$D$58:$D$71,BU58:BU71)</f>
        <v>0</v>
      </c>
      <c r="BV57" s="45">
        <f>SUMPRODUCT($E$58:$E$71,$D$58:$D$71,BV58:BV71)</f>
        <v>0</v>
      </c>
      <c r="BW57" s="45">
        <f t="shared" si="28"/>
        <v>0</v>
      </c>
      <c r="BX57" s="45">
        <f t="shared" si="28"/>
        <v>0</v>
      </c>
      <c r="BY57" s="45">
        <f t="shared" si="28"/>
        <v>0</v>
      </c>
      <c r="BZ57" s="45">
        <f t="shared" si="28"/>
        <v>0</v>
      </c>
      <c r="CA57" s="45">
        <f t="shared" si="28"/>
        <v>0</v>
      </c>
      <c r="CB57" s="45">
        <f t="shared" si="28"/>
        <v>0</v>
      </c>
      <c r="CC57" s="45">
        <f t="shared" si="28"/>
        <v>0</v>
      </c>
      <c r="CD57" s="45">
        <f t="shared" si="28"/>
        <v>0</v>
      </c>
      <c r="CE57" s="45">
        <f t="shared" si="28"/>
        <v>0</v>
      </c>
      <c r="CF57" s="45">
        <f t="shared" si="28"/>
        <v>0</v>
      </c>
      <c r="CG57" s="45">
        <f t="shared" si="28"/>
        <v>0</v>
      </c>
      <c r="CH57" s="45">
        <f t="shared" si="28"/>
        <v>0</v>
      </c>
      <c r="CI57" s="45">
        <f t="shared" si="28"/>
        <v>0</v>
      </c>
      <c r="CJ57" s="45">
        <f t="shared" si="28"/>
        <v>0</v>
      </c>
      <c r="CK57" s="45">
        <f t="shared" si="28"/>
        <v>0</v>
      </c>
      <c r="CL57" s="45">
        <f t="shared" si="28"/>
        <v>0</v>
      </c>
      <c r="CM57" s="45">
        <f t="shared" si="28"/>
        <v>0</v>
      </c>
      <c r="CN57" s="45">
        <f t="shared" si="28"/>
        <v>0</v>
      </c>
      <c r="CO57" s="45">
        <f t="shared" si="28"/>
        <v>0</v>
      </c>
      <c r="CP57" s="45">
        <f t="shared" si="28"/>
        <v>0</v>
      </c>
      <c r="CQ57" s="45">
        <f t="shared" si="28"/>
        <v>0</v>
      </c>
      <c r="CR57" s="45">
        <f t="shared" si="28"/>
        <v>0</v>
      </c>
      <c r="CS57" s="45">
        <f t="shared" si="28"/>
        <v>0</v>
      </c>
      <c r="CT57" s="45">
        <f t="shared" si="28"/>
        <v>0</v>
      </c>
      <c r="CU57" s="45">
        <f t="shared" si="28"/>
        <v>0</v>
      </c>
      <c r="CV57" s="45">
        <f t="shared" si="28"/>
        <v>0</v>
      </c>
      <c r="CW57" s="45">
        <f t="shared" si="28"/>
        <v>0</v>
      </c>
      <c r="CX57" s="45">
        <f t="shared" si="28"/>
        <v>0</v>
      </c>
      <c r="CY57" s="45">
        <f t="shared" si="28"/>
        <v>0</v>
      </c>
      <c r="CZ57" s="45">
        <f t="shared" si="28"/>
        <v>0</v>
      </c>
      <c r="DA57" s="45">
        <f t="shared" si="28"/>
        <v>0</v>
      </c>
      <c r="DB57" s="45">
        <f t="shared" si="28"/>
        <v>0</v>
      </c>
      <c r="DC57" s="45">
        <f t="shared" si="28"/>
        <v>0</v>
      </c>
      <c r="DD57" s="45">
        <f t="shared" si="28"/>
        <v>0</v>
      </c>
      <c r="DE57" s="45">
        <f t="shared" si="28"/>
        <v>0</v>
      </c>
      <c r="DF57" s="45">
        <f t="shared" si="28"/>
        <v>0</v>
      </c>
      <c r="DG57" s="45">
        <f t="shared" si="28"/>
        <v>0</v>
      </c>
      <c r="DH57" s="45">
        <f t="shared" si="28"/>
        <v>0</v>
      </c>
      <c r="DI57" s="45">
        <f t="shared" si="28"/>
        <v>0</v>
      </c>
      <c r="DJ57" s="45">
        <f t="shared" si="28"/>
        <v>0</v>
      </c>
      <c r="DK57" s="45">
        <f t="shared" si="28"/>
        <v>0</v>
      </c>
      <c r="DL57" s="45">
        <f t="shared" si="28"/>
        <v>0</v>
      </c>
      <c r="DM57" s="45">
        <f t="shared" si="28"/>
        <v>0</v>
      </c>
      <c r="DN57" s="45">
        <f t="shared" si="28"/>
        <v>0</v>
      </c>
      <c r="DO57" s="45">
        <f t="shared" si="28"/>
        <v>0</v>
      </c>
      <c r="DP57" s="45">
        <f t="shared" si="28"/>
        <v>0</v>
      </c>
      <c r="DQ57" s="45">
        <f t="shared" si="28"/>
        <v>0</v>
      </c>
      <c r="DR57" s="45">
        <f t="shared" si="28"/>
        <v>0</v>
      </c>
      <c r="DS57" s="45">
        <f t="shared" si="28"/>
        <v>0</v>
      </c>
      <c r="DT57" s="45">
        <f t="shared" si="28"/>
        <v>0</v>
      </c>
      <c r="DU57" s="45">
        <f t="shared" si="28"/>
        <v>0</v>
      </c>
      <c r="DV57" s="45">
        <f t="shared" si="28"/>
        <v>0</v>
      </c>
      <c r="DW57" s="45">
        <f t="shared" si="28"/>
        <v>0</v>
      </c>
      <c r="DX57" s="45">
        <f t="shared" si="28"/>
        <v>0</v>
      </c>
      <c r="DY57" s="45">
        <f t="shared" si="28"/>
        <v>0</v>
      </c>
      <c r="DZ57" s="218"/>
      <c r="EA57" s="231"/>
      <c r="EB57" s="231"/>
      <c r="EC57" s="231"/>
      <c r="ED57" s="231"/>
      <c r="EE57" s="231"/>
      <c r="EF57" s="231"/>
      <c r="EG57" s="231"/>
      <c r="EH57" s="231"/>
      <c r="EI57" s="231"/>
      <c r="EJ57" s="231"/>
      <c r="EK57" s="231"/>
      <c r="EL57" s="231"/>
      <c r="EM57" s="231"/>
      <c r="EN57" s="231"/>
      <c r="EO57" s="231"/>
      <c r="EP57" s="231"/>
      <c r="EQ57" s="231"/>
    </row>
    <row r="58" spans="1:147" ht="22.9" customHeight="1" outlineLevel="2" x14ac:dyDescent="0.2">
      <c r="A58" s="146" t="s">
        <v>540</v>
      </c>
      <c r="B58" s="53" t="s">
        <v>484</v>
      </c>
      <c r="C58" s="50" t="s">
        <v>133</v>
      </c>
      <c r="D58" s="230">
        <v>1</v>
      </c>
      <c r="E58" s="158">
        <v>1</v>
      </c>
      <c r="F58" s="52">
        <f>SUM(H58:DY58)*E58*Table1[[#This Row],[Cycles]]</f>
        <v>0</v>
      </c>
      <c r="G58" s="46">
        <f>SUMPRODUCT($H$2:$DY$2,$H58:$DY58)*E58*D58</f>
        <v>0</v>
      </c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47"/>
      <c r="CE58" s="47"/>
      <c r="CF58" s="47"/>
      <c r="CG58" s="47"/>
      <c r="CH58" s="47"/>
      <c r="CI58" s="47"/>
      <c r="CJ58" s="47"/>
      <c r="CK58" s="47"/>
      <c r="CL58" s="47"/>
      <c r="CM58" s="47"/>
      <c r="CN58" s="47"/>
      <c r="CO58" s="47"/>
      <c r="CP58" s="47"/>
      <c r="CQ58" s="47"/>
      <c r="CR58" s="47"/>
      <c r="CS58" s="47"/>
      <c r="CT58" s="47"/>
      <c r="CU58" s="47"/>
      <c r="CV58" s="47"/>
      <c r="CW58" s="47"/>
      <c r="CX58" s="47"/>
      <c r="CY58" s="47"/>
      <c r="CZ58" s="47"/>
      <c r="DA58" s="47"/>
      <c r="DB58" s="47"/>
      <c r="DC58" s="47"/>
      <c r="DD58" s="47"/>
      <c r="DE58" s="47"/>
      <c r="DF58" s="47"/>
      <c r="DG58" s="47"/>
      <c r="DH58" s="47"/>
      <c r="DI58" s="47"/>
      <c r="DJ58" s="47"/>
      <c r="DK58" s="47"/>
      <c r="DL58" s="47"/>
      <c r="DM58" s="47"/>
      <c r="DN58" s="47"/>
      <c r="DO58" s="47"/>
      <c r="DP58" s="47"/>
      <c r="DQ58" s="47"/>
      <c r="DR58" s="47"/>
      <c r="DS58" s="47"/>
      <c r="DT58" s="47"/>
      <c r="DU58" s="47"/>
      <c r="DV58" s="47"/>
      <c r="DW58" s="47"/>
      <c r="DX58" s="47"/>
      <c r="DY58" s="47"/>
      <c r="DZ58" s="219"/>
      <c r="EA58" s="231"/>
      <c r="EB58" s="231"/>
      <c r="EC58" s="231"/>
      <c r="ED58" s="231"/>
      <c r="EE58" s="231"/>
      <c r="EF58" s="231"/>
      <c r="EG58" s="231"/>
      <c r="EH58" s="231"/>
      <c r="EI58" s="231"/>
      <c r="EJ58" s="231"/>
      <c r="EK58" s="231"/>
      <c r="EL58" s="231"/>
      <c r="EM58" s="231"/>
      <c r="EN58" s="231"/>
      <c r="EO58" s="231"/>
      <c r="EP58" s="231"/>
      <c r="EQ58" s="231"/>
    </row>
    <row r="59" spans="1:147" ht="22.9" customHeight="1" outlineLevel="2" x14ac:dyDescent="0.2">
      <c r="A59" s="146" t="s">
        <v>541</v>
      </c>
      <c r="B59" s="53" t="s">
        <v>415</v>
      </c>
      <c r="C59" s="50" t="s">
        <v>133</v>
      </c>
      <c r="D59" s="165">
        <v>1</v>
      </c>
      <c r="E59" s="158">
        <v>1</v>
      </c>
      <c r="F59" s="52">
        <f>SUM(H59:DY59)*E59*Table1[[#This Row],[Cycles]]</f>
        <v>0</v>
      </c>
      <c r="G59" s="46">
        <f>SUMPRODUCT($H$2:$DY$2,$H59:$DY59)*E59*D59</f>
        <v>0</v>
      </c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  <c r="CX59" s="47"/>
      <c r="CY59" s="47"/>
      <c r="CZ59" s="47"/>
      <c r="DA59" s="47"/>
      <c r="DB59" s="47"/>
      <c r="DC59" s="47"/>
      <c r="DD59" s="47"/>
      <c r="DE59" s="47"/>
      <c r="DF59" s="47"/>
      <c r="DG59" s="47"/>
      <c r="DH59" s="47"/>
      <c r="DI59" s="47"/>
      <c r="DJ59" s="47"/>
      <c r="DK59" s="47"/>
      <c r="DL59" s="47"/>
      <c r="DM59" s="47"/>
      <c r="DN59" s="47"/>
      <c r="DO59" s="47"/>
      <c r="DP59" s="47"/>
      <c r="DQ59" s="47"/>
      <c r="DR59" s="47"/>
      <c r="DS59" s="47"/>
      <c r="DT59" s="47"/>
      <c r="DU59" s="47"/>
      <c r="DV59" s="47"/>
      <c r="DW59" s="47"/>
      <c r="DX59" s="47"/>
      <c r="DY59" s="47"/>
      <c r="DZ59" s="219"/>
      <c r="EA59" s="231"/>
      <c r="EB59" s="231"/>
      <c r="EC59" s="231"/>
      <c r="ED59" s="231"/>
      <c r="EE59" s="231"/>
      <c r="EF59" s="231"/>
      <c r="EG59" s="231"/>
      <c r="EH59" s="231"/>
      <c r="EI59" s="231"/>
      <c r="EJ59" s="231"/>
      <c r="EK59" s="231"/>
      <c r="EL59" s="231"/>
      <c r="EM59" s="231"/>
      <c r="EN59" s="231"/>
      <c r="EO59" s="231"/>
      <c r="EP59" s="231"/>
      <c r="EQ59" s="231"/>
    </row>
    <row r="60" spans="1:147" ht="22.9" customHeight="1" outlineLevel="2" x14ac:dyDescent="0.2">
      <c r="A60" s="146" t="s">
        <v>542</v>
      </c>
      <c r="B60" s="53" t="s">
        <v>416</v>
      </c>
      <c r="C60" s="50" t="s">
        <v>133</v>
      </c>
      <c r="D60" s="165">
        <v>1</v>
      </c>
      <c r="E60" s="158">
        <v>1</v>
      </c>
      <c r="F60" s="52">
        <f>SUM(H60:DY60)*E60*Table1[[#This Row],[Cycles]]</f>
        <v>0</v>
      </c>
      <c r="G60" s="46">
        <f t="shared" ref="G60:G71" si="29">SUMPRODUCT($H$2:$DY$2,$H60:$DY60)*E60*D60</f>
        <v>0</v>
      </c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219"/>
      <c r="EA60" s="231"/>
      <c r="EB60" s="231"/>
      <c r="EC60" s="231"/>
      <c r="ED60" s="231"/>
      <c r="EE60" s="231"/>
      <c r="EF60" s="231"/>
      <c r="EG60" s="231"/>
      <c r="EH60" s="231"/>
      <c r="EI60" s="231"/>
      <c r="EJ60" s="231"/>
      <c r="EK60" s="231"/>
      <c r="EL60" s="231"/>
      <c r="EM60" s="231"/>
      <c r="EN60" s="231"/>
      <c r="EO60" s="231"/>
      <c r="EP60" s="231"/>
      <c r="EQ60" s="231"/>
    </row>
    <row r="61" spans="1:147" ht="22.9" customHeight="1" outlineLevel="2" x14ac:dyDescent="0.2">
      <c r="A61" s="146" t="s">
        <v>543</v>
      </c>
      <c r="B61" s="53" t="s">
        <v>105</v>
      </c>
      <c r="C61" s="50" t="s">
        <v>133</v>
      </c>
      <c r="D61" s="165">
        <v>1</v>
      </c>
      <c r="E61" s="158">
        <v>1</v>
      </c>
      <c r="F61" s="52">
        <f>SUM(H61:DY61)*E61*Table1[[#This Row],[Cycles]]</f>
        <v>0</v>
      </c>
      <c r="G61" s="46">
        <f t="shared" si="29"/>
        <v>0</v>
      </c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219"/>
      <c r="EA61" s="231"/>
      <c r="EB61" s="231"/>
      <c r="EC61" s="231"/>
      <c r="ED61" s="231"/>
      <c r="EE61" s="231"/>
      <c r="EF61" s="231"/>
      <c r="EG61" s="231"/>
      <c r="EH61" s="231"/>
      <c r="EI61" s="231"/>
      <c r="EJ61" s="231"/>
      <c r="EK61" s="231"/>
      <c r="EL61" s="231"/>
      <c r="EM61" s="231"/>
      <c r="EN61" s="231"/>
      <c r="EO61" s="231"/>
      <c r="EP61" s="231"/>
      <c r="EQ61" s="231"/>
    </row>
    <row r="62" spans="1:147" ht="22.9" customHeight="1" outlineLevel="2" x14ac:dyDescent="0.2">
      <c r="A62" s="146" t="s">
        <v>544</v>
      </c>
      <c r="B62" s="53" t="s">
        <v>28</v>
      </c>
      <c r="C62" s="50" t="s">
        <v>133</v>
      </c>
      <c r="D62" s="165">
        <v>1</v>
      </c>
      <c r="E62" s="158">
        <v>1</v>
      </c>
      <c r="F62" s="52">
        <f>SUM(H62:DY62)*E62*Table1[[#This Row],[Cycles]]</f>
        <v>0</v>
      </c>
      <c r="G62" s="46">
        <f t="shared" si="29"/>
        <v>0</v>
      </c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7"/>
      <c r="CQ62" s="47"/>
      <c r="CR62" s="47"/>
      <c r="CS62" s="47"/>
      <c r="CT62" s="47"/>
      <c r="CU62" s="47"/>
      <c r="CV62" s="47"/>
      <c r="CW62" s="47"/>
      <c r="CX62" s="47"/>
      <c r="CY62" s="47"/>
      <c r="CZ62" s="47"/>
      <c r="DA62" s="47"/>
      <c r="DB62" s="47"/>
      <c r="DC62" s="47"/>
      <c r="DD62" s="47"/>
      <c r="DE62" s="47"/>
      <c r="DF62" s="47"/>
      <c r="DG62" s="47"/>
      <c r="DH62" s="47"/>
      <c r="DI62" s="47"/>
      <c r="DJ62" s="47"/>
      <c r="DK62" s="47"/>
      <c r="DL62" s="47"/>
      <c r="DM62" s="47"/>
      <c r="DN62" s="47"/>
      <c r="DO62" s="47"/>
      <c r="DP62" s="47"/>
      <c r="DQ62" s="47"/>
      <c r="DR62" s="47"/>
      <c r="DS62" s="47"/>
      <c r="DT62" s="47"/>
      <c r="DU62" s="47"/>
      <c r="DV62" s="47"/>
      <c r="DW62" s="47"/>
      <c r="DX62" s="47"/>
      <c r="DY62" s="47"/>
      <c r="DZ62" s="219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</row>
    <row r="63" spans="1:147" ht="22.9" customHeight="1" outlineLevel="2" x14ac:dyDescent="0.2">
      <c r="A63" s="146" t="s">
        <v>545</v>
      </c>
      <c r="B63" s="53" t="s">
        <v>102</v>
      </c>
      <c r="C63" s="50" t="s">
        <v>133</v>
      </c>
      <c r="D63" s="165">
        <v>1</v>
      </c>
      <c r="E63" s="158">
        <v>1</v>
      </c>
      <c r="F63" s="52">
        <f>SUM(H63:DY63)*E63*Table1[[#This Row],[Cycles]]</f>
        <v>0</v>
      </c>
      <c r="G63" s="46">
        <f t="shared" si="29"/>
        <v>0</v>
      </c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  <c r="CW63" s="47"/>
      <c r="CX63" s="47"/>
      <c r="CY63" s="47"/>
      <c r="CZ63" s="47"/>
      <c r="DA63" s="47"/>
      <c r="DB63" s="47"/>
      <c r="DC63" s="47"/>
      <c r="DD63" s="47"/>
      <c r="DE63" s="47"/>
      <c r="DF63" s="47"/>
      <c r="DG63" s="47"/>
      <c r="DH63" s="47"/>
      <c r="DI63" s="47"/>
      <c r="DJ63" s="47"/>
      <c r="DK63" s="47"/>
      <c r="DL63" s="47"/>
      <c r="DM63" s="47"/>
      <c r="DN63" s="47"/>
      <c r="DO63" s="47"/>
      <c r="DP63" s="47"/>
      <c r="DQ63" s="47"/>
      <c r="DR63" s="47"/>
      <c r="DS63" s="47"/>
      <c r="DT63" s="47"/>
      <c r="DU63" s="47"/>
      <c r="DV63" s="47"/>
      <c r="DW63" s="47"/>
      <c r="DX63" s="47"/>
      <c r="DY63" s="47"/>
      <c r="DZ63" s="219"/>
      <c r="EA63" s="231"/>
      <c r="EB63" s="231"/>
      <c r="EC63" s="231"/>
      <c r="ED63" s="231"/>
      <c r="EE63" s="231"/>
      <c r="EF63" s="231"/>
      <c r="EG63" s="231"/>
      <c r="EH63" s="231"/>
      <c r="EI63" s="231"/>
      <c r="EJ63" s="231"/>
      <c r="EK63" s="231"/>
      <c r="EL63" s="231"/>
      <c r="EM63" s="231"/>
      <c r="EN63" s="231"/>
      <c r="EO63" s="231"/>
      <c r="EP63" s="231"/>
      <c r="EQ63" s="231"/>
    </row>
    <row r="64" spans="1:147" ht="22.9" customHeight="1" outlineLevel="2" x14ac:dyDescent="0.2">
      <c r="A64" s="146" t="s">
        <v>546</v>
      </c>
      <c r="B64" s="53" t="s">
        <v>103</v>
      </c>
      <c r="C64" s="50" t="s">
        <v>133</v>
      </c>
      <c r="D64" s="165">
        <v>1</v>
      </c>
      <c r="E64" s="158">
        <v>1</v>
      </c>
      <c r="F64" s="52">
        <f>SUM(H64:DY64)*E64*Table1[[#This Row],[Cycles]]</f>
        <v>0</v>
      </c>
      <c r="G64" s="46">
        <f t="shared" si="29"/>
        <v>0</v>
      </c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  <c r="CU64" s="47"/>
      <c r="CV64" s="47"/>
      <c r="CW64" s="47"/>
      <c r="CX64" s="47"/>
      <c r="CY64" s="47"/>
      <c r="CZ64" s="47"/>
      <c r="DA64" s="47"/>
      <c r="DB64" s="47"/>
      <c r="DC64" s="47"/>
      <c r="DD64" s="47"/>
      <c r="DE64" s="47"/>
      <c r="DF64" s="47"/>
      <c r="DG64" s="47"/>
      <c r="DH64" s="47"/>
      <c r="DI64" s="47"/>
      <c r="DJ64" s="47"/>
      <c r="DK64" s="47"/>
      <c r="DL64" s="47"/>
      <c r="DM64" s="47"/>
      <c r="DN64" s="47"/>
      <c r="DO64" s="47"/>
      <c r="DP64" s="47"/>
      <c r="DQ64" s="47"/>
      <c r="DR64" s="47"/>
      <c r="DS64" s="47"/>
      <c r="DT64" s="47"/>
      <c r="DU64" s="47"/>
      <c r="DV64" s="47"/>
      <c r="DW64" s="47"/>
      <c r="DX64" s="47"/>
      <c r="DY64" s="47"/>
      <c r="DZ64" s="219"/>
      <c r="EA64" s="231"/>
      <c r="EB64" s="231"/>
      <c r="EC64" s="231"/>
      <c r="ED64" s="231"/>
      <c r="EE64" s="231"/>
      <c r="EF64" s="231"/>
      <c r="EG64" s="231"/>
      <c r="EH64" s="231"/>
      <c r="EI64" s="231"/>
      <c r="EJ64" s="231"/>
      <c r="EK64" s="231"/>
      <c r="EL64" s="231"/>
      <c r="EM64" s="231"/>
      <c r="EN64" s="231"/>
      <c r="EO64" s="231"/>
      <c r="EP64" s="231"/>
      <c r="EQ64" s="231"/>
    </row>
    <row r="65" spans="1:147" ht="22.9" customHeight="1" outlineLevel="2" x14ac:dyDescent="0.2">
      <c r="A65" s="146" t="s">
        <v>547</v>
      </c>
      <c r="B65" s="53" t="s">
        <v>25</v>
      </c>
      <c r="C65" s="50" t="s">
        <v>133</v>
      </c>
      <c r="D65" s="165">
        <v>1</v>
      </c>
      <c r="E65" s="158">
        <v>1</v>
      </c>
      <c r="F65" s="52">
        <f>SUM(H65:DY65)*E65*Table1[[#This Row],[Cycles]]</f>
        <v>0</v>
      </c>
      <c r="G65" s="46">
        <f t="shared" si="29"/>
        <v>0</v>
      </c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47"/>
      <c r="CE65" s="47"/>
      <c r="CF65" s="47"/>
      <c r="CG65" s="47"/>
      <c r="CH65" s="47"/>
      <c r="CI65" s="47"/>
      <c r="CJ65" s="47"/>
      <c r="CK65" s="47"/>
      <c r="CL65" s="47"/>
      <c r="CM65" s="47"/>
      <c r="CN65" s="47"/>
      <c r="CO65" s="47"/>
      <c r="CP65" s="47"/>
      <c r="CQ65" s="47"/>
      <c r="CR65" s="47"/>
      <c r="CS65" s="47"/>
      <c r="CT65" s="47"/>
      <c r="CU65" s="47"/>
      <c r="CV65" s="47"/>
      <c r="CW65" s="47"/>
      <c r="CX65" s="47"/>
      <c r="CY65" s="47"/>
      <c r="CZ65" s="47"/>
      <c r="DA65" s="47"/>
      <c r="DB65" s="47"/>
      <c r="DC65" s="47"/>
      <c r="DD65" s="47"/>
      <c r="DE65" s="47"/>
      <c r="DF65" s="47"/>
      <c r="DG65" s="47"/>
      <c r="DH65" s="47"/>
      <c r="DI65" s="47"/>
      <c r="DJ65" s="47"/>
      <c r="DK65" s="47"/>
      <c r="DL65" s="47"/>
      <c r="DM65" s="47"/>
      <c r="DN65" s="47"/>
      <c r="DO65" s="47"/>
      <c r="DP65" s="47"/>
      <c r="DQ65" s="47"/>
      <c r="DR65" s="47"/>
      <c r="DS65" s="47"/>
      <c r="DT65" s="47"/>
      <c r="DU65" s="47"/>
      <c r="DV65" s="47"/>
      <c r="DW65" s="47"/>
      <c r="DX65" s="47"/>
      <c r="DY65" s="47"/>
      <c r="DZ65" s="219"/>
      <c r="EA65" s="231"/>
      <c r="EB65" s="231"/>
      <c r="EC65" s="231"/>
      <c r="ED65" s="231"/>
      <c r="EE65" s="231"/>
      <c r="EF65" s="231"/>
      <c r="EG65" s="231"/>
      <c r="EH65" s="231"/>
      <c r="EI65" s="231"/>
      <c r="EJ65" s="231"/>
      <c r="EK65" s="231"/>
      <c r="EL65" s="231"/>
      <c r="EM65" s="231"/>
      <c r="EN65" s="231"/>
      <c r="EO65" s="231"/>
      <c r="EP65" s="231"/>
      <c r="EQ65" s="231"/>
    </row>
    <row r="66" spans="1:147" ht="22.9" customHeight="1" outlineLevel="2" x14ac:dyDescent="0.2">
      <c r="A66" s="146" t="s">
        <v>548</v>
      </c>
      <c r="B66" s="53" t="s">
        <v>26</v>
      </c>
      <c r="C66" s="50" t="s">
        <v>133</v>
      </c>
      <c r="D66" s="165">
        <v>1</v>
      </c>
      <c r="E66" s="158">
        <v>1</v>
      </c>
      <c r="F66" s="52">
        <f>SUM(H66:DY66)*E66*Table1[[#This Row],[Cycles]]</f>
        <v>0</v>
      </c>
      <c r="G66" s="46">
        <f t="shared" si="29"/>
        <v>0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7"/>
      <c r="CR66" s="47"/>
      <c r="CS66" s="47"/>
      <c r="CT66" s="47"/>
      <c r="CU66" s="47"/>
      <c r="CV66" s="47"/>
      <c r="CW66" s="47"/>
      <c r="CX66" s="47"/>
      <c r="CY66" s="47"/>
      <c r="CZ66" s="47"/>
      <c r="DA66" s="47"/>
      <c r="DB66" s="47"/>
      <c r="DC66" s="47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7"/>
      <c r="DP66" s="47"/>
      <c r="DQ66" s="47"/>
      <c r="DR66" s="47"/>
      <c r="DS66" s="47"/>
      <c r="DT66" s="47"/>
      <c r="DU66" s="47"/>
      <c r="DV66" s="47"/>
      <c r="DW66" s="47"/>
      <c r="DX66" s="47"/>
      <c r="DY66" s="47"/>
      <c r="DZ66" s="219"/>
      <c r="EA66" s="231"/>
      <c r="EB66" s="231"/>
      <c r="EC66" s="231"/>
      <c r="ED66" s="231"/>
      <c r="EE66" s="231"/>
      <c r="EF66" s="231"/>
      <c r="EG66" s="231"/>
      <c r="EH66" s="231"/>
      <c r="EI66" s="231"/>
      <c r="EJ66" s="231"/>
      <c r="EK66" s="231"/>
      <c r="EL66" s="231"/>
      <c r="EM66" s="231"/>
      <c r="EN66" s="231"/>
      <c r="EO66" s="231"/>
      <c r="EP66" s="231"/>
      <c r="EQ66" s="231"/>
    </row>
    <row r="67" spans="1:147" ht="22.9" customHeight="1" outlineLevel="2" x14ac:dyDescent="0.2">
      <c r="A67" s="146" t="s">
        <v>549</v>
      </c>
      <c r="B67" s="53" t="s">
        <v>27</v>
      </c>
      <c r="C67" s="50" t="s">
        <v>133</v>
      </c>
      <c r="D67" s="165">
        <v>1</v>
      </c>
      <c r="E67" s="158">
        <v>1</v>
      </c>
      <c r="F67" s="52">
        <f>SUM(H67:DY67)*E67*Table1[[#This Row],[Cycles]]</f>
        <v>0</v>
      </c>
      <c r="G67" s="46">
        <f t="shared" si="29"/>
        <v>0</v>
      </c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219"/>
      <c r="EA67" s="231"/>
      <c r="EB67" s="231"/>
      <c r="EC67" s="231"/>
      <c r="ED67" s="231"/>
      <c r="EE67" s="231"/>
      <c r="EF67" s="231"/>
      <c r="EG67" s="231"/>
      <c r="EH67" s="231"/>
      <c r="EI67" s="231"/>
      <c r="EJ67" s="231"/>
      <c r="EK67" s="231"/>
      <c r="EL67" s="231"/>
      <c r="EM67" s="231"/>
      <c r="EN67" s="231"/>
      <c r="EO67" s="231"/>
      <c r="EP67" s="231"/>
      <c r="EQ67" s="231"/>
    </row>
    <row r="68" spans="1:147" ht="22.9" customHeight="1" outlineLevel="2" x14ac:dyDescent="0.2">
      <c r="A68" s="146" t="s">
        <v>550</v>
      </c>
      <c r="B68" s="53" t="s">
        <v>211</v>
      </c>
      <c r="C68" s="50" t="s">
        <v>133</v>
      </c>
      <c r="D68" s="165">
        <v>1</v>
      </c>
      <c r="E68" s="158">
        <v>1</v>
      </c>
      <c r="F68" s="52">
        <f>SUM(H68:DY68)*E68*Table1[[#This Row],[Cycles]]</f>
        <v>0</v>
      </c>
      <c r="G68" s="46">
        <f t="shared" si="29"/>
        <v>0</v>
      </c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  <c r="CT68" s="47"/>
      <c r="CU68" s="47"/>
      <c r="CV68" s="47"/>
      <c r="CW68" s="47"/>
      <c r="CX68" s="47"/>
      <c r="CY68" s="47"/>
      <c r="CZ68" s="47"/>
      <c r="DA68" s="47"/>
      <c r="DB68" s="47"/>
      <c r="DC68" s="47"/>
      <c r="DD68" s="47"/>
      <c r="DE68" s="47"/>
      <c r="DF68" s="47"/>
      <c r="DG68" s="47"/>
      <c r="DH68" s="47"/>
      <c r="DI68" s="47"/>
      <c r="DJ68" s="47"/>
      <c r="DK68" s="47"/>
      <c r="DL68" s="47"/>
      <c r="DM68" s="47"/>
      <c r="DN68" s="47"/>
      <c r="DO68" s="47"/>
      <c r="DP68" s="47"/>
      <c r="DQ68" s="47"/>
      <c r="DR68" s="47"/>
      <c r="DS68" s="47"/>
      <c r="DT68" s="47"/>
      <c r="DU68" s="47"/>
      <c r="DV68" s="47"/>
      <c r="DW68" s="47"/>
      <c r="DX68" s="47"/>
      <c r="DY68" s="47"/>
      <c r="DZ68" s="219"/>
      <c r="EA68" s="231"/>
      <c r="EB68" s="231"/>
      <c r="EC68" s="231"/>
      <c r="ED68" s="231"/>
      <c r="EE68" s="231"/>
      <c r="EF68" s="231"/>
      <c r="EG68" s="231"/>
      <c r="EH68" s="231"/>
      <c r="EI68" s="231"/>
      <c r="EJ68" s="231"/>
      <c r="EK68" s="231"/>
      <c r="EL68" s="231"/>
      <c r="EM68" s="231"/>
      <c r="EN68" s="231"/>
      <c r="EO68" s="231"/>
      <c r="EP68" s="231"/>
      <c r="EQ68" s="231"/>
    </row>
    <row r="69" spans="1:147" ht="22.9" customHeight="1" outlineLevel="2" x14ac:dyDescent="0.2">
      <c r="A69" s="146" t="s">
        <v>551</v>
      </c>
      <c r="B69" s="53" t="s">
        <v>212</v>
      </c>
      <c r="C69" s="50" t="s">
        <v>133</v>
      </c>
      <c r="D69" s="165">
        <v>1</v>
      </c>
      <c r="E69" s="158">
        <v>1</v>
      </c>
      <c r="F69" s="52">
        <f>SUM(H69:DY69)*E69*Table1[[#This Row],[Cycles]]</f>
        <v>0</v>
      </c>
      <c r="G69" s="46">
        <f t="shared" si="29"/>
        <v>0</v>
      </c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  <c r="CW69" s="47"/>
      <c r="CX69" s="47"/>
      <c r="CY69" s="47"/>
      <c r="CZ69" s="47"/>
      <c r="DA69" s="47"/>
      <c r="DB69" s="47"/>
      <c r="DC69" s="47"/>
      <c r="DD69" s="47"/>
      <c r="DE69" s="47"/>
      <c r="DF69" s="47"/>
      <c r="DG69" s="47"/>
      <c r="DH69" s="47"/>
      <c r="DI69" s="47"/>
      <c r="DJ69" s="47"/>
      <c r="DK69" s="47"/>
      <c r="DL69" s="47"/>
      <c r="DM69" s="47"/>
      <c r="DN69" s="47"/>
      <c r="DO69" s="47"/>
      <c r="DP69" s="47"/>
      <c r="DQ69" s="47"/>
      <c r="DR69" s="47"/>
      <c r="DS69" s="47"/>
      <c r="DT69" s="47"/>
      <c r="DU69" s="47"/>
      <c r="DV69" s="47"/>
      <c r="DW69" s="47"/>
      <c r="DX69" s="47"/>
      <c r="DY69" s="47"/>
      <c r="DZ69" s="219"/>
      <c r="EA69" s="231"/>
      <c r="EB69" s="231"/>
      <c r="EC69" s="231"/>
      <c r="ED69" s="231"/>
      <c r="EE69" s="231"/>
      <c r="EF69" s="231"/>
      <c r="EG69" s="231"/>
      <c r="EH69" s="231"/>
      <c r="EI69" s="231"/>
      <c r="EJ69" s="231"/>
      <c r="EK69" s="231"/>
      <c r="EL69" s="231"/>
      <c r="EM69" s="231"/>
      <c r="EN69" s="231"/>
      <c r="EO69" s="231"/>
      <c r="EP69" s="231"/>
      <c r="EQ69" s="231"/>
    </row>
    <row r="70" spans="1:147" ht="22.9" customHeight="1" outlineLevel="2" x14ac:dyDescent="0.2">
      <c r="A70" s="146" t="s">
        <v>552</v>
      </c>
      <c r="B70" s="53" t="s">
        <v>104</v>
      </c>
      <c r="C70" s="50" t="s">
        <v>133</v>
      </c>
      <c r="D70" s="165">
        <v>1</v>
      </c>
      <c r="E70" s="158">
        <v>1</v>
      </c>
      <c r="F70" s="52">
        <f>SUM(H70:DY70)*E70*Table1[[#This Row],[Cycles]]</f>
        <v>0</v>
      </c>
      <c r="G70" s="46">
        <f t="shared" si="29"/>
        <v>0</v>
      </c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47"/>
      <c r="CE70" s="47"/>
      <c r="CF70" s="47"/>
      <c r="CG70" s="47"/>
      <c r="CH70" s="47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47"/>
      <c r="CT70" s="47"/>
      <c r="CU70" s="47"/>
      <c r="CV70" s="47"/>
      <c r="CW70" s="47"/>
      <c r="CX70" s="47"/>
      <c r="CY70" s="47"/>
      <c r="CZ70" s="47"/>
      <c r="DA70" s="47"/>
      <c r="DB70" s="47"/>
      <c r="DC70" s="47"/>
      <c r="DD70" s="47"/>
      <c r="DE70" s="47"/>
      <c r="DF70" s="47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47"/>
      <c r="DR70" s="47"/>
      <c r="DS70" s="47"/>
      <c r="DT70" s="47"/>
      <c r="DU70" s="47"/>
      <c r="DV70" s="47"/>
      <c r="DW70" s="47"/>
      <c r="DX70" s="47"/>
      <c r="DY70" s="47"/>
      <c r="DZ70" s="219"/>
      <c r="EA70" s="231"/>
      <c r="EB70" s="231"/>
      <c r="EC70" s="231"/>
      <c r="ED70" s="231"/>
      <c r="EE70" s="231"/>
      <c r="EF70" s="231"/>
      <c r="EG70" s="231"/>
      <c r="EH70" s="231"/>
      <c r="EI70" s="231"/>
      <c r="EJ70" s="231"/>
      <c r="EK70" s="231"/>
      <c r="EL70" s="231"/>
      <c r="EM70" s="231"/>
      <c r="EN70" s="231"/>
      <c r="EO70" s="231"/>
      <c r="EP70" s="231"/>
      <c r="EQ70" s="231"/>
    </row>
    <row r="71" spans="1:147" ht="22.9" customHeight="1" outlineLevel="2" x14ac:dyDescent="0.2">
      <c r="A71" s="146" t="s">
        <v>553</v>
      </c>
      <c r="B71" s="53" t="s">
        <v>106</v>
      </c>
      <c r="C71" s="50" t="s">
        <v>133</v>
      </c>
      <c r="D71" s="165">
        <v>1</v>
      </c>
      <c r="E71" s="158">
        <v>1</v>
      </c>
      <c r="F71" s="52">
        <f>SUM(H71:DY71)*E71*Table1[[#This Row],[Cycles]]</f>
        <v>0</v>
      </c>
      <c r="G71" s="46">
        <f t="shared" si="29"/>
        <v>0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219"/>
      <c r="EA71" s="231"/>
      <c r="EB71" s="231"/>
      <c r="EC71" s="231"/>
      <c r="ED71" s="231"/>
      <c r="EE71" s="231"/>
      <c r="EF71" s="231"/>
      <c r="EG71" s="231"/>
      <c r="EH71" s="231"/>
      <c r="EI71" s="231"/>
      <c r="EJ71" s="231"/>
      <c r="EK71" s="231"/>
      <c r="EL71" s="231"/>
      <c r="EM71" s="231"/>
      <c r="EN71" s="231"/>
      <c r="EO71" s="231"/>
      <c r="EP71" s="231"/>
      <c r="EQ71" s="231"/>
    </row>
    <row r="72" spans="1:147" s="40" customFormat="1" ht="22.9" customHeight="1" outlineLevel="1" x14ac:dyDescent="0.2">
      <c r="A72" s="149" t="s">
        <v>539</v>
      </c>
      <c r="B72" s="34" t="s">
        <v>487</v>
      </c>
      <c r="C72" s="30" t="s">
        <v>100</v>
      </c>
      <c r="D72" s="164"/>
      <c r="E72" s="164"/>
      <c r="F72" s="45">
        <f>SUM(F73:F84)</f>
        <v>0</v>
      </c>
      <c r="G72" s="44">
        <f>SUM(G73:G84)</f>
        <v>0</v>
      </c>
      <c r="H72" s="45">
        <f>SUMPRODUCT($E$73:$E$84,$D$73:$D$84,H73:H84)</f>
        <v>0</v>
      </c>
      <c r="I72" s="45">
        <f t="shared" ref="I72:BT72" si="30">SUMPRODUCT($E$73:$E$84,$D$73:$D$84,I73:I84)</f>
        <v>0</v>
      </c>
      <c r="J72" s="45">
        <f t="shared" si="30"/>
        <v>0</v>
      </c>
      <c r="K72" s="45">
        <f t="shared" si="30"/>
        <v>0</v>
      </c>
      <c r="L72" s="45">
        <f t="shared" si="30"/>
        <v>0</v>
      </c>
      <c r="M72" s="45">
        <f t="shared" si="30"/>
        <v>0</v>
      </c>
      <c r="N72" s="45">
        <f t="shared" si="30"/>
        <v>0</v>
      </c>
      <c r="O72" s="45">
        <f t="shared" si="30"/>
        <v>0</v>
      </c>
      <c r="P72" s="45">
        <f t="shared" si="30"/>
        <v>0</v>
      </c>
      <c r="Q72" s="45">
        <f t="shared" si="30"/>
        <v>0</v>
      </c>
      <c r="R72" s="45">
        <f t="shared" si="30"/>
        <v>0</v>
      </c>
      <c r="S72" s="45">
        <f t="shared" si="30"/>
        <v>0</v>
      </c>
      <c r="T72" s="45">
        <f t="shared" si="30"/>
        <v>0</v>
      </c>
      <c r="U72" s="45">
        <f t="shared" si="30"/>
        <v>0</v>
      </c>
      <c r="V72" s="45">
        <f t="shared" si="30"/>
        <v>0</v>
      </c>
      <c r="W72" s="45">
        <f t="shared" si="30"/>
        <v>0</v>
      </c>
      <c r="X72" s="45">
        <f t="shared" si="30"/>
        <v>0</v>
      </c>
      <c r="Y72" s="45">
        <f t="shared" si="30"/>
        <v>0</v>
      </c>
      <c r="Z72" s="45">
        <f t="shared" si="30"/>
        <v>0</v>
      </c>
      <c r="AA72" s="45">
        <f t="shared" si="30"/>
        <v>0</v>
      </c>
      <c r="AB72" s="45">
        <f t="shared" si="30"/>
        <v>0</v>
      </c>
      <c r="AC72" s="45">
        <f t="shared" si="30"/>
        <v>0</v>
      </c>
      <c r="AD72" s="45">
        <f t="shared" si="30"/>
        <v>0</v>
      </c>
      <c r="AE72" s="45">
        <f t="shared" si="30"/>
        <v>0</v>
      </c>
      <c r="AF72" s="45">
        <f t="shared" si="30"/>
        <v>0</v>
      </c>
      <c r="AG72" s="45">
        <f t="shared" si="30"/>
        <v>0</v>
      </c>
      <c r="AH72" s="45">
        <f t="shared" si="30"/>
        <v>0</v>
      </c>
      <c r="AI72" s="45">
        <f t="shared" si="30"/>
        <v>0</v>
      </c>
      <c r="AJ72" s="45">
        <f t="shared" si="30"/>
        <v>0</v>
      </c>
      <c r="AK72" s="45">
        <f t="shared" si="30"/>
        <v>0</v>
      </c>
      <c r="AL72" s="45">
        <f t="shared" si="30"/>
        <v>0</v>
      </c>
      <c r="AM72" s="45">
        <f t="shared" si="30"/>
        <v>0</v>
      </c>
      <c r="AN72" s="45">
        <f t="shared" si="30"/>
        <v>0</v>
      </c>
      <c r="AO72" s="45">
        <f t="shared" si="30"/>
        <v>0</v>
      </c>
      <c r="AP72" s="45">
        <f t="shared" si="30"/>
        <v>0</v>
      </c>
      <c r="AQ72" s="45">
        <f t="shared" si="30"/>
        <v>0</v>
      </c>
      <c r="AR72" s="45">
        <f t="shared" si="30"/>
        <v>0</v>
      </c>
      <c r="AS72" s="45">
        <f t="shared" si="30"/>
        <v>0</v>
      </c>
      <c r="AT72" s="45">
        <f t="shared" si="30"/>
        <v>0</v>
      </c>
      <c r="AU72" s="45">
        <f t="shared" si="30"/>
        <v>0</v>
      </c>
      <c r="AV72" s="45">
        <f t="shared" si="30"/>
        <v>0</v>
      </c>
      <c r="AW72" s="45">
        <f t="shared" si="30"/>
        <v>0</v>
      </c>
      <c r="AX72" s="45">
        <f t="shared" si="30"/>
        <v>0</v>
      </c>
      <c r="AY72" s="45">
        <f t="shared" si="30"/>
        <v>0</v>
      </c>
      <c r="AZ72" s="45">
        <f t="shared" si="30"/>
        <v>0</v>
      </c>
      <c r="BA72" s="45">
        <f t="shared" si="30"/>
        <v>0</v>
      </c>
      <c r="BB72" s="45">
        <f t="shared" si="30"/>
        <v>0</v>
      </c>
      <c r="BC72" s="45">
        <f t="shared" si="30"/>
        <v>0</v>
      </c>
      <c r="BD72" s="45">
        <f t="shared" si="30"/>
        <v>0</v>
      </c>
      <c r="BE72" s="45">
        <f t="shared" si="30"/>
        <v>0</v>
      </c>
      <c r="BF72" s="45">
        <f t="shared" si="30"/>
        <v>0</v>
      </c>
      <c r="BG72" s="45">
        <f t="shared" si="30"/>
        <v>0</v>
      </c>
      <c r="BH72" s="45">
        <f t="shared" si="30"/>
        <v>0</v>
      </c>
      <c r="BI72" s="45">
        <f t="shared" si="30"/>
        <v>0</v>
      </c>
      <c r="BJ72" s="45">
        <f t="shared" si="30"/>
        <v>0</v>
      </c>
      <c r="BK72" s="45">
        <f t="shared" si="30"/>
        <v>0</v>
      </c>
      <c r="BL72" s="45">
        <f t="shared" si="30"/>
        <v>0</v>
      </c>
      <c r="BM72" s="45">
        <f t="shared" si="30"/>
        <v>0</v>
      </c>
      <c r="BN72" s="45">
        <f t="shared" si="30"/>
        <v>0</v>
      </c>
      <c r="BO72" s="45">
        <f t="shared" si="30"/>
        <v>0</v>
      </c>
      <c r="BP72" s="45">
        <f t="shared" si="30"/>
        <v>0</v>
      </c>
      <c r="BQ72" s="45">
        <f t="shared" si="30"/>
        <v>0</v>
      </c>
      <c r="BR72" s="45">
        <f t="shared" si="30"/>
        <v>0</v>
      </c>
      <c r="BS72" s="45">
        <f t="shared" si="30"/>
        <v>0</v>
      </c>
      <c r="BT72" s="45">
        <f t="shared" si="30"/>
        <v>0</v>
      </c>
      <c r="BU72" s="45">
        <f>SUMPRODUCT($E$73:$E$84,$D$73:$D$84,BU73:BU84)</f>
        <v>0</v>
      </c>
      <c r="BV72" s="45">
        <f t="shared" ref="BV72:DY72" si="31">SUMPRODUCT($E$73:$E$84,$D$73:$D$84,BV73:BV84)</f>
        <v>0</v>
      </c>
      <c r="BW72" s="45">
        <f t="shared" si="31"/>
        <v>0</v>
      </c>
      <c r="BX72" s="45">
        <f t="shared" si="31"/>
        <v>0</v>
      </c>
      <c r="BY72" s="45">
        <f t="shared" si="31"/>
        <v>0</v>
      </c>
      <c r="BZ72" s="45">
        <f t="shared" si="31"/>
        <v>0</v>
      </c>
      <c r="CA72" s="45">
        <f t="shared" si="31"/>
        <v>0</v>
      </c>
      <c r="CB72" s="45">
        <f t="shared" si="31"/>
        <v>0</v>
      </c>
      <c r="CC72" s="45">
        <f t="shared" si="31"/>
        <v>0</v>
      </c>
      <c r="CD72" s="45">
        <f t="shared" si="31"/>
        <v>0</v>
      </c>
      <c r="CE72" s="45">
        <f t="shared" si="31"/>
        <v>0</v>
      </c>
      <c r="CF72" s="45">
        <f t="shared" si="31"/>
        <v>0</v>
      </c>
      <c r="CG72" s="45">
        <f t="shared" si="31"/>
        <v>0</v>
      </c>
      <c r="CH72" s="45">
        <f t="shared" si="31"/>
        <v>0</v>
      </c>
      <c r="CI72" s="45">
        <f t="shared" si="31"/>
        <v>0</v>
      </c>
      <c r="CJ72" s="45">
        <f t="shared" si="31"/>
        <v>0</v>
      </c>
      <c r="CK72" s="45">
        <f t="shared" si="31"/>
        <v>0</v>
      </c>
      <c r="CL72" s="45">
        <f t="shared" si="31"/>
        <v>0</v>
      </c>
      <c r="CM72" s="45">
        <f t="shared" si="31"/>
        <v>0</v>
      </c>
      <c r="CN72" s="45">
        <f t="shared" si="31"/>
        <v>0</v>
      </c>
      <c r="CO72" s="45">
        <f t="shared" si="31"/>
        <v>0</v>
      </c>
      <c r="CP72" s="45">
        <f t="shared" si="31"/>
        <v>0</v>
      </c>
      <c r="CQ72" s="45">
        <f t="shared" si="31"/>
        <v>0</v>
      </c>
      <c r="CR72" s="45">
        <f t="shared" si="31"/>
        <v>0</v>
      </c>
      <c r="CS72" s="45">
        <f t="shared" si="31"/>
        <v>0</v>
      </c>
      <c r="CT72" s="45">
        <f t="shared" si="31"/>
        <v>0</v>
      </c>
      <c r="CU72" s="45">
        <f t="shared" si="31"/>
        <v>0</v>
      </c>
      <c r="CV72" s="45">
        <f t="shared" si="31"/>
        <v>0</v>
      </c>
      <c r="CW72" s="45">
        <f t="shared" si="31"/>
        <v>0</v>
      </c>
      <c r="CX72" s="45">
        <f t="shared" si="31"/>
        <v>0</v>
      </c>
      <c r="CY72" s="45">
        <f t="shared" si="31"/>
        <v>0</v>
      </c>
      <c r="CZ72" s="45">
        <f t="shared" si="31"/>
        <v>0</v>
      </c>
      <c r="DA72" s="45">
        <f t="shared" si="31"/>
        <v>0</v>
      </c>
      <c r="DB72" s="45">
        <f t="shared" si="31"/>
        <v>0</v>
      </c>
      <c r="DC72" s="45">
        <f t="shared" si="31"/>
        <v>0</v>
      </c>
      <c r="DD72" s="45">
        <f t="shared" si="31"/>
        <v>0</v>
      </c>
      <c r="DE72" s="45">
        <f t="shared" si="31"/>
        <v>0</v>
      </c>
      <c r="DF72" s="45">
        <f t="shared" si="31"/>
        <v>0</v>
      </c>
      <c r="DG72" s="45">
        <f t="shared" si="31"/>
        <v>0</v>
      </c>
      <c r="DH72" s="45">
        <f t="shared" si="31"/>
        <v>0</v>
      </c>
      <c r="DI72" s="45">
        <f t="shared" si="31"/>
        <v>0</v>
      </c>
      <c r="DJ72" s="45">
        <f t="shared" si="31"/>
        <v>0</v>
      </c>
      <c r="DK72" s="45">
        <f t="shared" si="31"/>
        <v>0</v>
      </c>
      <c r="DL72" s="45">
        <f t="shared" si="31"/>
        <v>0</v>
      </c>
      <c r="DM72" s="45">
        <f t="shared" si="31"/>
        <v>0</v>
      </c>
      <c r="DN72" s="45">
        <f t="shared" si="31"/>
        <v>0</v>
      </c>
      <c r="DO72" s="45">
        <f t="shared" si="31"/>
        <v>0</v>
      </c>
      <c r="DP72" s="45">
        <f t="shared" si="31"/>
        <v>0</v>
      </c>
      <c r="DQ72" s="45">
        <f t="shared" si="31"/>
        <v>0</v>
      </c>
      <c r="DR72" s="45">
        <f t="shared" si="31"/>
        <v>0</v>
      </c>
      <c r="DS72" s="45">
        <f t="shared" si="31"/>
        <v>0</v>
      </c>
      <c r="DT72" s="45">
        <f t="shared" si="31"/>
        <v>0</v>
      </c>
      <c r="DU72" s="45">
        <f t="shared" si="31"/>
        <v>0</v>
      </c>
      <c r="DV72" s="45">
        <f t="shared" si="31"/>
        <v>0</v>
      </c>
      <c r="DW72" s="45">
        <f t="shared" si="31"/>
        <v>0</v>
      </c>
      <c r="DX72" s="45">
        <f t="shared" si="31"/>
        <v>0</v>
      </c>
      <c r="DY72" s="45">
        <f t="shared" si="31"/>
        <v>0</v>
      </c>
      <c r="DZ72" s="218"/>
      <c r="EA72" s="231"/>
      <c r="EB72" s="231"/>
      <c r="EC72" s="231"/>
      <c r="ED72" s="231"/>
      <c r="EE72" s="231"/>
      <c r="EF72" s="231"/>
      <c r="EG72" s="231"/>
      <c r="EH72" s="231"/>
      <c r="EI72" s="231"/>
      <c r="EJ72" s="231"/>
      <c r="EK72" s="231"/>
      <c r="EL72" s="231"/>
      <c r="EM72" s="231"/>
      <c r="EN72" s="231"/>
      <c r="EO72" s="231"/>
      <c r="EP72" s="231"/>
      <c r="EQ72" s="231"/>
    </row>
    <row r="73" spans="1:147" ht="22.9" customHeight="1" outlineLevel="2" x14ac:dyDescent="0.2">
      <c r="A73" s="146" t="s">
        <v>554</v>
      </c>
      <c r="B73" s="53" t="s">
        <v>483</v>
      </c>
      <c r="C73" s="50" t="s">
        <v>133</v>
      </c>
      <c r="D73" s="165">
        <v>1</v>
      </c>
      <c r="E73" s="158">
        <v>1</v>
      </c>
      <c r="F73" s="52">
        <f>SUM(H73:DY73)*E73*Table1[[#This Row],[Cycles]]</f>
        <v>0</v>
      </c>
      <c r="G73" s="46">
        <f>SUMPRODUCT($H$2:$DY$2,$H73:$DY73)*E73*D73</f>
        <v>0</v>
      </c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219"/>
      <c r="EA73" s="231"/>
      <c r="EB73" s="231"/>
      <c r="EC73" s="231"/>
      <c r="ED73" s="231"/>
      <c r="EE73" s="231"/>
      <c r="EF73" s="231"/>
      <c r="EG73" s="231"/>
      <c r="EH73" s="231"/>
      <c r="EI73" s="231"/>
      <c r="EJ73" s="231"/>
      <c r="EK73" s="231"/>
      <c r="EL73" s="231"/>
      <c r="EM73" s="231"/>
      <c r="EN73" s="231"/>
      <c r="EO73" s="231"/>
      <c r="EP73" s="231"/>
      <c r="EQ73" s="231"/>
    </row>
    <row r="74" spans="1:147" ht="22.9" customHeight="1" outlineLevel="2" x14ac:dyDescent="0.2">
      <c r="A74" s="146" t="s">
        <v>555</v>
      </c>
      <c r="B74" s="53" t="s">
        <v>113</v>
      </c>
      <c r="C74" s="50" t="s">
        <v>133</v>
      </c>
      <c r="D74" s="165">
        <v>1</v>
      </c>
      <c r="E74" s="158">
        <v>1</v>
      </c>
      <c r="F74" s="52">
        <f>SUM(H74:DY74)*E74*Table1[[#This Row],[Cycles]]</f>
        <v>0</v>
      </c>
      <c r="G74" s="46">
        <f t="shared" ref="G74:G84" si="32">SUMPRODUCT($H$2:$DY$2,$H74:$DY74)*E74*D74</f>
        <v>0</v>
      </c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219"/>
      <c r="EA74" s="231"/>
      <c r="EB74" s="231"/>
      <c r="EC74" s="231"/>
      <c r="ED74" s="231"/>
      <c r="EE74" s="231"/>
      <c r="EF74" s="231"/>
      <c r="EG74" s="231"/>
      <c r="EH74" s="231"/>
      <c r="EI74" s="231"/>
      <c r="EJ74" s="231"/>
      <c r="EK74" s="231"/>
      <c r="EL74" s="231"/>
      <c r="EM74" s="231"/>
      <c r="EN74" s="231"/>
      <c r="EO74" s="231"/>
      <c r="EP74" s="231"/>
      <c r="EQ74" s="231"/>
    </row>
    <row r="75" spans="1:147" ht="22.9" customHeight="1" outlineLevel="2" x14ac:dyDescent="0.2">
      <c r="A75" s="146" t="s">
        <v>556</v>
      </c>
      <c r="B75" s="53" t="s">
        <v>442</v>
      </c>
      <c r="C75" s="50" t="s">
        <v>133</v>
      </c>
      <c r="D75" s="165">
        <v>1</v>
      </c>
      <c r="E75" s="158">
        <v>1</v>
      </c>
      <c r="F75" s="52">
        <f>SUM(H75:DY75)*E75*Table1[[#This Row],[Cycles]]</f>
        <v>0</v>
      </c>
      <c r="G75" s="46">
        <f t="shared" si="32"/>
        <v>0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219"/>
      <c r="EA75" s="231"/>
      <c r="EB75" s="231"/>
      <c r="EC75" s="231"/>
      <c r="ED75" s="231"/>
      <c r="EE75" s="231"/>
      <c r="EF75" s="231"/>
      <c r="EG75" s="231"/>
      <c r="EH75" s="231"/>
      <c r="EI75" s="231"/>
      <c r="EJ75" s="231"/>
      <c r="EK75" s="231"/>
      <c r="EL75" s="231"/>
      <c r="EM75" s="231"/>
      <c r="EN75" s="231"/>
      <c r="EO75" s="231"/>
      <c r="EP75" s="231"/>
      <c r="EQ75" s="231"/>
    </row>
    <row r="76" spans="1:147" ht="22.9" customHeight="1" outlineLevel="2" x14ac:dyDescent="0.2">
      <c r="A76" s="146" t="s">
        <v>557</v>
      </c>
      <c r="B76" s="53" t="s">
        <v>29</v>
      </c>
      <c r="C76" s="50" t="s">
        <v>133</v>
      </c>
      <c r="D76" s="165">
        <v>1</v>
      </c>
      <c r="E76" s="158">
        <v>1</v>
      </c>
      <c r="F76" s="52">
        <f>SUM(H76:DY76)*E76*Table1[[#This Row],[Cycles]]</f>
        <v>0</v>
      </c>
      <c r="G76" s="46">
        <f t="shared" si="32"/>
        <v>0</v>
      </c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219"/>
      <c r="EA76" s="231"/>
      <c r="EB76" s="231"/>
      <c r="EC76" s="231"/>
      <c r="ED76" s="231"/>
      <c r="EE76" s="231"/>
      <c r="EF76" s="231"/>
      <c r="EG76" s="231"/>
      <c r="EH76" s="231"/>
      <c r="EI76" s="231"/>
      <c r="EJ76" s="231"/>
      <c r="EK76" s="231"/>
      <c r="EL76" s="231"/>
      <c r="EM76" s="231"/>
      <c r="EN76" s="231"/>
      <c r="EO76" s="231"/>
      <c r="EP76" s="231"/>
      <c r="EQ76" s="231"/>
    </row>
    <row r="77" spans="1:147" ht="22.9" customHeight="1" outlineLevel="2" x14ac:dyDescent="0.2">
      <c r="A77" s="146" t="s">
        <v>558</v>
      </c>
      <c r="B77" s="53" t="s">
        <v>108</v>
      </c>
      <c r="C77" s="50" t="s">
        <v>133</v>
      </c>
      <c r="D77" s="165">
        <v>1</v>
      </c>
      <c r="E77" s="158">
        <v>1</v>
      </c>
      <c r="F77" s="52">
        <f>SUM(H77:DY77)*E77*Table1[[#This Row],[Cycles]]</f>
        <v>0</v>
      </c>
      <c r="G77" s="46">
        <f t="shared" si="32"/>
        <v>0</v>
      </c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219"/>
      <c r="EA77" s="231"/>
      <c r="EB77" s="231"/>
      <c r="EC77" s="231"/>
      <c r="ED77" s="231"/>
      <c r="EE77" s="231"/>
      <c r="EF77" s="231"/>
      <c r="EG77" s="231"/>
      <c r="EH77" s="231"/>
      <c r="EI77" s="231"/>
      <c r="EJ77" s="231"/>
      <c r="EK77" s="231"/>
      <c r="EL77" s="231"/>
      <c r="EM77" s="231"/>
      <c r="EN77" s="231"/>
      <c r="EO77" s="231"/>
      <c r="EP77" s="231"/>
      <c r="EQ77" s="231"/>
    </row>
    <row r="78" spans="1:147" ht="22.9" customHeight="1" outlineLevel="2" x14ac:dyDescent="0.2">
      <c r="A78" s="146" t="s">
        <v>559</v>
      </c>
      <c r="B78" s="53" t="s">
        <v>114</v>
      </c>
      <c r="C78" s="50" t="s">
        <v>133</v>
      </c>
      <c r="D78" s="165">
        <v>1</v>
      </c>
      <c r="E78" s="158">
        <v>1</v>
      </c>
      <c r="F78" s="52">
        <f>SUM(H78:DY78)*E78*Table1[[#This Row],[Cycles]]</f>
        <v>0</v>
      </c>
      <c r="G78" s="46">
        <f t="shared" si="32"/>
        <v>0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219"/>
      <c r="EA78" s="231"/>
      <c r="EB78" s="231"/>
      <c r="EC78" s="231"/>
      <c r="ED78" s="231"/>
      <c r="EE78" s="231"/>
      <c r="EF78" s="231"/>
      <c r="EG78" s="231"/>
      <c r="EH78" s="231"/>
      <c r="EI78" s="231"/>
      <c r="EJ78" s="231"/>
      <c r="EK78" s="231"/>
      <c r="EL78" s="231"/>
      <c r="EM78" s="231"/>
      <c r="EN78" s="231"/>
      <c r="EO78" s="231"/>
      <c r="EP78" s="231"/>
      <c r="EQ78" s="231"/>
    </row>
    <row r="79" spans="1:147" ht="22.9" customHeight="1" outlineLevel="2" x14ac:dyDescent="0.2">
      <c r="A79" s="146" t="s">
        <v>560</v>
      </c>
      <c r="B79" s="53" t="s">
        <v>109</v>
      </c>
      <c r="C79" s="50" t="s">
        <v>133</v>
      </c>
      <c r="D79" s="165">
        <v>1</v>
      </c>
      <c r="E79" s="158">
        <v>1</v>
      </c>
      <c r="F79" s="52">
        <f>SUM(H79:DY79)*E79*Table1[[#This Row],[Cycles]]</f>
        <v>0</v>
      </c>
      <c r="G79" s="46">
        <f t="shared" si="32"/>
        <v>0</v>
      </c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  <c r="CM79" s="47"/>
      <c r="CN79" s="47"/>
      <c r="CO79" s="47"/>
      <c r="CP79" s="47"/>
      <c r="CQ79" s="47"/>
      <c r="CR79" s="47"/>
      <c r="CS79" s="47"/>
      <c r="CT79" s="47"/>
      <c r="CU79" s="47"/>
      <c r="CV79" s="47"/>
      <c r="CW79" s="47"/>
      <c r="CX79" s="47"/>
      <c r="CY79" s="47"/>
      <c r="CZ79" s="47"/>
      <c r="DA79" s="47"/>
      <c r="DB79" s="47"/>
      <c r="DC79" s="47"/>
      <c r="DD79" s="47"/>
      <c r="DE79" s="47"/>
      <c r="DF79" s="47"/>
      <c r="DG79" s="47"/>
      <c r="DH79" s="47"/>
      <c r="DI79" s="47"/>
      <c r="DJ79" s="47"/>
      <c r="DK79" s="47"/>
      <c r="DL79" s="47"/>
      <c r="DM79" s="47"/>
      <c r="DN79" s="47"/>
      <c r="DO79" s="47"/>
      <c r="DP79" s="47"/>
      <c r="DQ79" s="47"/>
      <c r="DR79" s="47"/>
      <c r="DS79" s="47"/>
      <c r="DT79" s="47"/>
      <c r="DU79" s="47"/>
      <c r="DV79" s="47"/>
      <c r="DW79" s="47"/>
      <c r="DX79" s="47"/>
      <c r="DY79" s="47"/>
      <c r="DZ79" s="219"/>
      <c r="EA79" s="231"/>
      <c r="EB79" s="231"/>
      <c r="EC79" s="231"/>
      <c r="ED79" s="231"/>
      <c r="EE79" s="231"/>
      <c r="EF79" s="231"/>
      <c r="EG79" s="231"/>
      <c r="EH79" s="231"/>
      <c r="EI79" s="231"/>
      <c r="EJ79" s="231"/>
      <c r="EK79" s="231"/>
      <c r="EL79" s="231"/>
      <c r="EM79" s="231"/>
      <c r="EN79" s="231"/>
      <c r="EO79" s="231"/>
      <c r="EP79" s="231"/>
      <c r="EQ79" s="231"/>
    </row>
    <row r="80" spans="1:147" ht="22.9" customHeight="1" outlineLevel="2" x14ac:dyDescent="0.2">
      <c r="A80" s="146" t="s">
        <v>561</v>
      </c>
      <c r="B80" s="53" t="s">
        <v>273</v>
      </c>
      <c r="C80" s="50" t="s">
        <v>133</v>
      </c>
      <c r="D80" s="165">
        <v>1</v>
      </c>
      <c r="E80" s="158">
        <v>1</v>
      </c>
      <c r="F80" s="52">
        <f>SUM(H80:DY80)*E80*Table1[[#This Row],[Cycles]]</f>
        <v>0</v>
      </c>
      <c r="G80" s="46">
        <f t="shared" si="32"/>
        <v>0</v>
      </c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7"/>
      <c r="CY80" s="47"/>
      <c r="CZ80" s="47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7"/>
      <c r="DP80" s="47"/>
      <c r="DQ80" s="47"/>
      <c r="DR80" s="47"/>
      <c r="DS80" s="47"/>
      <c r="DT80" s="47"/>
      <c r="DU80" s="47"/>
      <c r="DV80" s="47"/>
      <c r="DW80" s="47"/>
      <c r="DX80" s="47"/>
      <c r="DY80" s="47"/>
      <c r="DZ80" s="219"/>
      <c r="EA80" s="231"/>
      <c r="EB80" s="231"/>
      <c r="EC80" s="231"/>
      <c r="ED80" s="231"/>
      <c r="EE80" s="231"/>
      <c r="EF80" s="231"/>
      <c r="EG80" s="231"/>
      <c r="EH80" s="231"/>
      <c r="EI80" s="231"/>
      <c r="EJ80" s="231"/>
      <c r="EK80" s="231"/>
      <c r="EL80" s="231"/>
      <c r="EM80" s="231"/>
      <c r="EN80" s="231"/>
      <c r="EO80" s="231"/>
      <c r="EP80" s="231"/>
      <c r="EQ80" s="231"/>
    </row>
    <row r="81" spans="1:147" ht="22.9" customHeight="1" outlineLevel="2" x14ac:dyDescent="0.2">
      <c r="A81" s="146" t="s">
        <v>562</v>
      </c>
      <c r="B81" s="53" t="s">
        <v>110</v>
      </c>
      <c r="C81" s="50" t="s">
        <v>133</v>
      </c>
      <c r="D81" s="165">
        <v>1</v>
      </c>
      <c r="E81" s="158">
        <v>1</v>
      </c>
      <c r="F81" s="52">
        <f>SUM(H81:DY81)*E81*Table1[[#This Row],[Cycles]]</f>
        <v>0</v>
      </c>
      <c r="G81" s="46">
        <f t="shared" si="32"/>
        <v>0</v>
      </c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  <c r="CM81" s="47"/>
      <c r="CN81" s="47"/>
      <c r="CO81" s="47"/>
      <c r="CP81" s="47"/>
      <c r="CQ81" s="47"/>
      <c r="CR81" s="47"/>
      <c r="CS81" s="47"/>
      <c r="CT81" s="47"/>
      <c r="CU81" s="47"/>
      <c r="CV81" s="47"/>
      <c r="CW81" s="47"/>
      <c r="CX81" s="47"/>
      <c r="CY81" s="47"/>
      <c r="CZ81" s="47"/>
      <c r="DA81" s="47"/>
      <c r="DB81" s="47"/>
      <c r="DC81" s="47"/>
      <c r="DD81" s="47"/>
      <c r="DE81" s="47"/>
      <c r="DF81" s="47"/>
      <c r="DG81" s="47"/>
      <c r="DH81" s="47"/>
      <c r="DI81" s="47"/>
      <c r="DJ81" s="47"/>
      <c r="DK81" s="47"/>
      <c r="DL81" s="47"/>
      <c r="DM81" s="47"/>
      <c r="DN81" s="47"/>
      <c r="DO81" s="47"/>
      <c r="DP81" s="47"/>
      <c r="DQ81" s="47"/>
      <c r="DR81" s="47"/>
      <c r="DS81" s="47"/>
      <c r="DT81" s="47"/>
      <c r="DU81" s="47"/>
      <c r="DV81" s="47"/>
      <c r="DW81" s="47"/>
      <c r="DX81" s="47"/>
      <c r="DY81" s="47"/>
      <c r="DZ81" s="219"/>
      <c r="EA81" s="231"/>
      <c r="EB81" s="231"/>
      <c r="EC81" s="231"/>
      <c r="ED81" s="231"/>
      <c r="EE81" s="231"/>
      <c r="EF81" s="231"/>
      <c r="EG81" s="231"/>
      <c r="EH81" s="231"/>
      <c r="EI81" s="231"/>
      <c r="EJ81" s="231"/>
      <c r="EK81" s="231"/>
      <c r="EL81" s="231"/>
      <c r="EM81" s="231"/>
      <c r="EN81" s="231"/>
      <c r="EO81" s="231"/>
      <c r="EP81" s="231"/>
      <c r="EQ81" s="231"/>
    </row>
    <row r="82" spans="1:147" ht="22.9" customHeight="1" outlineLevel="2" x14ac:dyDescent="0.2">
      <c r="A82" s="146" t="s">
        <v>563</v>
      </c>
      <c r="B82" s="53" t="s">
        <v>63</v>
      </c>
      <c r="C82" s="50" t="s">
        <v>133</v>
      </c>
      <c r="D82" s="165">
        <v>1</v>
      </c>
      <c r="E82" s="158">
        <v>1</v>
      </c>
      <c r="F82" s="52">
        <f>SUM(H82:DY82)*E82*Table1[[#This Row],[Cycles]]</f>
        <v>0</v>
      </c>
      <c r="G82" s="46">
        <f t="shared" si="32"/>
        <v>0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  <c r="CM82" s="47"/>
      <c r="CN82" s="47"/>
      <c r="CO82" s="47"/>
      <c r="CP82" s="47"/>
      <c r="CQ82" s="47"/>
      <c r="CR82" s="47"/>
      <c r="CS82" s="47"/>
      <c r="CT82" s="47"/>
      <c r="CU82" s="47"/>
      <c r="CV82" s="47"/>
      <c r="CW82" s="47"/>
      <c r="CX82" s="47"/>
      <c r="CY82" s="47"/>
      <c r="CZ82" s="47"/>
      <c r="DA82" s="47"/>
      <c r="DB82" s="47"/>
      <c r="DC82" s="47"/>
      <c r="DD82" s="47"/>
      <c r="DE82" s="47"/>
      <c r="DF82" s="47"/>
      <c r="DG82" s="47"/>
      <c r="DH82" s="47"/>
      <c r="DI82" s="47"/>
      <c r="DJ82" s="47"/>
      <c r="DK82" s="47"/>
      <c r="DL82" s="47"/>
      <c r="DM82" s="47"/>
      <c r="DN82" s="47"/>
      <c r="DO82" s="47"/>
      <c r="DP82" s="47"/>
      <c r="DQ82" s="47"/>
      <c r="DR82" s="47"/>
      <c r="DS82" s="47"/>
      <c r="DT82" s="47"/>
      <c r="DU82" s="47"/>
      <c r="DV82" s="47"/>
      <c r="DW82" s="47"/>
      <c r="DX82" s="47"/>
      <c r="DY82" s="47"/>
      <c r="DZ82" s="219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</row>
    <row r="83" spans="1:147" ht="22.9" customHeight="1" outlineLevel="2" x14ac:dyDescent="0.2">
      <c r="A83" s="146" t="s">
        <v>564</v>
      </c>
      <c r="B83" s="53" t="s">
        <v>111</v>
      </c>
      <c r="C83" s="50" t="s">
        <v>133</v>
      </c>
      <c r="D83" s="165">
        <v>1</v>
      </c>
      <c r="E83" s="158">
        <v>1</v>
      </c>
      <c r="F83" s="52">
        <f>SUM(H83:DY83)*E83*Table1[[#This Row],[Cycles]]</f>
        <v>0</v>
      </c>
      <c r="G83" s="46">
        <f t="shared" si="32"/>
        <v>0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  <c r="CM83" s="47"/>
      <c r="CN83" s="47"/>
      <c r="CO83" s="47"/>
      <c r="CP83" s="47"/>
      <c r="CQ83" s="47"/>
      <c r="CR83" s="47"/>
      <c r="CS83" s="47"/>
      <c r="CT83" s="47"/>
      <c r="CU83" s="47"/>
      <c r="CV83" s="47"/>
      <c r="CW83" s="47"/>
      <c r="CX83" s="47"/>
      <c r="CY83" s="47"/>
      <c r="CZ83" s="47"/>
      <c r="DA83" s="47"/>
      <c r="DB83" s="47"/>
      <c r="DC83" s="47"/>
      <c r="DD83" s="47"/>
      <c r="DE83" s="47"/>
      <c r="DF83" s="47"/>
      <c r="DG83" s="47"/>
      <c r="DH83" s="47"/>
      <c r="DI83" s="47"/>
      <c r="DJ83" s="47"/>
      <c r="DK83" s="47"/>
      <c r="DL83" s="47"/>
      <c r="DM83" s="47"/>
      <c r="DN83" s="47"/>
      <c r="DO83" s="47"/>
      <c r="DP83" s="47"/>
      <c r="DQ83" s="47"/>
      <c r="DR83" s="47"/>
      <c r="DS83" s="47"/>
      <c r="DT83" s="47"/>
      <c r="DU83" s="47"/>
      <c r="DV83" s="47"/>
      <c r="DW83" s="47"/>
      <c r="DX83" s="47"/>
      <c r="DY83" s="47"/>
      <c r="DZ83" s="219"/>
      <c r="EA83" s="231"/>
      <c r="EB83" s="231"/>
      <c r="EC83" s="231"/>
      <c r="ED83" s="231"/>
      <c r="EE83" s="231"/>
      <c r="EF83" s="231"/>
      <c r="EG83" s="231"/>
      <c r="EH83" s="231"/>
      <c r="EI83" s="231"/>
      <c r="EJ83" s="231"/>
      <c r="EK83" s="231"/>
      <c r="EL83" s="231"/>
      <c r="EM83" s="231"/>
      <c r="EN83" s="231"/>
      <c r="EO83" s="231"/>
      <c r="EP83" s="231"/>
      <c r="EQ83" s="231"/>
    </row>
    <row r="84" spans="1:147" ht="22.9" customHeight="1" outlineLevel="2" x14ac:dyDescent="0.2">
      <c r="A84" s="146" t="s">
        <v>565</v>
      </c>
      <c r="B84" s="53" t="s">
        <v>112</v>
      </c>
      <c r="C84" s="50" t="s">
        <v>133</v>
      </c>
      <c r="D84" s="165">
        <v>1</v>
      </c>
      <c r="E84" s="158">
        <v>1</v>
      </c>
      <c r="F84" s="52">
        <f>SUM(H84:DY84)*E84*Table1[[#This Row],[Cycles]]</f>
        <v>0</v>
      </c>
      <c r="G84" s="46">
        <f t="shared" si="32"/>
        <v>0</v>
      </c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7"/>
      <c r="BB84" s="47"/>
      <c r="BC84" s="47"/>
      <c r="BD84" s="47"/>
      <c r="BE84" s="47"/>
      <c r="BF84" s="47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  <c r="BS84" s="47"/>
      <c r="BT84" s="47"/>
      <c r="BU84" s="47"/>
      <c r="BV84" s="47"/>
      <c r="BW84" s="47"/>
      <c r="BX84" s="47"/>
      <c r="BY84" s="47"/>
      <c r="BZ84" s="47"/>
      <c r="CA84" s="47"/>
      <c r="CB84" s="47"/>
      <c r="CC84" s="47"/>
      <c r="CD84" s="47"/>
      <c r="CE84" s="47"/>
      <c r="CF84" s="47"/>
      <c r="CG84" s="47"/>
      <c r="CH84" s="47"/>
      <c r="CI84" s="47"/>
      <c r="CJ84" s="47"/>
      <c r="CK84" s="47"/>
      <c r="CL84" s="47"/>
      <c r="CM84" s="47"/>
      <c r="CN84" s="47"/>
      <c r="CO84" s="47"/>
      <c r="CP84" s="47"/>
      <c r="CQ84" s="47"/>
      <c r="CR84" s="47"/>
      <c r="CS84" s="47"/>
      <c r="CT84" s="47"/>
      <c r="CU84" s="47"/>
      <c r="CV84" s="47"/>
      <c r="CW84" s="47"/>
      <c r="CX84" s="47"/>
      <c r="CY84" s="47"/>
      <c r="CZ84" s="47"/>
      <c r="DA84" s="47"/>
      <c r="DB84" s="47"/>
      <c r="DC84" s="47"/>
      <c r="DD84" s="47"/>
      <c r="DE84" s="47"/>
      <c r="DF84" s="47"/>
      <c r="DG84" s="47"/>
      <c r="DH84" s="47"/>
      <c r="DI84" s="47"/>
      <c r="DJ84" s="47"/>
      <c r="DK84" s="47"/>
      <c r="DL84" s="47"/>
      <c r="DM84" s="47"/>
      <c r="DN84" s="47"/>
      <c r="DO84" s="47"/>
      <c r="DP84" s="47"/>
      <c r="DQ84" s="47"/>
      <c r="DR84" s="47"/>
      <c r="DS84" s="47"/>
      <c r="DT84" s="47"/>
      <c r="DU84" s="47"/>
      <c r="DV84" s="47"/>
      <c r="DW84" s="47"/>
      <c r="DX84" s="47"/>
      <c r="DY84" s="47"/>
      <c r="DZ84" s="219"/>
      <c r="EA84" s="231"/>
      <c r="EB84" s="231"/>
      <c r="EC84" s="231"/>
      <c r="ED84" s="231"/>
      <c r="EE84" s="231"/>
      <c r="EF84" s="231"/>
      <c r="EG84" s="231"/>
      <c r="EH84" s="231"/>
      <c r="EI84" s="231"/>
      <c r="EJ84" s="231"/>
      <c r="EK84" s="231"/>
      <c r="EL84" s="231"/>
      <c r="EM84" s="231"/>
      <c r="EN84" s="231"/>
      <c r="EO84" s="231"/>
      <c r="EP84" s="231"/>
      <c r="EQ84" s="231"/>
    </row>
    <row r="85" spans="1:147" s="40" customFormat="1" ht="22.9" customHeight="1" outlineLevel="1" x14ac:dyDescent="0.2">
      <c r="A85" s="149" t="s">
        <v>566</v>
      </c>
      <c r="B85" s="34" t="s">
        <v>30</v>
      </c>
      <c r="C85" s="30" t="s">
        <v>100</v>
      </c>
      <c r="D85" s="164"/>
      <c r="E85" s="164"/>
      <c r="F85" s="45">
        <f>SUM(F86:F95)</f>
        <v>0</v>
      </c>
      <c r="G85" s="44">
        <f>SUM(G86:G95)</f>
        <v>0</v>
      </c>
      <c r="H85" s="45">
        <f t="shared" ref="H85:AM85" si="33">SUMPRODUCT($D$86:$D$95,$E$86:$E$95,H86:H95)</f>
        <v>0</v>
      </c>
      <c r="I85" s="45">
        <f t="shared" si="33"/>
        <v>0</v>
      </c>
      <c r="J85" s="45">
        <f t="shared" si="33"/>
        <v>0</v>
      </c>
      <c r="K85" s="45">
        <f t="shared" si="33"/>
        <v>0</v>
      </c>
      <c r="L85" s="45">
        <f t="shared" si="33"/>
        <v>0</v>
      </c>
      <c r="M85" s="45">
        <f t="shared" si="33"/>
        <v>0</v>
      </c>
      <c r="N85" s="45">
        <f t="shared" si="33"/>
        <v>0</v>
      </c>
      <c r="O85" s="45">
        <f t="shared" si="33"/>
        <v>0</v>
      </c>
      <c r="P85" s="45">
        <f t="shared" si="33"/>
        <v>0</v>
      </c>
      <c r="Q85" s="45">
        <f t="shared" si="33"/>
        <v>0</v>
      </c>
      <c r="R85" s="45">
        <f t="shared" si="33"/>
        <v>0</v>
      </c>
      <c r="S85" s="45">
        <f t="shared" si="33"/>
        <v>0</v>
      </c>
      <c r="T85" s="45">
        <f t="shared" si="33"/>
        <v>0</v>
      </c>
      <c r="U85" s="45">
        <f t="shared" si="33"/>
        <v>0</v>
      </c>
      <c r="V85" s="45">
        <f t="shared" si="33"/>
        <v>0</v>
      </c>
      <c r="W85" s="45">
        <f t="shared" si="33"/>
        <v>0</v>
      </c>
      <c r="X85" s="45">
        <f t="shared" si="33"/>
        <v>0</v>
      </c>
      <c r="Y85" s="45">
        <f t="shared" si="33"/>
        <v>0</v>
      </c>
      <c r="Z85" s="45">
        <f t="shared" si="33"/>
        <v>0</v>
      </c>
      <c r="AA85" s="45">
        <f t="shared" si="33"/>
        <v>0</v>
      </c>
      <c r="AB85" s="45">
        <f t="shared" si="33"/>
        <v>0</v>
      </c>
      <c r="AC85" s="45">
        <f t="shared" si="33"/>
        <v>0</v>
      </c>
      <c r="AD85" s="45">
        <f t="shared" si="33"/>
        <v>0</v>
      </c>
      <c r="AE85" s="45">
        <f t="shared" si="33"/>
        <v>0</v>
      </c>
      <c r="AF85" s="45">
        <f t="shared" si="33"/>
        <v>0</v>
      </c>
      <c r="AG85" s="45">
        <f t="shared" si="33"/>
        <v>0</v>
      </c>
      <c r="AH85" s="45">
        <f t="shared" si="33"/>
        <v>0</v>
      </c>
      <c r="AI85" s="45">
        <f t="shared" si="33"/>
        <v>0</v>
      </c>
      <c r="AJ85" s="45">
        <f t="shared" si="33"/>
        <v>0</v>
      </c>
      <c r="AK85" s="45">
        <f t="shared" si="33"/>
        <v>0</v>
      </c>
      <c r="AL85" s="45">
        <f t="shared" si="33"/>
        <v>0</v>
      </c>
      <c r="AM85" s="45">
        <f t="shared" si="33"/>
        <v>0</v>
      </c>
      <c r="AN85" s="45">
        <f t="shared" ref="AN85:BS85" si="34">SUMPRODUCT($D$86:$D$95,$E$86:$E$95,AN86:AN95)</f>
        <v>0</v>
      </c>
      <c r="AO85" s="45">
        <f t="shared" si="34"/>
        <v>0</v>
      </c>
      <c r="AP85" s="45">
        <f t="shared" si="34"/>
        <v>0</v>
      </c>
      <c r="AQ85" s="45">
        <f t="shared" si="34"/>
        <v>0</v>
      </c>
      <c r="AR85" s="45">
        <f t="shared" si="34"/>
        <v>0</v>
      </c>
      <c r="AS85" s="45">
        <f t="shared" si="34"/>
        <v>0</v>
      </c>
      <c r="AT85" s="45">
        <f t="shared" si="34"/>
        <v>0</v>
      </c>
      <c r="AU85" s="45">
        <f t="shared" si="34"/>
        <v>0</v>
      </c>
      <c r="AV85" s="45">
        <f t="shared" si="34"/>
        <v>0</v>
      </c>
      <c r="AW85" s="45">
        <f t="shared" si="34"/>
        <v>0</v>
      </c>
      <c r="AX85" s="45">
        <f t="shared" si="34"/>
        <v>0</v>
      </c>
      <c r="AY85" s="45">
        <f t="shared" si="34"/>
        <v>0</v>
      </c>
      <c r="AZ85" s="45">
        <f t="shared" si="34"/>
        <v>0</v>
      </c>
      <c r="BA85" s="45">
        <f t="shared" si="34"/>
        <v>0</v>
      </c>
      <c r="BB85" s="45">
        <f t="shared" si="34"/>
        <v>0</v>
      </c>
      <c r="BC85" s="45">
        <f t="shared" si="34"/>
        <v>0</v>
      </c>
      <c r="BD85" s="45">
        <f t="shared" si="34"/>
        <v>0</v>
      </c>
      <c r="BE85" s="45">
        <f t="shared" si="34"/>
        <v>0</v>
      </c>
      <c r="BF85" s="45">
        <f t="shared" si="34"/>
        <v>0</v>
      </c>
      <c r="BG85" s="45">
        <f t="shared" si="34"/>
        <v>0</v>
      </c>
      <c r="BH85" s="45">
        <f t="shared" si="34"/>
        <v>0</v>
      </c>
      <c r="BI85" s="45">
        <f t="shared" si="34"/>
        <v>0</v>
      </c>
      <c r="BJ85" s="45">
        <f t="shared" si="34"/>
        <v>0</v>
      </c>
      <c r="BK85" s="45">
        <f t="shared" si="34"/>
        <v>0</v>
      </c>
      <c r="BL85" s="45">
        <f t="shared" si="34"/>
        <v>0</v>
      </c>
      <c r="BM85" s="45">
        <f t="shared" si="34"/>
        <v>0</v>
      </c>
      <c r="BN85" s="45">
        <f t="shared" si="34"/>
        <v>0</v>
      </c>
      <c r="BO85" s="45">
        <f t="shared" si="34"/>
        <v>0</v>
      </c>
      <c r="BP85" s="45">
        <f t="shared" si="34"/>
        <v>0</v>
      </c>
      <c r="BQ85" s="45">
        <f t="shared" si="34"/>
        <v>0</v>
      </c>
      <c r="BR85" s="45">
        <f t="shared" si="34"/>
        <v>0</v>
      </c>
      <c r="BS85" s="45">
        <f t="shared" si="34"/>
        <v>0</v>
      </c>
      <c r="BT85" s="45">
        <f>SUMPRODUCT($D$86:$D$95,$E$86:$E$95,BT86:BT95)</f>
        <v>0</v>
      </c>
      <c r="BU85" s="45">
        <f t="shared" ref="BU85:CY85" si="35">SUMPRODUCT($D$86:$D$95,$E$86:$E$95,BU86:BU95)</f>
        <v>0</v>
      </c>
      <c r="BV85" s="45">
        <f t="shared" si="35"/>
        <v>0</v>
      </c>
      <c r="BW85" s="45">
        <f t="shared" si="35"/>
        <v>0</v>
      </c>
      <c r="BX85" s="45">
        <f t="shared" si="35"/>
        <v>0</v>
      </c>
      <c r="BY85" s="45">
        <f t="shared" si="35"/>
        <v>0</v>
      </c>
      <c r="BZ85" s="45">
        <f t="shared" si="35"/>
        <v>0</v>
      </c>
      <c r="CA85" s="45">
        <f t="shared" si="35"/>
        <v>0</v>
      </c>
      <c r="CB85" s="45">
        <f t="shared" si="35"/>
        <v>0</v>
      </c>
      <c r="CC85" s="45">
        <f t="shared" si="35"/>
        <v>0</v>
      </c>
      <c r="CD85" s="45">
        <f t="shared" si="35"/>
        <v>0</v>
      </c>
      <c r="CE85" s="45">
        <f t="shared" si="35"/>
        <v>0</v>
      </c>
      <c r="CF85" s="45">
        <f t="shared" si="35"/>
        <v>0</v>
      </c>
      <c r="CG85" s="45">
        <f t="shared" si="35"/>
        <v>0</v>
      </c>
      <c r="CH85" s="45">
        <f t="shared" si="35"/>
        <v>0</v>
      </c>
      <c r="CI85" s="45">
        <f t="shared" si="35"/>
        <v>0</v>
      </c>
      <c r="CJ85" s="45">
        <f t="shared" si="35"/>
        <v>0</v>
      </c>
      <c r="CK85" s="45">
        <f t="shared" si="35"/>
        <v>0</v>
      </c>
      <c r="CL85" s="45">
        <f t="shared" si="35"/>
        <v>0</v>
      </c>
      <c r="CM85" s="45">
        <f t="shared" si="35"/>
        <v>0</v>
      </c>
      <c r="CN85" s="45">
        <f t="shared" si="35"/>
        <v>0</v>
      </c>
      <c r="CO85" s="45">
        <f t="shared" si="35"/>
        <v>0</v>
      </c>
      <c r="CP85" s="45">
        <f t="shared" si="35"/>
        <v>0</v>
      </c>
      <c r="CQ85" s="45">
        <f t="shared" si="35"/>
        <v>0</v>
      </c>
      <c r="CR85" s="45">
        <f t="shared" si="35"/>
        <v>0</v>
      </c>
      <c r="CS85" s="45">
        <f t="shared" si="35"/>
        <v>0</v>
      </c>
      <c r="CT85" s="45">
        <f t="shared" si="35"/>
        <v>0</v>
      </c>
      <c r="CU85" s="45">
        <f t="shared" si="35"/>
        <v>0</v>
      </c>
      <c r="CV85" s="45">
        <f t="shared" si="35"/>
        <v>0</v>
      </c>
      <c r="CW85" s="45">
        <f t="shared" si="35"/>
        <v>0</v>
      </c>
      <c r="CX85" s="45">
        <f t="shared" si="35"/>
        <v>0</v>
      </c>
      <c r="CY85" s="45">
        <f t="shared" si="35"/>
        <v>0</v>
      </c>
      <c r="CZ85" s="45">
        <f t="shared" ref="CZ85:DY85" si="36">SUMPRODUCT($D$86:$D$95,$E$86:$E$95,CZ86:CZ95)</f>
        <v>0</v>
      </c>
      <c r="DA85" s="45">
        <f t="shared" si="36"/>
        <v>0</v>
      </c>
      <c r="DB85" s="45">
        <f t="shared" si="36"/>
        <v>0</v>
      </c>
      <c r="DC85" s="45">
        <f t="shared" si="36"/>
        <v>0</v>
      </c>
      <c r="DD85" s="45">
        <f t="shared" si="36"/>
        <v>0</v>
      </c>
      <c r="DE85" s="45">
        <f t="shared" si="36"/>
        <v>0</v>
      </c>
      <c r="DF85" s="45">
        <f t="shared" si="36"/>
        <v>0</v>
      </c>
      <c r="DG85" s="45">
        <f t="shared" si="36"/>
        <v>0</v>
      </c>
      <c r="DH85" s="45">
        <f t="shared" si="36"/>
        <v>0</v>
      </c>
      <c r="DI85" s="45">
        <f t="shared" si="36"/>
        <v>0</v>
      </c>
      <c r="DJ85" s="45">
        <f t="shared" si="36"/>
        <v>0</v>
      </c>
      <c r="DK85" s="45">
        <f t="shared" si="36"/>
        <v>0</v>
      </c>
      <c r="DL85" s="45">
        <f t="shared" si="36"/>
        <v>0</v>
      </c>
      <c r="DM85" s="45">
        <f t="shared" si="36"/>
        <v>0</v>
      </c>
      <c r="DN85" s="45">
        <f t="shared" si="36"/>
        <v>0</v>
      </c>
      <c r="DO85" s="45">
        <f t="shared" si="36"/>
        <v>0</v>
      </c>
      <c r="DP85" s="45">
        <f t="shared" si="36"/>
        <v>0</v>
      </c>
      <c r="DQ85" s="45">
        <f t="shared" si="36"/>
        <v>0</v>
      </c>
      <c r="DR85" s="45">
        <f t="shared" si="36"/>
        <v>0</v>
      </c>
      <c r="DS85" s="45">
        <f t="shared" si="36"/>
        <v>0</v>
      </c>
      <c r="DT85" s="45">
        <f t="shared" si="36"/>
        <v>0</v>
      </c>
      <c r="DU85" s="45">
        <f t="shared" si="36"/>
        <v>0</v>
      </c>
      <c r="DV85" s="45">
        <f t="shared" si="36"/>
        <v>0</v>
      </c>
      <c r="DW85" s="45">
        <f t="shared" si="36"/>
        <v>0</v>
      </c>
      <c r="DX85" s="45">
        <f t="shared" si="36"/>
        <v>0</v>
      </c>
      <c r="DY85" s="45">
        <f t="shared" si="36"/>
        <v>0</v>
      </c>
      <c r="DZ85" s="218"/>
      <c r="EA85" s="231"/>
      <c r="EB85" s="231"/>
      <c r="EC85" s="231"/>
      <c r="ED85" s="231"/>
      <c r="EE85" s="231"/>
      <c r="EF85" s="231"/>
      <c r="EG85" s="231"/>
      <c r="EH85" s="231"/>
      <c r="EI85" s="231"/>
      <c r="EJ85" s="231"/>
      <c r="EK85" s="231"/>
      <c r="EL85" s="231"/>
      <c r="EM85" s="231"/>
      <c r="EN85" s="231"/>
      <c r="EO85" s="231"/>
      <c r="EP85" s="231"/>
      <c r="EQ85" s="231"/>
    </row>
    <row r="86" spans="1:147" ht="22.9" customHeight="1" outlineLevel="2" x14ac:dyDescent="0.2">
      <c r="A86" s="146" t="s">
        <v>567</v>
      </c>
      <c r="B86" s="53" t="s">
        <v>414</v>
      </c>
      <c r="C86" s="50" t="s">
        <v>133</v>
      </c>
      <c r="D86" s="165">
        <v>1</v>
      </c>
      <c r="E86" s="158">
        <v>1</v>
      </c>
      <c r="F86" s="52">
        <f>SUM(H86:DY86)*E86*Table1[[#This Row],[Cycles]]</f>
        <v>0</v>
      </c>
      <c r="G86" s="46">
        <f>SUMPRODUCT($H$2:$DY$2,$H86:$DY86)*E86*D86</f>
        <v>0</v>
      </c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  <c r="BA86" s="47"/>
      <c r="BB86" s="47"/>
      <c r="BC86" s="47"/>
      <c r="BD86" s="47"/>
      <c r="BE86" s="47"/>
      <c r="BF86" s="47"/>
      <c r="BG86" s="47"/>
      <c r="BH86" s="47"/>
      <c r="BI86" s="47"/>
      <c r="BJ86" s="47"/>
      <c r="BK86" s="47"/>
      <c r="BL86" s="47"/>
      <c r="BM86" s="47"/>
      <c r="BN86" s="47"/>
      <c r="BO86" s="47"/>
      <c r="BP86" s="47"/>
      <c r="BQ86" s="47"/>
      <c r="BR86" s="47"/>
      <c r="BS86" s="47"/>
      <c r="BT86" s="47"/>
      <c r="BU86" s="47"/>
      <c r="BV86" s="47"/>
      <c r="BW86" s="47"/>
      <c r="BX86" s="47"/>
      <c r="BY86" s="47"/>
      <c r="BZ86" s="47"/>
      <c r="CA86" s="47"/>
      <c r="CB86" s="47"/>
      <c r="CC86" s="47"/>
      <c r="CD86" s="47"/>
      <c r="CE86" s="47"/>
      <c r="CF86" s="47"/>
      <c r="CG86" s="47"/>
      <c r="CH86" s="47"/>
      <c r="CI86" s="47"/>
      <c r="CJ86" s="47"/>
      <c r="CK86" s="47"/>
      <c r="CL86" s="47"/>
      <c r="CM86" s="47"/>
      <c r="CN86" s="47"/>
      <c r="CO86" s="47"/>
      <c r="CP86" s="47"/>
      <c r="CQ86" s="47"/>
      <c r="CR86" s="47"/>
      <c r="CS86" s="47"/>
      <c r="CT86" s="47"/>
      <c r="CU86" s="47"/>
      <c r="CV86" s="47"/>
      <c r="CW86" s="47"/>
      <c r="CX86" s="47"/>
      <c r="CY86" s="47"/>
      <c r="CZ86" s="47"/>
      <c r="DA86" s="47"/>
      <c r="DB86" s="47"/>
      <c r="DC86" s="47"/>
      <c r="DD86" s="47"/>
      <c r="DE86" s="47"/>
      <c r="DF86" s="47"/>
      <c r="DG86" s="47"/>
      <c r="DH86" s="47"/>
      <c r="DI86" s="47"/>
      <c r="DJ86" s="47"/>
      <c r="DK86" s="47"/>
      <c r="DL86" s="47"/>
      <c r="DM86" s="47"/>
      <c r="DN86" s="47"/>
      <c r="DO86" s="47"/>
      <c r="DP86" s="47"/>
      <c r="DQ86" s="47"/>
      <c r="DR86" s="47"/>
      <c r="DS86" s="47"/>
      <c r="DT86" s="47"/>
      <c r="DU86" s="47"/>
      <c r="DV86" s="47"/>
      <c r="DW86" s="47"/>
      <c r="DX86" s="47"/>
      <c r="DY86" s="47"/>
      <c r="DZ86" s="219"/>
      <c r="EA86" s="231"/>
      <c r="EB86" s="231"/>
      <c r="EC86" s="231"/>
      <c r="ED86" s="231"/>
      <c r="EE86" s="231"/>
      <c r="EF86" s="231"/>
      <c r="EG86" s="231"/>
      <c r="EH86" s="231"/>
      <c r="EI86" s="231"/>
      <c r="EJ86" s="231"/>
      <c r="EK86" s="231"/>
      <c r="EL86" s="231"/>
      <c r="EM86" s="231"/>
      <c r="EN86" s="231"/>
      <c r="EO86" s="231"/>
      <c r="EP86" s="231"/>
      <c r="EQ86" s="231"/>
    </row>
    <row r="87" spans="1:147" ht="22.9" customHeight="1" outlineLevel="2" x14ac:dyDescent="0.2">
      <c r="A87" s="146" t="s">
        <v>568</v>
      </c>
      <c r="B87" s="53" t="s">
        <v>31</v>
      </c>
      <c r="C87" s="50" t="s">
        <v>133</v>
      </c>
      <c r="D87" s="165">
        <v>1</v>
      </c>
      <c r="E87" s="158">
        <v>1</v>
      </c>
      <c r="F87" s="52">
        <f>SUM(H87:DY87)*E87*Table1[[#This Row],[Cycles]]</f>
        <v>0</v>
      </c>
      <c r="G87" s="46">
        <f t="shared" ref="G87:G95" si="37">SUMPRODUCT($H$2:$DY$2,$H87:$DY87)*E87*D87</f>
        <v>0</v>
      </c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  <c r="BF87" s="47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CD87" s="47"/>
      <c r="CE87" s="47"/>
      <c r="CF87" s="47"/>
      <c r="CG87" s="47"/>
      <c r="CH87" s="47"/>
      <c r="CI87" s="47"/>
      <c r="CJ87" s="47"/>
      <c r="CK87" s="47"/>
      <c r="CL87" s="47"/>
      <c r="CM87" s="47"/>
      <c r="CN87" s="47"/>
      <c r="CO87" s="47"/>
      <c r="CP87" s="47"/>
      <c r="CQ87" s="47"/>
      <c r="CR87" s="47"/>
      <c r="CS87" s="47"/>
      <c r="CT87" s="47"/>
      <c r="CU87" s="47"/>
      <c r="CV87" s="47"/>
      <c r="CW87" s="47"/>
      <c r="CX87" s="47"/>
      <c r="CY87" s="47"/>
      <c r="CZ87" s="47"/>
      <c r="DA87" s="47"/>
      <c r="DB87" s="47"/>
      <c r="DC87" s="47"/>
      <c r="DD87" s="47"/>
      <c r="DE87" s="47"/>
      <c r="DF87" s="47"/>
      <c r="DG87" s="47"/>
      <c r="DH87" s="47"/>
      <c r="DI87" s="47"/>
      <c r="DJ87" s="47"/>
      <c r="DK87" s="47"/>
      <c r="DL87" s="47"/>
      <c r="DM87" s="47"/>
      <c r="DN87" s="47"/>
      <c r="DO87" s="47"/>
      <c r="DP87" s="47"/>
      <c r="DQ87" s="47"/>
      <c r="DR87" s="47"/>
      <c r="DS87" s="47"/>
      <c r="DT87" s="47"/>
      <c r="DU87" s="47"/>
      <c r="DV87" s="47"/>
      <c r="DW87" s="47"/>
      <c r="DX87" s="47"/>
      <c r="DY87" s="47"/>
      <c r="DZ87" s="219"/>
      <c r="EA87" s="231"/>
      <c r="EB87" s="231"/>
      <c r="EC87" s="231"/>
      <c r="ED87" s="231"/>
      <c r="EE87" s="231"/>
      <c r="EF87" s="231"/>
      <c r="EG87" s="231"/>
      <c r="EH87" s="231"/>
      <c r="EI87" s="231"/>
      <c r="EJ87" s="231"/>
      <c r="EK87" s="231"/>
      <c r="EL87" s="231"/>
      <c r="EM87" s="231"/>
      <c r="EN87" s="231"/>
      <c r="EO87" s="231"/>
      <c r="EP87" s="231"/>
      <c r="EQ87" s="231"/>
    </row>
    <row r="88" spans="1:147" ht="22.9" customHeight="1" outlineLevel="2" x14ac:dyDescent="0.2">
      <c r="A88" s="146" t="s">
        <v>569</v>
      </c>
      <c r="B88" s="53" t="s">
        <v>32</v>
      </c>
      <c r="C88" s="50" t="s">
        <v>133</v>
      </c>
      <c r="D88" s="165">
        <v>1</v>
      </c>
      <c r="E88" s="158">
        <v>1</v>
      </c>
      <c r="F88" s="52">
        <f>SUM(H88:DY88)*E88*Table1[[#This Row],[Cycles]]</f>
        <v>0</v>
      </c>
      <c r="G88" s="46">
        <f t="shared" si="37"/>
        <v>0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  <c r="BF88" s="47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  <c r="BS88" s="47"/>
      <c r="BT88" s="47"/>
      <c r="BU88" s="47"/>
      <c r="BV88" s="47"/>
      <c r="BW88" s="47"/>
      <c r="BX88" s="47"/>
      <c r="BY88" s="47"/>
      <c r="BZ88" s="47"/>
      <c r="CA88" s="47"/>
      <c r="CB88" s="47"/>
      <c r="CC88" s="47"/>
      <c r="CD88" s="47"/>
      <c r="CE88" s="47"/>
      <c r="CF88" s="47"/>
      <c r="CG88" s="47"/>
      <c r="CH88" s="47"/>
      <c r="CI88" s="47"/>
      <c r="CJ88" s="47"/>
      <c r="CK88" s="47"/>
      <c r="CL88" s="47"/>
      <c r="CM88" s="47"/>
      <c r="CN88" s="47"/>
      <c r="CO88" s="47"/>
      <c r="CP88" s="47"/>
      <c r="CQ88" s="47"/>
      <c r="CR88" s="47"/>
      <c r="CS88" s="47"/>
      <c r="CT88" s="47"/>
      <c r="CU88" s="47"/>
      <c r="CV88" s="47"/>
      <c r="CW88" s="47"/>
      <c r="CX88" s="47"/>
      <c r="CY88" s="47"/>
      <c r="CZ88" s="47"/>
      <c r="DA88" s="47"/>
      <c r="DB88" s="47"/>
      <c r="DC88" s="47"/>
      <c r="DD88" s="47"/>
      <c r="DE88" s="47"/>
      <c r="DF88" s="47"/>
      <c r="DG88" s="47"/>
      <c r="DH88" s="47"/>
      <c r="DI88" s="47"/>
      <c r="DJ88" s="47"/>
      <c r="DK88" s="47"/>
      <c r="DL88" s="47"/>
      <c r="DM88" s="47"/>
      <c r="DN88" s="47"/>
      <c r="DO88" s="47"/>
      <c r="DP88" s="47"/>
      <c r="DQ88" s="47"/>
      <c r="DR88" s="47"/>
      <c r="DS88" s="47"/>
      <c r="DT88" s="47"/>
      <c r="DU88" s="47"/>
      <c r="DV88" s="47"/>
      <c r="DW88" s="47"/>
      <c r="DX88" s="47"/>
      <c r="DY88" s="47"/>
      <c r="DZ88" s="219"/>
      <c r="EA88" s="231"/>
      <c r="EB88" s="231"/>
      <c r="EC88" s="231"/>
      <c r="ED88" s="231"/>
      <c r="EE88" s="231"/>
      <c r="EF88" s="231"/>
      <c r="EG88" s="231"/>
      <c r="EH88" s="231"/>
      <c r="EI88" s="231"/>
      <c r="EJ88" s="231"/>
      <c r="EK88" s="231"/>
      <c r="EL88" s="231"/>
      <c r="EM88" s="231"/>
      <c r="EN88" s="231"/>
      <c r="EO88" s="231"/>
      <c r="EP88" s="231"/>
      <c r="EQ88" s="231"/>
    </row>
    <row r="89" spans="1:147" ht="22.9" customHeight="1" outlineLevel="2" x14ac:dyDescent="0.2">
      <c r="A89" s="146" t="s">
        <v>570</v>
      </c>
      <c r="B89" s="53" t="s">
        <v>33</v>
      </c>
      <c r="C89" s="50" t="s">
        <v>133</v>
      </c>
      <c r="D89" s="165">
        <v>1</v>
      </c>
      <c r="E89" s="158">
        <v>1</v>
      </c>
      <c r="F89" s="52">
        <f>SUM(H89:DY89)*E89*Table1[[#This Row],[Cycles]]</f>
        <v>0</v>
      </c>
      <c r="G89" s="46">
        <f t="shared" si="37"/>
        <v>0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  <c r="BA89" s="47"/>
      <c r="BB89" s="47"/>
      <c r="BC89" s="47"/>
      <c r="BD89" s="47"/>
      <c r="BE89" s="47"/>
      <c r="BF89" s="47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  <c r="BS89" s="47"/>
      <c r="BT89" s="47"/>
      <c r="BU89" s="47"/>
      <c r="BV89" s="47"/>
      <c r="BW89" s="47"/>
      <c r="BX89" s="47"/>
      <c r="BY89" s="47"/>
      <c r="BZ89" s="47"/>
      <c r="CA89" s="47"/>
      <c r="CB89" s="47"/>
      <c r="CC89" s="47"/>
      <c r="CD89" s="47"/>
      <c r="CE89" s="47"/>
      <c r="CF89" s="47"/>
      <c r="CG89" s="47"/>
      <c r="CH89" s="47"/>
      <c r="CI89" s="47"/>
      <c r="CJ89" s="47"/>
      <c r="CK89" s="47"/>
      <c r="CL89" s="47"/>
      <c r="CM89" s="47"/>
      <c r="CN89" s="47"/>
      <c r="CO89" s="47"/>
      <c r="CP89" s="47"/>
      <c r="CQ89" s="47"/>
      <c r="CR89" s="47"/>
      <c r="CS89" s="47"/>
      <c r="CT89" s="47"/>
      <c r="CU89" s="47"/>
      <c r="CV89" s="47"/>
      <c r="CW89" s="47"/>
      <c r="CX89" s="47"/>
      <c r="CY89" s="47"/>
      <c r="CZ89" s="47"/>
      <c r="DA89" s="47"/>
      <c r="DB89" s="47"/>
      <c r="DC89" s="47"/>
      <c r="DD89" s="47"/>
      <c r="DE89" s="47"/>
      <c r="DF89" s="47"/>
      <c r="DG89" s="47"/>
      <c r="DH89" s="47"/>
      <c r="DI89" s="47"/>
      <c r="DJ89" s="47"/>
      <c r="DK89" s="47"/>
      <c r="DL89" s="47"/>
      <c r="DM89" s="47"/>
      <c r="DN89" s="47"/>
      <c r="DO89" s="47"/>
      <c r="DP89" s="47"/>
      <c r="DQ89" s="47"/>
      <c r="DR89" s="47"/>
      <c r="DS89" s="47"/>
      <c r="DT89" s="47"/>
      <c r="DU89" s="47"/>
      <c r="DV89" s="47"/>
      <c r="DW89" s="47"/>
      <c r="DX89" s="47"/>
      <c r="DY89" s="47"/>
      <c r="DZ89" s="219"/>
      <c r="EA89" s="231"/>
      <c r="EB89" s="231"/>
      <c r="EC89" s="231"/>
      <c r="ED89" s="231"/>
      <c r="EE89" s="231"/>
      <c r="EF89" s="231"/>
      <c r="EG89" s="231"/>
      <c r="EH89" s="231"/>
      <c r="EI89" s="231"/>
      <c r="EJ89" s="231"/>
      <c r="EK89" s="231"/>
      <c r="EL89" s="231"/>
      <c r="EM89" s="231"/>
      <c r="EN89" s="231"/>
      <c r="EO89" s="231"/>
      <c r="EP89" s="231"/>
      <c r="EQ89" s="231"/>
    </row>
    <row r="90" spans="1:147" ht="22.9" customHeight="1" outlineLevel="2" x14ac:dyDescent="0.2">
      <c r="A90" s="146" t="s">
        <v>571</v>
      </c>
      <c r="B90" s="53" t="s">
        <v>34</v>
      </c>
      <c r="C90" s="50" t="s">
        <v>133</v>
      </c>
      <c r="D90" s="165">
        <v>1</v>
      </c>
      <c r="E90" s="158">
        <v>1</v>
      </c>
      <c r="F90" s="52">
        <f>SUM(H90:DY90)*E90*Table1[[#This Row],[Cycles]]</f>
        <v>0</v>
      </c>
      <c r="G90" s="46">
        <f t="shared" si="37"/>
        <v>0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  <c r="BD90" s="47"/>
      <c r="BE90" s="47"/>
      <c r="BF90" s="47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  <c r="BS90" s="47"/>
      <c r="BT90" s="47"/>
      <c r="BU90" s="47"/>
      <c r="BV90" s="47"/>
      <c r="BW90" s="47"/>
      <c r="BX90" s="47"/>
      <c r="BY90" s="47"/>
      <c r="BZ90" s="47"/>
      <c r="CA90" s="47"/>
      <c r="CB90" s="47"/>
      <c r="CC90" s="47"/>
      <c r="CD90" s="47"/>
      <c r="CE90" s="47"/>
      <c r="CF90" s="47"/>
      <c r="CG90" s="47"/>
      <c r="CH90" s="47"/>
      <c r="CI90" s="47"/>
      <c r="CJ90" s="47"/>
      <c r="CK90" s="47"/>
      <c r="CL90" s="47"/>
      <c r="CM90" s="47"/>
      <c r="CN90" s="47"/>
      <c r="CO90" s="47"/>
      <c r="CP90" s="47"/>
      <c r="CQ90" s="47"/>
      <c r="CR90" s="47"/>
      <c r="CS90" s="47"/>
      <c r="CT90" s="47"/>
      <c r="CU90" s="47"/>
      <c r="CV90" s="47"/>
      <c r="CW90" s="47"/>
      <c r="CX90" s="47"/>
      <c r="CY90" s="47"/>
      <c r="CZ90" s="47"/>
      <c r="DA90" s="47"/>
      <c r="DB90" s="47"/>
      <c r="DC90" s="47"/>
      <c r="DD90" s="47"/>
      <c r="DE90" s="47"/>
      <c r="DF90" s="47"/>
      <c r="DG90" s="47"/>
      <c r="DH90" s="47"/>
      <c r="DI90" s="47"/>
      <c r="DJ90" s="47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219"/>
      <c r="EA90" s="231"/>
      <c r="EB90" s="231"/>
      <c r="EC90" s="231"/>
      <c r="ED90" s="231"/>
      <c r="EE90" s="231"/>
      <c r="EF90" s="231"/>
      <c r="EG90" s="231"/>
      <c r="EH90" s="231"/>
      <c r="EI90" s="231"/>
      <c r="EJ90" s="231"/>
      <c r="EK90" s="231"/>
      <c r="EL90" s="231"/>
      <c r="EM90" s="231"/>
      <c r="EN90" s="231"/>
      <c r="EO90" s="231"/>
      <c r="EP90" s="231"/>
      <c r="EQ90" s="231"/>
    </row>
    <row r="91" spans="1:147" ht="22.9" customHeight="1" outlineLevel="2" x14ac:dyDescent="0.2">
      <c r="A91" s="146" t="s">
        <v>572</v>
      </c>
      <c r="B91" s="53" t="s">
        <v>139</v>
      </c>
      <c r="C91" s="50" t="s">
        <v>133</v>
      </c>
      <c r="D91" s="165">
        <v>1</v>
      </c>
      <c r="E91" s="158">
        <v>1</v>
      </c>
      <c r="F91" s="52">
        <f>SUM(H91:DY91)*E91*Table1[[#This Row],[Cycles]]</f>
        <v>0</v>
      </c>
      <c r="G91" s="46">
        <f t="shared" si="37"/>
        <v>0</v>
      </c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  <c r="BD91" s="47"/>
      <c r="BE91" s="47"/>
      <c r="BF91" s="47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47"/>
      <c r="CF91" s="47"/>
      <c r="CG91" s="47"/>
      <c r="CH91" s="47"/>
      <c r="CI91" s="47"/>
      <c r="CJ91" s="47"/>
      <c r="CK91" s="47"/>
      <c r="CL91" s="47"/>
      <c r="CM91" s="47"/>
      <c r="CN91" s="47"/>
      <c r="CO91" s="47"/>
      <c r="CP91" s="47"/>
      <c r="CQ91" s="47"/>
      <c r="CR91" s="47"/>
      <c r="CS91" s="47"/>
      <c r="CT91" s="47"/>
      <c r="CU91" s="47"/>
      <c r="CV91" s="47"/>
      <c r="CW91" s="47"/>
      <c r="CX91" s="47"/>
      <c r="CY91" s="47"/>
      <c r="CZ91" s="47"/>
      <c r="DA91" s="47"/>
      <c r="DB91" s="47"/>
      <c r="DC91" s="47"/>
      <c r="DD91" s="47"/>
      <c r="DE91" s="47"/>
      <c r="DF91" s="47"/>
      <c r="DG91" s="47"/>
      <c r="DH91" s="47"/>
      <c r="DI91" s="47"/>
      <c r="DJ91" s="47"/>
      <c r="DK91" s="47"/>
      <c r="DL91" s="47"/>
      <c r="DM91" s="47"/>
      <c r="DN91" s="47"/>
      <c r="DO91" s="47"/>
      <c r="DP91" s="47"/>
      <c r="DQ91" s="47"/>
      <c r="DR91" s="47"/>
      <c r="DS91" s="47"/>
      <c r="DT91" s="47"/>
      <c r="DU91" s="47"/>
      <c r="DV91" s="47"/>
      <c r="DW91" s="47"/>
      <c r="DX91" s="47"/>
      <c r="DY91" s="47"/>
      <c r="DZ91" s="219"/>
      <c r="EA91" s="231"/>
      <c r="EB91" s="231"/>
      <c r="EC91" s="231"/>
      <c r="ED91" s="231"/>
      <c r="EE91" s="231"/>
      <c r="EF91" s="231"/>
      <c r="EG91" s="231"/>
      <c r="EH91" s="231"/>
      <c r="EI91" s="231"/>
      <c r="EJ91" s="231"/>
      <c r="EK91" s="231"/>
      <c r="EL91" s="231"/>
      <c r="EM91" s="231"/>
      <c r="EN91" s="231"/>
      <c r="EO91" s="231"/>
      <c r="EP91" s="231"/>
      <c r="EQ91" s="231"/>
    </row>
    <row r="92" spans="1:147" ht="22.9" customHeight="1" outlineLevel="2" x14ac:dyDescent="0.2">
      <c r="A92" s="146" t="s">
        <v>573</v>
      </c>
      <c r="B92" s="53" t="s">
        <v>35</v>
      </c>
      <c r="C92" s="50" t="s">
        <v>133</v>
      </c>
      <c r="D92" s="165">
        <v>1</v>
      </c>
      <c r="E92" s="158">
        <v>1</v>
      </c>
      <c r="F92" s="52">
        <f>SUM(H92:DY92)*E92*Table1[[#This Row],[Cycles]]</f>
        <v>0</v>
      </c>
      <c r="G92" s="46">
        <f t="shared" si="37"/>
        <v>0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  <c r="BD92" s="47"/>
      <c r="BE92" s="47"/>
      <c r="BF92" s="47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  <c r="BS92" s="47"/>
      <c r="BT92" s="47"/>
      <c r="BU92" s="47"/>
      <c r="BV92" s="47"/>
      <c r="BW92" s="47"/>
      <c r="BX92" s="47"/>
      <c r="BY92" s="47"/>
      <c r="BZ92" s="47"/>
      <c r="CA92" s="47"/>
      <c r="CB92" s="47"/>
      <c r="CC92" s="47"/>
      <c r="CD92" s="47"/>
      <c r="CE92" s="47"/>
      <c r="CF92" s="47"/>
      <c r="CG92" s="47"/>
      <c r="CH92" s="47"/>
      <c r="CI92" s="47"/>
      <c r="CJ92" s="47"/>
      <c r="CK92" s="47"/>
      <c r="CL92" s="47"/>
      <c r="CM92" s="47"/>
      <c r="CN92" s="47"/>
      <c r="CO92" s="47"/>
      <c r="CP92" s="47"/>
      <c r="CQ92" s="47"/>
      <c r="CR92" s="47"/>
      <c r="CS92" s="47"/>
      <c r="CT92" s="47"/>
      <c r="CU92" s="47"/>
      <c r="CV92" s="47"/>
      <c r="CW92" s="47"/>
      <c r="CX92" s="47"/>
      <c r="CY92" s="47"/>
      <c r="CZ92" s="47"/>
      <c r="DA92" s="47"/>
      <c r="DB92" s="47"/>
      <c r="DC92" s="47"/>
      <c r="DD92" s="47"/>
      <c r="DE92" s="47"/>
      <c r="DF92" s="47"/>
      <c r="DG92" s="47"/>
      <c r="DH92" s="47"/>
      <c r="DI92" s="47"/>
      <c r="DJ92" s="47"/>
      <c r="DK92" s="47"/>
      <c r="DL92" s="47"/>
      <c r="DM92" s="47"/>
      <c r="DN92" s="47"/>
      <c r="DO92" s="47"/>
      <c r="DP92" s="47"/>
      <c r="DQ92" s="47"/>
      <c r="DR92" s="47"/>
      <c r="DS92" s="47"/>
      <c r="DT92" s="47"/>
      <c r="DU92" s="47"/>
      <c r="DV92" s="47"/>
      <c r="DW92" s="47"/>
      <c r="DX92" s="47"/>
      <c r="DY92" s="47"/>
      <c r="DZ92" s="219"/>
      <c r="EA92" s="231"/>
      <c r="EB92" s="231"/>
      <c r="EC92" s="231"/>
      <c r="ED92" s="231"/>
      <c r="EE92" s="231"/>
      <c r="EF92" s="231"/>
      <c r="EG92" s="231"/>
      <c r="EH92" s="231"/>
      <c r="EI92" s="231"/>
      <c r="EJ92" s="231"/>
      <c r="EK92" s="231"/>
      <c r="EL92" s="231"/>
      <c r="EM92" s="231"/>
      <c r="EN92" s="231"/>
      <c r="EO92" s="231"/>
      <c r="EP92" s="231"/>
      <c r="EQ92" s="231"/>
    </row>
    <row r="93" spans="1:147" ht="22.9" customHeight="1" outlineLevel="2" x14ac:dyDescent="0.2">
      <c r="A93" s="146" t="s">
        <v>574</v>
      </c>
      <c r="B93" s="53" t="s">
        <v>36</v>
      </c>
      <c r="C93" s="50" t="s">
        <v>133</v>
      </c>
      <c r="D93" s="165">
        <v>1</v>
      </c>
      <c r="E93" s="158">
        <v>1</v>
      </c>
      <c r="F93" s="52">
        <f>SUM(H93:DY93)*E93*Table1[[#This Row],[Cycles]]</f>
        <v>0</v>
      </c>
      <c r="G93" s="46">
        <f t="shared" si="37"/>
        <v>0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  <c r="BD93" s="47"/>
      <c r="BE93" s="47"/>
      <c r="BF93" s="47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  <c r="BS93" s="47"/>
      <c r="BT93" s="47"/>
      <c r="BU93" s="47"/>
      <c r="BV93" s="47"/>
      <c r="BW93" s="47"/>
      <c r="BX93" s="47"/>
      <c r="BY93" s="47"/>
      <c r="BZ93" s="47"/>
      <c r="CA93" s="47"/>
      <c r="CB93" s="47"/>
      <c r="CC93" s="47"/>
      <c r="CD93" s="47"/>
      <c r="CE93" s="47"/>
      <c r="CF93" s="47"/>
      <c r="CG93" s="47"/>
      <c r="CH93" s="47"/>
      <c r="CI93" s="47"/>
      <c r="CJ93" s="47"/>
      <c r="CK93" s="47"/>
      <c r="CL93" s="47"/>
      <c r="CM93" s="47"/>
      <c r="CN93" s="47"/>
      <c r="CO93" s="47"/>
      <c r="CP93" s="47"/>
      <c r="CQ93" s="47"/>
      <c r="CR93" s="47"/>
      <c r="CS93" s="47"/>
      <c r="CT93" s="47"/>
      <c r="CU93" s="47"/>
      <c r="CV93" s="47"/>
      <c r="CW93" s="47"/>
      <c r="CX93" s="47"/>
      <c r="CY93" s="47"/>
      <c r="CZ93" s="47"/>
      <c r="DA93" s="47"/>
      <c r="DB93" s="47"/>
      <c r="DC93" s="47"/>
      <c r="DD93" s="47"/>
      <c r="DE93" s="47"/>
      <c r="DF93" s="47"/>
      <c r="DG93" s="47"/>
      <c r="DH93" s="47"/>
      <c r="DI93" s="47"/>
      <c r="DJ93" s="47"/>
      <c r="DK93" s="47"/>
      <c r="DL93" s="47"/>
      <c r="DM93" s="47"/>
      <c r="DN93" s="47"/>
      <c r="DO93" s="47"/>
      <c r="DP93" s="47"/>
      <c r="DQ93" s="47"/>
      <c r="DR93" s="47"/>
      <c r="DS93" s="47"/>
      <c r="DT93" s="47"/>
      <c r="DU93" s="47"/>
      <c r="DV93" s="47"/>
      <c r="DW93" s="47"/>
      <c r="DX93" s="47"/>
      <c r="DY93" s="47"/>
      <c r="DZ93" s="219"/>
      <c r="EA93" s="231"/>
      <c r="EB93" s="231"/>
      <c r="EC93" s="231"/>
      <c r="ED93" s="231"/>
      <c r="EE93" s="231"/>
      <c r="EF93" s="231"/>
      <c r="EG93" s="231"/>
      <c r="EH93" s="231"/>
      <c r="EI93" s="231"/>
      <c r="EJ93" s="231"/>
      <c r="EK93" s="231"/>
      <c r="EL93" s="231"/>
      <c r="EM93" s="231"/>
      <c r="EN93" s="231"/>
      <c r="EO93" s="231"/>
      <c r="EP93" s="231"/>
      <c r="EQ93" s="231"/>
    </row>
    <row r="94" spans="1:147" ht="22.9" customHeight="1" outlineLevel="2" x14ac:dyDescent="0.2">
      <c r="A94" s="146" t="s">
        <v>575</v>
      </c>
      <c r="B94" s="53" t="s">
        <v>286</v>
      </c>
      <c r="C94" s="50" t="s">
        <v>133</v>
      </c>
      <c r="D94" s="165">
        <v>1</v>
      </c>
      <c r="E94" s="158">
        <v>1</v>
      </c>
      <c r="F94" s="52">
        <f>SUM(H94:DY94)*E94*Table1[[#This Row],[Cycles]]</f>
        <v>0</v>
      </c>
      <c r="G94" s="46">
        <f t="shared" si="37"/>
        <v>0</v>
      </c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  <c r="BF94" s="47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  <c r="BS94" s="47"/>
      <c r="BT94" s="47"/>
      <c r="BU94" s="47"/>
      <c r="BV94" s="47"/>
      <c r="BW94" s="47"/>
      <c r="BX94" s="47"/>
      <c r="BY94" s="47"/>
      <c r="BZ94" s="47"/>
      <c r="CA94" s="47"/>
      <c r="CB94" s="47"/>
      <c r="CC94" s="47"/>
      <c r="CD94" s="47"/>
      <c r="CE94" s="47"/>
      <c r="CF94" s="47"/>
      <c r="CG94" s="47"/>
      <c r="CH94" s="47"/>
      <c r="CI94" s="47"/>
      <c r="CJ94" s="47"/>
      <c r="CK94" s="47"/>
      <c r="CL94" s="47"/>
      <c r="CM94" s="47"/>
      <c r="CN94" s="47"/>
      <c r="CO94" s="47"/>
      <c r="CP94" s="47"/>
      <c r="CQ94" s="47"/>
      <c r="CR94" s="47"/>
      <c r="CS94" s="47"/>
      <c r="CT94" s="47"/>
      <c r="CU94" s="47"/>
      <c r="CV94" s="47"/>
      <c r="CW94" s="47"/>
      <c r="CX94" s="47"/>
      <c r="CY94" s="47"/>
      <c r="CZ94" s="47"/>
      <c r="DA94" s="47"/>
      <c r="DB94" s="47"/>
      <c r="DC94" s="47"/>
      <c r="DD94" s="47"/>
      <c r="DE94" s="47"/>
      <c r="DF94" s="47"/>
      <c r="DG94" s="47"/>
      <c r="DH94" s="47"/>
      <c r="DI94" s="47"/>
      <c r="DJ94" s="47"/>
      <c r="DK94" s="47"/>
      <c r="DL94" s="47"/>
      <c r="DM94" s="47"/>
      <c r="DN94" s="47"/>
      <c r="DO94" s="47"/>
      <c r="DP94" s="47"/>
      <c r="DQ94" s="47"/>
      <c r="DR94" s="47"/>
      <c r="DS94" s="47"/>
      <c r="DT94" s="47"/>
      <c r="DU94" s="47"/>
      <c r="DV94" s="47"/>
      <c r="DW94" s="47"/>
      <c r="DX94" s="47"/>
      <c r="DY94" s="47"/>
      <c r="DZ94" s="219"/>
      <c r="EA94" s="231"/>
      <c r="EB94" s="231"/>
      <c r="EC94" s="231"/>
      <c r="ED94" s="231"/>
      <c r="EE94" s="231"/>
      <c r="EF94" s="231"/>
      <c r="EG94" s="231"/>
      <c r="EH94" s="231"/>
      <c r="EI94" s="231"/>
      <c r="EJ94" s="231"/>
      <c r="EK94" s="231"/>
      <c r="EL94" s="231"/>
      <c r="EM94" s="231"/>
      <c r="EN94" s="231"/>
      <c r="EO94" s="231"/>
      <c r="EP94" s="231"/>
      <c r="EQ94" s="231"/>
    </row>
    <row r="95" spans="1:147" ht="22.9" customHeight="1" outlineLevel="2" x14ac:dyDescent="0.2">
      <c r="A95" s="146" t="s">
        <v>576</v>
      </c>
      <c r="B95" s="53" t="s">
        <v>485</v>
      </c>
      <c r="C95" s="50" t="s">
        <v>133</v>
      </c>
      <c r="D95" s="165">
        <v>1</v>
      </c>
      <c r="E95" s="158">
        <v>2</v>
      </c>
      <c r="F95" s="52">
        <f>SUM(H95:DY95)*E95*Table1[[#This Row],[Cycles]]</f>
        <v>0</v>
      </c>
      <c r="G95" s="46">
        <f t="shared" si="37"/>
        <v>0</v>
      </c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  <c r="BF95" s="47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BX95" s="47"/>
      <c r="BY95" s="47"/>
      <c r="BZ95" s="47"/>
      <c r="CA95" s="47"/>
      <c r="CB95" s="47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7"/>
      <c r="DD95" s="47"/>
      <c r="DE95" s="47"/>
      <c r="DF95" s="47"/>
      <c r="DG95" s="47"/>
      <c r="DH95" s="47"/>
      <c r="DI95" s="47"/>
      <c r="DJ95" s="47"/>
      <c r="DK95" s="47"/>
      <c r="DL95" s="47"/>
      <c r="DM95" s="47"/>
      <c r="DN95" s="47"/>
      <c r="DO95" s="47"/>
      <c r="DP95" s="47"/>
      <c r="DQ95" s="47"/>
      <c r="DR95" s="47"/>
      <c r="DS95" s="47"/>
      <c r="DT95" s="47"/>
      <c r="DU95" s="47"/>
      <c r="DV95" s="47"/>
      <c r="DW95" s="47"/>
      <c r="DX95" s="47"/>
      <c r="DY95" s="47"/>
      <c r="DZ95" s="219"/>
      <c r="EA95" s="231"/>
      <c r="EB95" s="231"/>
      <c r="EC95" s="231"/>
      <c r="ED95" s="231"/>
      <c r="EE95" s="231"/>
      <c r="EF95" s="231"/>
      <c r="EG95" s="231"/>
      <c r="EH95" s="231"/>
      <c r="EI95" s="231"/>
      <c r="EJ95" s="231"/>
      <c r="EK95" s="231"/>
      <c r="EL95" s="231"/>
      <c r="EM95" s="231"/>
      <c r="EN95" s="231"/>
      <c r="EO95" s="231"/>
      <c r="EP95" s="231"/>
      <c r="EQ95" s="231"/>
    </row>
    <row r="96" spans="1:147" s="40" customFormat="1" ht="22.9" customHeight="1" outlineLevel="1" x14ac:dyDescent="0.2">
      <c r="A96" s="149" t="s">
        <v>577</v>
      </c>
      <c r="B96" s="34" t="s">
        <v>490</v>
      </c>
      <c r="C96" s="30" t="s">
        <v>100</v>
      </c>
      <c r="D96" s="164"/>
      <c r="E96" s="164"/>
      <c r="F96" s="45">
        <f>SUM(F97:F111)</f>
        <v>0</v>
      </c>
      <c r="G96" s="44">
        <f>SUM(G97:G111)</f>
        <v>0</v>
      </c>
      <c r="H96" s="45">
        <f>SUMPRODUCT($D$97:$D$111,$E$97:$E$111,H97:H111)</f>
        <v>0</v>
      </c>
      <c r="I96" s="45">
        <f t="shared" ref="I96:BT96" si="38">SUMPRODUCT($D$97:$D$111,$E$97:$E$111,I97:I111)</f>
        <v>0</v>
      </c>
      <c r="J96" s="45">
        <f t="shared" si="38"/>
        <v>0</v>
      </c>
      <c r="K96" s="45">
        <f t="shared" si="38"/>
        <v>0</v>
      </c>
      <c r="L96" s="45">
        <f t="shared" si="38"/>
        <v>0</v>
      </c>
      <c r="M96" s="45">
        <f t="shared" si="38"/>
        <v>0</v>
      </c>
      <c r="N96" s="45">
        <f t="shared" si="38"/>
        <v>0</v>
      </c>
      <c r="O96" s="45">
        <f t="shared" si="38"/>
        <v>0</v>
      </c>
      <c r="P96" s="45">
        <f t="shared" si="38"/>
        <v>0</v>
      </c>
      <c r="Q96" s="45">
        <f t="shared" si="38"/>
        <v>0</v>
      </c>
      <c r="R96" s="45">
        <f t="shared" si="38"/>
        <v>0</v>
      </c>
      <c r="S96" s="45">
        <f t="shared" si="38"/>
        <v>0</v>
      </c>
      <c r="T96" s="45">
        <f t="shared" si="38"/>
        <v>0</v>
      </c>
      <c r="U96" s="45">
        <f t="shared" si="38"/>
        <v>0</v>
      </c>
      <c r="V96" s="45">
        <f t="shared" si="38"/>
        <v>0</v>
      </c>
      <c r="W96" s="45">
        <f t="shared" si="38"/>
        <v>0</v>
      </c>
      <c r="X96" s="45">
        <f t="shared" si="38"/>
        <v>0</v>
      </c>
      <c r="Y96" s="45">
        <f t="shared" si="38"/>
        <v>0</v>
      </c>
      <c r="Z96" s="45">
        <f t="shared" si="38"/>
        <v>0</v>
      </c>
      <c r="AA96" s="45">
        <f t="shared" si="38"/>
        <v>0</v>
      </c>
      <c r="AB96" s="45">
        <f t="shared" si="38"/>
        <v>0</v>
      </c>
      <c r="AC96" s="45">
        <f t="shared" si="38"/>
        <v>0</v>
      </c>
      <c r="AD96" s="45">
        <f t="shared" si="38"/>
        <v>0</v>
      </c>
      <c r="AE96" s="45">
        <f t="shared" si="38"/>
        <v>0</v>
      </c>
      <c r="AF96" s="45">
        <f t="shared" si="38"/>
        <v>0</v>
      </c>
      <c r="AG96" s="45">
        <f t="shared" si="38"/>
        <v>0</v>
      </c>
      <c r="AH96" s="45">
        <f t="shared" si="38"/>
        <v>0</v>
      </c>
      <c r="AI96" s="45">
        <f t="shared" si="38"/>
        <v>0</v>
      </c>
      <c r="AJ96" s="45">
        <f t="shared" si="38"/>
        <v>0</v>
      </c>
      <c r="AK96" s="45">
        <f t="shared" si="38"/>
        <v>0</v>
      </c>
      <c r="AL96" s="45">
        <f t="shared" si="38"/>
        <v>0</v>
      </c>
      <c r="AM96" s="45">
        <f t="shared" si="38"/>
        <v>0</v>
      </c>
      <c r="AN96" s="45">
        <f t="shared" si="38"/>
        <v>0</v>
      </c>
      <c r="AO96" s="45">
        <f t="shared" si="38"/>
        <v>0</v>
      </c>
      <c r="AP96" s="45">
        <f t="shared" si="38"/>
        <v>0</v>
      </c>
      <c r="AQ96" s="45">
        <f t="shared" si="38"/>
        <v>0</v>
      </c>
      <c r="AR96" s="45">
        <f t="shared" si="38"/>
        <v>0</v>
      </c>
      <c r="AS96" s="45">
        <f t="shared" si="38"/>
        <v>0</v>
      </c>
      <c r="AT96" s="45">
        <f t="shared" si="38"/>
        <v>0</v>
      </c>
      <c r="AU96" s="45">
        <f t="shared" si="38"/>
        <v>0</v>
      </c>
      <c r="AV96" s="45">
        <f t="shared" si="38"/>
        <v>0</v>
      </c>
      <c r="AW96" s="45">
        <f t="shared" si="38"/>
        <v>0</v>
      </c>
      <c r="AX96" s="45">
        <f t="shared" si="38"/>
        <v>0</v>
      </c>
      <c r="AY96" s="45">
        <f t="shared" si="38"/>
        <v>0</v>
      </c>
      <c r="AZ96" s="45">
        <f t="shared" si="38"/>
        <v>0</v>
      </c>
      <c r="BA96" s="45">
        <f t="shared" si="38"/>
        <v>0</v>
      </c>
      <c r="BB96" s="45">
        <f t="shared" si="38"/>
        <v>0</v>
      </c>
      <c r="BC96" s="45">
        <f t="shared" si="38"/>
        <v>0</v>
      </c>
      <c r="BD96" s="45">
        <f t="shared" si="38"/>
        <v>0</v>
      </c>
      <c r="BE96" s="45">
        <f t="shared" si="38"/>
        <v>0</v>
      </c>
      <c r="BF96" s="45">
        <f t="shared" si="38"/>
        <v>0</v>
      </c>
      <c r="BG96" s="45">
        <f t="shared" si="38"/>
        <v>0</v>
      </c>
      <c r="BH96" s="45">
        <f t="shared" si="38"/>
        <v>0</v>
      </c>
      <c r="BI96" s="45">
        <f t="shared" si="38"/>
        <v>0</v>
      </c>
      <c r="BJ96" s="45">
        <f t="shared" si="38"/>
        <v>0</v>
      </c>
      <c r="BK96" s="45">
        <f t="shared" si="38"/>
        <v>0</v>
      </c>
      <c r="BL96" s="45">
        <f t="shared" si="38"/>
        <v>0</v>
      </c>
      <c r="BM96" s="45">
        <f t="shared" si="38"/>
        <v>0</v>
      </c>
      <c r="BN96" s="45">
        <f t="shared" si="38"/>
        <v>0</v>
      </c>
      <c r="BO96" s="45">
        <f t="shared" si="38"/>
        <v>0</v>
      </c>
      <c r="BP96" s="45">
        <f t="shared" si="38"/>
        <v>0</v>
      </c>
      <c r="BQ96" s="45">
        <f t="shared" si="38"/>
        <v>0</v>
      </c>
      <c r="BR96" s="45">
        <f t="shared" si="38"/>
        <v>0</v>
      </c>
      <c r="BS96" s="45">
        <f t="shared" si="38"/>
        <v>0</v>
      </c>
      <c r="BT96" s="45">
        <f t="shared" si="38"/>
        <v>0</v>
      </c>
      <c r="BU96" s="45">
        <f t="shared" ref="BU96:DY96" si="39">SUMPRODUCT($D$97:$D$111,$E$97:$E$111,BU97:BU111)</f>
        <v>0</v>
      </c>
      <c r="BV96" s="45">
        <f t="shared" si="39"/>
        <v>0</v>
      </c>
      <c r="BW96" s="45">
        <f t="shared" si="39"/>
        <v>0</v>
      </c>
      <c r="BX96" s="45">
        <f t="shared" si="39"/>
        <v>0</v>
      </c>
      <c r="BY96" s="45">
        <f t="shared" si="39"/>
        <v>0</v>
      </c>
      <c r="BZ96" s="45">
        <f t="shared" si="39"/>
        <v>0</v>
      </c>
      <c r="CA96" s="45">
        <f t="shared" si="39"/>
        <v>0</v>
      </c>
      <c r="CB96" s="45">
        <f t="shared" si="39"/>
        <v>0</v>
      </c>
      <c r="CC96" s="45">
        <f t="shared" si="39"/>
        <v>0</v>
      </c>
      <c r="CD96" s="45">
        <f t="shared" si="39"/>
        <v>0</v>
      </c>
      <c r="CE96" s="45">
        <f t="shared" si="39"/>
        <v>0</v>
      </c>
      <c r="CF96" s="45">
        <f t="shared" si="39"/>
        <v>0</v>
      </c>
      <c r="CG96" s="45">
        <f t="shared" si="39"/>
        <v>0</v>
      </c>
      <c r="CH96" s="45">
        <f t="shared" si="39"/>
        <v>0</v>
      </c>
      <c r="CI96" s="45">
        <f t="shared" si="39"/>
        <v>0</v>
      </c>
      <c r="CJ96" s="45">
        <f t="shared" si="39"/>
        <v>0</v>
      </c>
      <c r="CK96" s="45">
        <f t="shared" si="39"/>
        <v>0</v>
      </c>
      <c r="CL96" s="45">
        <f t="shared" si="39"/>
        <v>0</v>
      </c>
      <c r="CM96" s="45">
        <f t="shared" si="39"/>
        <v>0</v>
      </c>
      <c r="CN96" s="45">
        <f t="shared" si="39"/>
        <v>0</v>
      </c>
      <c r="CO96" s="45">
        <f t="shared" si="39"/>
        <v>0</v>
      </c>
      <c r="CP96" s="45">
        <f t="shared" si="39"/>
        <v>0</v>
      </c>
      <c r="CQ96" s="45">
        <f t="shared" si="39"/>
        <v>0</v>
      </c>
      <c r="CR96" s="45">
        <f t="shared" si="39"/>
        <v>0</v>
      </c>
      <c r="CS96" s="45">
        <f t="shared" si="39"/>
        <v>0</v>
      </c>
      <c r="CT96" s="45">
        <f t="shared" si="39"/>
        <v>0</v>
      </c>
      <c r="CU96" s="45">
        <f t="shared" si="39"/>
        <v>0</v>
      </c>
      <c r="CV96" s="45">
        <f t="shared" si="39"/>
        <v>0</v>
      </c>
      <c r="CW96" s="45">
        <f t="shared" si="39"/>
        <v>0</v>
      </c>
      <c r="CX96" s="45">
        <f t="shared" si="39"/>
        <v>0</v>
      </c>
      <c r="CY96" s="45">
        <f t="shared" si="39"/>
        <v>0</v>
      </c>
      <c r="CZ96" s="45">
        <f t="shared" si="39"/>
        <v>0</v>
      </c>
      <c r="DA96" s="45">
        <f t="shared" si="39"/>
        <v>0</v>
      </c>
      <c r="DB96" s="45">
        <f t="shared" si="39"/>
        <v>0</v>
      </c>
      <c r="DC96" s="45">
        <f t="shared" si="39"/>
        <v>0</v>
      </c>
      <c r="DD96" s="45">
        <f t="shared" si="39"/>
        <v>0</v>
      </c>
      <c r="DE96" s="45">
        <f t="shared" si="39"/>
        <v>0</v>
      </c>
      <c r="DF96" s="45">
        <f t="shared" si="39"/>
        <v>0</v>
      </c>
      <c r="DG96" s="45">
        <f t="shared" si="39"/>
        <v>0</v>
      </c>
      <c r="DH96" s="45">
        <f t="shared" si="39"/>
        <v>0</v>
      </c>
      <c r="DI96" s="45">
        <f t="shared" si="39"/>
        <v>0</v>
      </c>
      <c r="DJ96" s="45">
        <f t="shared" si="39"/>
        <v>0</v>
      </c>
      <c r="DK96" s="45">
        <f t="shared" si="39"/>
        <v>0</v>
      </c>
      <c r="DL96" s="45">
        <f t="shared" si="39"/>
        <v>0</v>
      </c>
      <c r="DM96" s="45">
        <f t="shared" si="39"/>
        <v>0</v>
      </c>
      <c r="DN96" s="45">
        <f t="shared" si="39"/>
        <v>0</v>
      </c>
      <c r="DO96" s="45">
        <f t="shared" si="39"/>
        <v>0</v>
      </c>
      <c r="DP96" s="45">
        <f t="shared" si="39"/>
        <v>0</v>
      </c>
      <c r="DQ96" s="45">
        <f t="shared" si="39"/>
        <v>0</v>
      </c>
      <c r="DR96" s="45">
        <f t="shared" si="39"/>
        <v>0</v>
      </c>
      <c r="DS96" s="45">
        <f t="shared" si="39"/>
        <v>0</v>
      </c>
      <c r="DT96" s="45">
        <f t="shared" si="39"/>
        <v>0</v>
      </c>
      <c r="DU96" s="45">
        <f t="shared" si="39"/>
        <v>0</v>
      </c>
      <c r="DV96" s="45">
        <f t="shared" si="39"/>
        <v>0</v>
      </c>
      <c r="DW96" s="45">
        <f t="shared" si="39"/>
        <v>0</v>
      </c>
      <c r="DX96" s="45">
        <f t="shared" si="39"/>
        <v>0</v>
      </c>
      <c r="DY96" s="45">
        <f t="shared" si="39"/>
        <v>0</v>
      </c>
      <c r="DZ96" s="218"/>
      <c r="EA96" s="231"/>
      <c r="EB96" s="231"/>
      <c r="EC96" s="231"/>
      <c r="ED96" s="231"/>
      <c r="EE96" s="231"/>
      <c r="EF96" s="231"/>
      <c r="EG96" s="231"/>
      <c r="EH96" s="231"/>
      <c r="EI96" s="231"/>
      <c r="EJ96" s="231"/>
      <c r="EK96" s="231"/>
      <c r="EL96" s="231"/>
      <c r="EM96" s="231"/>
      <c r="EN96" s="231"/>
      <c r="EO96" s="231"/>
      <c r="EP96" s="231"/>
      <c r="EQ96" s="231"/>
    </row>
    <row r="97" spans="1:147" ht="22.9" customHeight="1" outlineLevel="2" x14ac:dyDescent="0.2">
      <c r="A97" s="146" t="s">
        <v>578</v>
      </c>
      <c r="B97" s="53" t="s">
        <v>417</v>
      </c>
      <c r="C97" s="50" t="s">
        <v>133</v>
      </c>
      <c r="D97" s="165">
        <v>1</v>
      </c>
      <c r="E97" s="158">
        <v>1</v>
      </c>
      <c r="F97" s="52">
        <f>SUM(H97:DY97)*E97*Table1[[#This Row],[Cycles]]</f>
        <v>0</v>
      </c>
      <c r="G97" s="46">
        <f>SUMPRODUCT($H$2:$DY$2,$H97:$DY97)*E97*D97</f>
        <v>0</v>
      </c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  <c r="BD97" s="47"/>
      <c r="BE97" s="47"/>
      <c r="BF97" s="47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  <c r="BS97" s="47"/>
      <c r="BT97" s="47"/>
      <c r="BU97" s="47"/>
      <c r="BV97" s="47"/>
      <c r="BW97" s="47"/>
      <c r="BX97" s="47"/>
      <c r="BY97" s="47"/>
      <c r="BZ97" s="47"/>
      <c r="CA97" s="47"/>
      <c r="CB97" s="47"/>
      <c r="CC97" s="47"/>
      <c r="CD97" s="47"/>
      <c r="CE97" s="47"/>
      <c r="CF97" s="47"/>
      <c r="CG97" s="47"/>
      <c r="CH97" s="47"/>
      <c r="CI97" s="47"/>
      <c r="CJ97" s="47"/>
      <c r="CK97" s="47"/>
      <c r="CL97" s="47"/>
      <c r="CM97" s="47"/>
      <c r="CN97" s="47"/>
      <c r="CO97" s="47"/>
      <c r="CP97" s="47"/>
      <c r="CQ97" s="47"/>
      <c r="CR97" s="47"/>
      <c r="CS97" s="47"/>
      <c r="CT97" s="47"/>
      <c r="CU97" s="47"/>
      <c r="CV97" s="47"/>
      <c r="CW97" s="47"/>
      <c r="CX97" s="47"/>
      <c r="CY97" s="47"/>
      <c r="CZ97" s="47"/>
      <c r="DA97" s="47"/>
      <c r="DB97" s="47"/>
      <c r="DC97" s="47"/>
      <c r="DD97" s="47"/>
      <c r="DE97" s="47"/>
      <c r="DF97" s="47"/>
      <c r="DG97" s="47"/>
      <c r="DH97" s="47"/>
      <c r="DI97" s="47"/>
      <c r="DJ97" s="47"/>
      <c r="DK97" s="47"/>
      <c r="DL97" s="47"/>
      <c r="DM97" s="47"/>
      <c r="DN97" s="47"/>
      <c r="DO97" s="47"/>
      <c r="DP97" s="47"/>
      <c r="DQ97" s="47"/>
      <c r="DR97" s="47"/>
      <c r="DS97" s="47"/>
      <c r="DT97" s="47"/>
      <c r="DU97" s="47"/>
      <c r="DV97" s="47"/>
      <c r="DW97" s="47"/>
      <c r="DX97" s="47"/>
      <c r="DY97" s="47"/>
      <c r="DZ97" s="219"/>
      <c r="EA97" s="231"/>
      <c r="EB97" s="231"/>
      <c r="EC97" s="231"/>
      <c r="ED97" s="231"/>
      <c r="EE97" s="231"/>
      <c r="EF97" s="231"/>
      <c r="EG97" s="231"/>
      <c r="EH97" s="231"/>
      <c r="EI97" s="231"/>
      <c r="EJ97" s="231"/>
      <c r="EK97" s="231"/>
      <c r="EL97" s="231"/>
      <c r="EM97" s="231"/>
      <c r="EN97" s="231"/>
      <c r="EO97" s="231"/>
      <c r="EP97" s="231"/>
      <c r="EQ97" s="231"/>
    </row>
    <row r="98" spans="1:147" ht="22.9" customHeight="1" outlineLevel="2" x14ac:dyDescent="0.2">
      <c r="A98" s="146" t="s">
        <v>579</v>
      </c>
      <c r="B98" s="53" t="s">
        <v>417</v>
      </c>
      <c r="C98" s="50" t="s">
        <v>133</v>
      </c>
      <c r="D98" s="165">
        <v>1</v>
      </c>
      <c r="E98" s="158">
        <v>1</v>
      </c>
      <c r="F98" s="52">
        <f>SUM(H98:DY98)*E98*Table1[[#This Row],[Cycles]]</f>
        <v>0</v>
      </c>
      <c r="G98" s="46">
        <f t="shared" ref="G98:G109" si="40">SUMPRODUCT($H$2:$DY$2,$H98:$DY98)*E98*D98</f>
        <v>0</v>
      </c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  <c r="BS98" s="47"/>
      <c r="BT98" s="47"/>
      <c r="BU98" s="47"/>
      <c r="BV98" s="47"/>
      <c r="BW98" s="47"/>
      <c r="BX98" s="47"/>
      <c r="BY98" s="47"/>
      <c r="BZ98" s="47"/>
      <c r="CA98" s="47"/>
      <c r="CB98" s="47"/>
      <c r="CC98" s="47"/>
      <c r="CD98" s="47"/>
      <c r="CE98" s="47"/>
      <c r="CF98" s="47"/>
      <c r="CG98" s="47"/>
      <c r="CH98" s="47"/>
      <c r="CI98" s="47"/>
      <c r="CJ98" s="47"/>
      <c r="CK98" s="47"/>
      <c r="CL98" s="47"/>
      <c r="CM98" s="47"/>
      <c r="CN98" s="47"/>
      <c r="CO98" s="47"/>
      <c r="CP98" s="47"/>
      <c r="CQ98" s="47"/>
      <c r="CR98" s="47"/>
      <c r="CS98" s="47"/>
      <c r="CT98" s="47"/>
      <c r="CU98" s="47"/>
      <c r="CV98" s="47"/>
      <c r="CW98" s="47"/>
      <c r="CX98" s="47"/>
      <c r="CY98" s="47"/>
      <c r="CZ98" s="47"/>
      <c r="DA98" s="47"/>
      <c r="DB98" s="47"/>
      <c r="DC98" s="47"/>
      <c r="DD98" s="47"/>
      <c r="DE98" s="47"/>
      <c r="DF98" s="47"/>
      <c r="DG98" s="47"/>
      <c r="DH98" s="47"/>
      <c r="DI98" s="47"/>
      <c r="DJ98" s="47"/>
      <c r="DK98" s="47"/>
      <c r="DL98" s="47"/>
      <c r="DM98" s="47"/>
      <c r="DN98" s="47"/>
      <c r="DO98" s="47"/>
      <c r="DP98" s="47"/>
      <c r="DQ98" s="47"/>
      <c r="DR98" s="47"/>
      <c r="DS98" s="47"/>
      <c r="DT98" s="47"/>
      <c r="DU98" s="47"/>
      <c r="DV98" s="47"/>
      <c r="DW98" s="47"/>
      <c r="DX98" s="47"/>
      <c r="DY98" s="47"/>
      <c r="DZ98" s="219"/>
      <c r="EA98" s="231"/>
      <c r="EB98" s="231"/>
      <c r="EC98" s="231"/>
      <c r="ED98" s="231"/>
      <c r="EE98" s="231"/>
      <c r="EF98" s="231"/>
      <c r="EG98" s="231"/>
      <c r="EH98" s="231"/>
      <c r="EI98" s="231"/>
      <c r="EJ98" s="231"/>
      <c r="EK98" s="231"/>
      <c r="EL98" s="231"/>
      <c r="EM98" s="231"/>
      <c r="EN98" s="231"/>
      <c r="EO98" s="231"/>
      <c r="EP98" s="231"/>
      <c r="EQ98" s="231"/>
    </row>
    <row r="99" spans="1:147" ht="22.9" customHeight="1" outlineLevel="2" x14ac:dyDescent="0.2">
      <c r="A99" s="146" t="s">
        <v>580</v>
      </c>
      <c r="B99" s="53" t="s">
        <v>37</v>
      </c>
      <c r="C99" s="50" t="s">
        <v>133</v>
      </c>
      <c r="D99" s="165">
        <v>1</v>
      </c>
      <c r="E99" s="158">
        <v>1</v>
      </c>
      <c r="F99" s="52">
        <f>SUM(H99:DY99)*E99*Table1[[#This Row],[Cycles]]</f>
        <v>0</v>
      </c>
      <c r="G99" s="46">
        <f t="shared" si="40"/>
        <v>0</v>
      </c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  <c r="BF99" s="47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  <c r="BS99" s="47"/>
      <c r="BT99" s="47"/>
      <c r="BU99" s="47"/>
      <c r="BV99" s="47"/>
      <c r="BW99" s="47"/>
      <c r="BX99" s="47"/>
      <c r="BY99" s="47"/>
      <c r="BZ99" s="47"/>
      <c r="CA99" s="47"/>
      <c r="CB99" s="47"/>
      <c r="CC99" s="47"/>
      <c r="CD99" s="47"/>
      <c r="CE99" s="47"/>
      <c r="CF99" s="47"/>
      <c r="CG99" s="47"/>
      <c r="CH99" s="47"/>
      <c r="CI99" s="47"/>
      <c r="CJ99" s="47"/>
      <c r="CK99" s="47"/>
      <c r="CL99" s="47"/>
      <c r="CM99" s="47"/>
      <c r="CN99" s="47"/>
      <c r="CO99" s="47"/>
      <c r="CP99" s="47"/>
      <c r="CQ99" s="47"/>
      <c r="CR99" s="47"/>
      <c r="CS99" s="47"/>
      <c r="CT99" s="47"/>
      <c r="CU99" s="47"/>
      <c r="CV99" s="47"/>
      <c r="CW99" s="47"/>
      <c r="CX99" s="47"/>
      <c r="CY99" s="47"/>
      <c r="CZ99" s="47"/>
      <c r="DA99" s="47"/>
      <c r="DB99" s="47"/>
      <c r="DC99" s="47"/>
      <c r="DD99" s="47"/>
      <c r="DE99" s="47"/>
      <c r="DF99" s="47"/>
      <c r="DG99" s="47"/>
      <c r="DH99" s="47"/>
      <c r="DI99" s="47"/>
      <c r="DJ99" s="47"/>
      <c r="DK99" s="47"/>
      <c r="DL99" s="47"/>
      <c r="DM99" s="47"/>
      <c r="DN99" s="47"/>
      <c r="DO99" s="47"/>
      <c r="DP99" s="47"/>
      <c r="DQ99" s="47"/>
      <c r="DR99" s="47"/>
      <c r="DS99" s="47"/>
      <c r="DT99" s="47"/>
      <c r="DU99" s="47"/>
      <c r="DV99" s="47"/>
      <c r="DW99" s="47"/>
      <c r="DX99" s="47"/>
      <c r="DY99" s="47"/>
      <c r="DZ99" s="219"/>
      <c r="EA99" s="231"/>
      <c r="EB99" s="231"/>
      <c r="EC99" s="231"/>
      <c r="ED99" s="231"/>
      <c r="EE99" s="231"/>
      <c r="EF99" s="231"/>
      <c r="EG99" s="231"/>
      <c r="EH99" s="231"/>
      <c r="EI99" s="231"/>
      <c r="EJ99" s="231"/>
      <c r="EK99" s="231"/>
      <c r="EL99" s="231"/>
      <c r="EM99" s="231"/>
      <c r="EN99" s="231"/>
      <c r="EO99" s="231"/>
      <c r="EP99" s="231"/>
      <c r="EQ99" s="231"/>
    </row>
    <row r="100" spans="1:147" ht="22.9" customHeight="1" outlineLevel="2" x14ac:dyDescent="0.2">
      <c r="A100" s="146" t="s">
        <v>581</v>
      </c>
      <c r="B100" s="53" t="s">
        <v>38</v>
      </c>
      <c r="C100" s="50" t="s">
        <v>133</v>
      </c>
      <c r="D100" s="165">
        <v>1</v>
      </c>
      <c r="E100" s="158">
        <v>1</v>
      </c>
      <c r="F100" s="52">
        <f>SUM(H100:DY100)*E100*Table1[[#This Row],[Cycles]]</f>
        <v>0</v>
      </c>
      <c r="G100" s="46">
        <f t="shared" si="40"/>
        <v>0</v>
      </c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7"/>
      <c r="CH100" s="47"/>
      <c r="CI100" s="47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7"/>
      <c r="CY100" s="47"/>
      <c r="CZ100" s="47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7"/>
      <c r="DP100" s="47"/>
      <c r="DQ100" s="47"/>
      <c r="DR100" s="47"/>
      <c r="DS100" s="47"/>
      <c r="DT100" s="47"/>
      <c r="DU100" s="47"/>
      <c r="DV100" s="47"/>
      <c r="DW100" s="47"/>
      <c r="DX100" s="47"/>
      <c r="DY100" s="47"/>
      <c r="DZ100" s="219"/>
      <c r="EA100" s="231"/>
      <c r="EB100" s="231"/>
      <c r="EC100" s="231"/>
      <c r="ED100" s="231"/>
      <c r="EE100" s="231"/>
      <c r="EF100" s="231"/>
      <c r="EG100" s="231"/>
      <c r="EH100" s="231"/>
      <c r="EI100" s="231"/>
      <c r="EJ100" s="231"/>
      <c r="EK100" s="231"/>
      <c r="EL100" s="231"/>
      <c r="EM100" s="231"/>
      <c r="EN100" s="231"/>
      <c r="EO100" s="231"/>
      <c r="EP100" s="231"/>
      <c r="EQ100" s="231"/>
    </row>
    <row r="101" spans="1:147" ht="22.9" customHeight="1" outlineLevel="2" x14ac:dyDescent="0.2">
      <c r="A101" s="146" t="s">
        <v>582</v>
      </c>
      <c r="B101" s="53" t="s">
        <v>39</v>
      </c>
      <c r="C101" s="50" t="s">
        <v>133</v>
      </c>
      <c r="D101" s="165">
        <v>1</v>
      </c>
      <c r="E101" s="158">
        <v>1</v>
      </c>
      <c r="F101" s="52">
        <f>SUM(H101:DY101)*E101*Table1[[#This Row],[Cycles]]</f>
        <v>0</v>
      </c>
      <c r="G101" s="46">
        <f t="shared" si="40"/>
        <v>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  <c r="CQ101" s="47"/>
      <c r="CR101" s="47"/>
      <c r="CS101" s="47"/>
      <c r="CT101" s="47"/>
      <c r="CU101" s="47"/>
      <c r="CV101" s="47"/>
      <c r="CW101" s="47"/>
      <c r="CX101" s="47"/>
      <c r="CY101" s="47"/>
      <c r="CZ101" s="47"/>
      <c r="DA101" s="47"/>
      <c r="DB101" s="47"/>
      <c r="DC101" s="47"/>
      <c r="DD101" s="47"/>
      <c r="DE101" s="47"/>
      <c r="DF101" s="47"/>
      <c r="DG101" s="47"/>
      <c r="DH101" s="47"/>
      <c r="DI101" s="47"/>
      <c r="DJ101" s="47"/>
      <c r="DK101" s="47"/>
      <c r="DL101" s="47"/>
      <c r="DM101" s="47"/>
      <c r="DN101" s="47"/>
      <c r="DO101" s="47"/>
      <c r="DP101" s="47"/>
      <c r="DQ101" s="47"/>
      <c r="DR101" s="47"/>
      <c r="DS101" s="47"/>
      <c r="DT101" s="47"/>
      <c r="DU101" s="47"/>
      <c r="DV101" s="47"/>
      <c r="DW101" s="47"/>
      <c r="DX101" s="47"/>
      <c r="DY101" s="47"/>
      <c r="DZ101" s="219"/>
      <c r="EA101" s="231"/>
      <c r="EB101" s="231"/>
      <c r="EC101" s="231"/>
      <c r="ED101" s="231"/>
      <c r="EE101" s="231"/>
      <c r="EF101" s="231"/>
      <c r="EG101" s="231"/>
      <c r="EH101" s="231"/>
      <c r="EI101" s="231"/>
      <c r="EJ101" s="231"/>
      <c r="EK101" s="231"/>
      <c r="EL101" s="231"/>
      <c r="EM101" s="231"/>
      <c r="EN101" s="231"/>
      <c r="EO101" s="231"/>
      <c r="EP101" s="231"/>
      <c r="EQ101" s="231"/>
    </row>
    <row r="102" spans="1:147" ht="22.9" customHeight="1" outlineLevel="2" x14ac:dyDescent="0.2">
      <c r="A102" s="146" t="s">
        <v>583</v>
      </c>
      <c r="B102" s="53" t="s">
        <v>412</v>
      </c>
      <c r="C102" s="50" t="s">
        <v>133</v>
      </c>
      <c r="D102" s="165">
        <v>1</v>
      </c>
      <c r="E102" s="158">
        <v>1</v>
      </c>
      <c r="F102" s="52">
        <f>SUM(H102:DY102)*E102*Table1[[#This Row],[Cycles]]</f>
        <v>0</v>
      </c>
      <c r="G102" s="46">
        <f t="shared" si="40"/>
        <v>0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  <c r="CQ102" s="47"/>
      <c r="CR102" s="47"/>
      <c r="CS102" s="47"/>
      <c r="CT102" s="47"/>
      <c r="CU102" s="47"/>
      <c r="CV102" s="47"/>
      <c r="CW102" s="47"/>
      <c r="CX102" s="47"/>
      <c r="CY102" s="47"/>
      <c r="CZ102" s="47"/>
      <c r="DA102" s="47"/>
      <c r="DB102" s="47"/>
      <c r="DC102" s="47"/>
      <c r="DD102" s="47"/>
      <c r="DE102" s="47"/>
      <c r="DF102" s="47"/>
      <c r="DG102" s="47"/>
      <c r="DH102" s="47"/>
      <c r="DI102" s="47"/>
      <c r="DJ102" s="47"/>
      <c r="DK102" s="47"/>
      <c r="DL102" s="47"/>
      <c r="DM102" s="47"/>
      <c r="DN102" s="47"/>
      <c r="DO102" s="47"/>
      <c r="DP102" s="47"/>
      <c r="DQ102" s="47"/>
      <c r="DR102" s="47"/>
      <c r="DS102" s="47"/>
      <c r="DT102" s="47"/>
      <c r="DU102" s="47"/>
      <c r="DV102" s="47"/>
      <c r="DW102" s="47"/>
      <c r="DX102" s="47"/>
      <c r="DY102" s="47"/>
      <c r="DZ102" s="219"/>
      <c r="EA102" s="231"/>
      <c r="EB102" s="231"/>
      <c r="EC102" s="231"/>
      <c r="ED102" s="231"/>
      <c r="EE102" s="231"/>
      <c r="EF102" s="231"/>
      <c r="EG102" s="231"/>
      <c r="EH102" s="231"/>
      <c r="EI102" s="231"/>
      <c r="EJ102" s="231"/>
      <c r="EK102" s="231"/>
      <c r="EL102" s="231"/>
      <c r="EM102" s="231"/>
      <c r="EN102" s="231"/>
      <c r="EO102" s="231"/>
      <c r="EP102" s="231"/>
      <c r="EQ102" s="231"/>
    </row>
    <row r="103" spans="1:147" ht="22.9" customHeight="1" outlineLevel="2" x14ac:dyDescent="0.2">
      <c r="A103" s="146" t="s">
        <v>584</v>
      </c>
      <c r="B103" s="53" t="s">
        <v>413</v>
      </c>
      <c r="C103" s="50" t="s">
        <v>133</v>
      </c>
      <c r="D103" s="165">
        <v>1</v>
      </c>
      <c r="E103" s="158">
        <v>1</v>
      </c>
      <c r="F103" s="52">
        <f>SUM(H103:DY103)*E103*Table1[[#This Row],[Cycles]]</f>
        <v>0</v>
      </c>
      <c r="G103" s="46">
        <f t="shared" si="40"/>
        <v>0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  <c r="CQ103" s="47"/>
      <c r="CR103" s="47"/>
      <c r="CS103" s="47"/>
      <c r="CT103" s="47"/>
      <c r="CU103" s="47"/>
      <c r="CV103" s="47"/>
      <c r="CW103" s="47"/>
      <c r="CX103" s="47"/>
      <c r="CY103" s="47"/>
      <c r="CZ103" s="47"/>
      <c r="DA103" s="47"/>
      <c r="DB103" s="47"/>
      <c r="DC103" s="47"/>
      <c r="DD103" s="47"/>
      <c r="DE103" s="47"/>
      <c r="DF103" s="47"/>
      <c r="DG103" s="47"/>
      <c r="DH103" s="47"/>
      <c r="DI103" s="47"/>
      <c r="DJ103" s="47"/>
      <c r="DK103" s="47"/>
      <c r="DL103" s="47"/>
      <c r="DM103" s="47"/>
      <c r="DN103" s="47"/>
      <c r="DO103" s="47"/>
      <c r="DP103" s="47"/>
      <c r="DQ103" s="47"/>
      <c r="DR103" s="47"/>
      <c r="DS103" s="47"/>
      <c r="DT103" s="47"/>
      <c r="DU103" s="47"/>
      <c r="DV103" s="47"/>
      <c r="DW103" s="47"/>
      <c r="DX103" s="47"/>
      <c r="DY103" s="47"/>
      <c r="DZ103" s="219"/>
      <c r="EA103" s="231"/>
      <c r="EB103" s="231"/>
      <c r="EC103" s="231"/>
      <c r="ED103" s="231"/>
      <c r="EE103" s="231"/>
      <c r="EF103" s="231"/>
      <c r="EG103" s="231"/>
      <c r="EH103" s="231"/>
      <c r="EI103" s="231"/>
      <c r="EJ103" s="231"/>
      <c r="EK103" s="231"/>
      <c r="EL103" s="231"/>
      <c r="EM103" s="231"/>
      <c r="EN103" s="231"/>
      <c r="EO103" s="231"/>
      <c r="EP103" s="231"/>
      <c r="EQ103" s="231"/>
    </row>
    <row r="104" spans="1:147" ht="22.9" customHeight="1" outlineLevel="2" x14ac:dyDescent="0.2">
      <c r="A104" s="146" t="s">
        <v>585</v>
      </c>
      <c r="B104" s="53" t="s">
        <v>40</v>
      </c>
      <c r="C104" s="50" t="s">
        <v>133</v>
      </c>
      <c r="D104" s="165">
        <v>1</v>
      </c>
      <c r="E104" s="158">
        <v>1</v>
      </c>
      <c r="F104" s="52">
        <f>SUM(H104:DY104)*E104*Table1[[#This Row],[Cycles]]</f>
        <v>0</v>
      </c>
      <c r="G104" s="46">
        <f t="shared" si="40"/>
        <v>0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  <c r="CQ104" s="47"/>
      <c r="CR104" s="47"/>
      <c r="CS104" s="47"/>
      <c r="CT104" s="47"/>
      <c r="CU104" s="47"/>
      <c r="CV104" s="47"/>
      <c r="CW104" s="47"/>
      <c r="CX104" s="47"/>
      <c r="CY104" s="47"/>
      <c r="CZ104" s="47"/>
      <c r="DA104" s="47"/>
      <c r="DB104" s="47"/>
      <c r="DC104" s="47"/>
      <c r="DD104" s="47"/>
      <c r="DE104" s="47"/>
      <c r="DF104" s="47"/>
      <c r="DG104" s="47"/>
      <c r="DH104" s="47"/>
      <c r="DI104" s="47"/>
      <c r="DJ104" s="47"/>
      <c r="DK104" s="47"/>
      <c r="DL104" s="47"/>
      <c r="DM104" s="47"/>
      <c r="DN104" s="47"/>
      <c r="DO104" s="47"/>
      <c r="DP104" s="47"/>
      <c r="DQ104" s="47"/>
      <c r="DR104" s="47"/>
      <c r="DS104" s="47"/>
      <c r="DT104" s="47"/>
      <c r="DU104" s="47"/>
      <c r="DV104" s="47"/>
      <c r="DW104" s="47"/>
      <c r="DX104" s="47"/>
      <c r="DY104" s="47"/>
      <c r="DZ104" s="219"/>
      <c r="EA104" s="231"/>
      <c r="EB104" s="231"/>
      <c r="EC104" s="231"/>
      <c r="ED104" s="231"/>
      <c r="EE104" s="231"/>
      <c r="EF104" s="231"/>
      <c r="EG104" s="231"/>
      <c r="EH104" s="231"/>
      <c r="EI104" s="231"/>
      <c r="EJ104" s="231"/>
      <c r="EK104" s="231"/>
      <c r="EL104" s="231"/>
      <c r="EM104" s="231"/>
      <c r="EN104" s="231"/>
      <c r="EO104" s="231"/>
      <c r="EP104" s="231"/>
      <c r="EQ104" s="231"/>
    </row>
    <row r="105" spans="1:147" ht="22.9" customHeight="1" outlineLevel="2" x14ac:dyDescent="0.2">
      <c r="A105" s="146" t="s">
        <v>586</v>
      </c>
      <c r="B105" s="53" t="s">
        <v>41</v>
      </c>
      <c r="C105" s="50" t="s">
        <v>133</v>
      </c>
      <c r="D105" s="165">
        <v>1</v>
      </c>
      <c r="E105" s="158">
        <v>1</v>
      </c>
      <c r="F105" s="52">
        <f>SUM(H105:DY105)*E105*Table1[[#This Row],[Cycles]]</f>
        <v>0</v>
      </c>
      <c r="G105" s="46">
        <f t="shared" si="40"/>
        <v>0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  <c r="CQ105" s="47"/>
      <c r="CR105" s="47"/>
      <c r="CS105" s="47"/>
      <c r="CT105" s="47"/>
      <c r="CU105" s="47"/>
      <c r="CV105" s="47"/>
      <c r="CW105" s="47"/>
      <c r="CX105" s="47"/>
      <c r="CY105" s="47"/>
      <c r="CZ105" s="47"/>
      <c r="DA105" s="47"/>
      <c r="DB105" s="47"/>
      <c r="DC105" s="47"/>
      <c r="DD105" s="47"/>
      <c r="DE105" s="47"/>
      <c r="DF105" s="47"/>
      <c r="DG105" s="47"/>
      <c r="DH105" s="47"/>
      <c r="DI105" s="47"/>
      <c r="DJ105" s="47"/>
      <c r="DK105" s="47"/>
      <c r="DL105" s="47"/>
      <c r="DM105" s="47"/>
      <c r="DN105" s="47"/>
      <c r="DO105" s="47"/>
      <c r="DP105" s="47"/>
      <c r="DQ105" s="47"/>
      <c r="DR105" s="47"/>
      <c r="DS105" s="47"/>
      <c r="DT105" s="47"/>
      <c r="DU105" s="47"/>
      <c r="DV105" s="47"/>
      <c r="DW105" s="47"/>
      <c r="DX105" s="47"/>
      <c r="DY105" s="47"/>
      <c r="DZ105" s="219"/>
      <c r="EA105" s="231"/>
      <c r="EB105" s="231"/>
      <c r="EC105" s="231"/>
      <c r="ED105" s="231"/>
      <c r="EE105" s="231"/>
      <c r="EF105" s="231"/>
      <c r="EG105" s="231"/>
      <c r="EH105" s="231"/>
      <c r="EI105" s="231"/>
      <c r="EJ105" s="231"/>
      <c r="EK105" s="231"/>
      <c r="EL105" s="231"/>
      <c r="EM105" s="231"/>
      <c r="EN105" s="231"/>
      <c r="EO105" s="231"/>
      <c r="EP105" s="231"/>
      <c r="EQ105" s="231"/>
    </row>
    <row r="106" spans="1:147" ht="22.9" customHeight="1" outlineLevel="2" x14ac:dyDescent="0.2">
      <c r="A106" s="146" t="s">
        <v>587</v>
      </c>
      <c r="B106" s="53" t="s">
        <v>42</v>
      </c>
      <c r="C106" s="50" t="s">
        <v>133</v>
      </c>
      <c r="D106" s="165">
        <v>1</v>
      </c>
      <c r="E106" s="158">
        <v>1</v>
      </c>
      <c r="F106" s="52">
        <f>SUM(H106:DY106)*E106*Table1[[#This Row],[Cycles]]</f>
        <v>0</v>
      </c>
      <c r="G106" s="46">
        <f t="shared" si="40"/>
        <v>0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  <c r="CQ106" s="47"/>
      <c r="CR106" s="47"/>
      <c r="CS106" s="47"/>
      <c r="CT106" s="47"/>
      <c r="CU106" s="47"/>
      <c r="CV106" s="47"/>
      <c r="CW106" s="47"/>
      <c r="CX106" s="47"/>
      <c r="CY106" s="47"/>
      <c r="CZ106" s="47"/>
      <c r="DA106" s="47"/>
      <c r="DB106" s="47"/>
      <c r="DC106" s="47"/>
      <c r="DD106" s="47"/>
      <c r="DE106" s="47"/>
      <c r="DF106" s="47"/>
      <c r="DG106" s="47"/>
      <c r="DH106" s="47"/>
      <c r="DI106" s="47"/>
      <c r="DJ106" s="47"/>
      <c r="DK106" s="47"/>
      <c r="DL106" s="47"/>
      <c r="DM106" s="47"/>
      <c r="DN106" s="47"/>
      <c r="DO106" s="47"/>
      <c r="DP106" s="47"/>
      <c r="DQ106" s="47"/>
      <c r="DR106" s="47"/>
      <c r="DS106" s="47"/>
      <c r="DT106" s="47"/>
      <c r="DU106" s="47"/>
      <c r="DV106" s="47"/>
      <c r="DW106" s="47"/>
      <c r="DX106" s="47"/>
      <c r="DY106" s="47"/>
      <c r="DZ106" s="219"/>
      <c r="EA106" s="231"/>
      <c r="EB106" s="231"/>
      <c r="EC106" s="231"/>
      <c r="ED106" s="231"/>
      <c r="EE106" s="231"/>
      <c r="EF106" s="231"/>
      <c r="EG106" s="231"/>
      <c r="EH106" s="231"/>
      <c r="EI106" s="231"/>
      <c r="EJ106" s="231"/>
      <c r="EK106" s="231"/>
      <c r="EL106" s="231"/>
      <c r="EM106" s="231"/>
      <c r="EN106" s="231"/>
      <c r="EO106" s="231"/>
      <c r="EP106" s="231"/>
      <c r="EQ106" s="231"/>
    </row>
    <row r="107" spans="1:147" ht="22.9" customHeight="1" outlineLevel="2" x14ac:dyDescent="0.2">
      <c r="A107" s="146" t="s">
        <v>588</v>
      </c>
      <c r="B107" s="53" t="s">
        <v>43</v>
      </c>
      <c r="C107" s="50" t="s">
        <v>133</v>
      </c>
      <c r="D107" s="165">
        <v>1</v>
      </c>
      <c r="E107" s="158">
        <v>1</v>
      </c>
      <c r="F107" s="52">
        <f>SUM(H107:DY107)*E107*Table1[[#This Row],[Cycles]]</f>
        <v>0</v>
      </c>
      <c r="G107" s="46">
        <f t="shared" si="40"/>
        <v>0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47"/>
      <c r="BT107" s="47"/>
      <c r="BU107" s="47"/>
      <c r="BV107" s="47"/>
      <c r="BW107" s="47"/>
      <c r="BX107" s="47"/>
      <c r="BY107" s="47"/>
      <c r="BZ107" s="47"/>
      <c r="CA107" s="47"/>
      <c r="CB107" s="47"/>
      <c r="CC107" s="47"/>
      <c r="CD107" s="47"/>
      <c r="CE107" s="47"/>
      <c r="CF107" s="47"/>
      <c r="CG107" s="47"/>
      <c r="CH107" s="47"/>
      <c r="CI107" s="47"/>
      <c r="CJ107" s="47"/>
      <c r="CK107" s="47"/>
      <c r="CL107" s="47"/>
      <c r="CM107" s="47"/>
      <c r="CN107" s="47"/>
      <c r="CO107" s="47"/>
      <c r="CP107" s="47"/>
      <c r="CQ107" s="47"/>
      <c r="CR107" s="47"/>
      <c r="CS107" s="47"/>
      <c r="CT107" s="47"/>
      <c r="CU107" s="47"/>
      <c r="CV107" s="47"/>
      <c r="CW107" s="47"/>
      <c r="CX107" s="47"/>
      <c r="CY107" s="47"/>
      <c r="CZ107" s="47"/>
      <c r="DA107" s="47"/>
      <c r="DB107" s="47"/>
      <c r="DC107" s="47"/>
      <c r="DD107" s="47"/>
      <c r="DE107" s="47"/>
      <c r="DF107" s="47"/>
      <c r="DG107" s="47"/>
      <c r="DH107" s="47"/>
      <c r="DI107" s="47"/>
      <c r="DJ107" s="47"/>
      <c r="DK107" s="47"/>
      <c r="DL107" s="47"/>
      <c r="DM107" s="47"/>
      <c r="DN107" s="47"/>
      <c r="DO107" s="47"/>
      <c r="DP107" s="47"/>
      <c r="DQ107" s="47"/>
      <c r="DR107" s="47"/>
      <c r="DS107" s="47"/>
      <c r="DT107" s="47"/>
      <c r="DU107" s="47"/>
      <c r="DV107" s="47"/>
      <c r="DW107" s="47"/>
      <c r="DX107" s="47"/>
      <c r="DY107" s="47"/>
      <c r="DZ107" s="219"/>
      <c r="EA107" s="231"/>
      <c r="EB107" s="231"/>
      <c r="EC107" s="231"/>
      <c r="ED107" s="231"/>
      <c r="EE107" s="231"/>
      <c r="EF107" s="231"/>
      <c r="EG107" s="231"/>
      <c r="EH107" s="231"/>
      <c r="EI107" s="231"/>
      <c r="EJ107" s="231"/>
      <c r="EK107" s="231"/>
      <c r="EL107" s="231"/>
      <c r="EM107" s="231"/>
      <c r="EN107" s="231"/>
      <c r="EO107" s="231"/>
      <c r="EP107" s="231"/>
      <c r="EQ107" s="231"/>
    </row>
    <row r="108" spans="1:147" ht="22.9" customHeight="1" outlineLevel="2" x14ac:dyDescent="0.2">
      <c r="A108" s="146" t="s">
        <v>589</v>
      </c>
      <c r="B108" s="53" t="s">
        <v>44</v>
      </c>
      <c r="C108" s="50" t="s">
        <v>133</v>
      </c>
      <c r="D108" s="165">
        <v>1</v>
      </c>
      <c r="E108" s="158">
        <v>1</v>
      </c>
      <c r="F108" s="52">
        <f>SUM(H108:DY108)*E108*Table1[[#This Row],[Cycles]]</f>
        <v>0</v>
      </c>
      <c r="G108" s="46">
        <f t="shared" si="40"/>
        <v>0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BX108" s="47"/>
      <c r="BY108" s="47"/>
      <c r="BZ108" s="47"/>
      <c r="CA108" s="47"/>
      <c r="CB108" s="47"/>
      <c r="CC108" s="47"/>
      <c r="CD108" s="47"/>
      <c r="CE108" s="47"/>
      <c r="CF108" s="47"/>
      <c r="CG108" s="47"/>
      <c r="CH108" s="47"/>
      <c r="CI108" s="47"/>
      <c r="CJ108" s="47"/>
      <c r="CK108" s="47"/>
      <c r="CL108" s="47"/>
      <c r="CM108" s="47"/>
      <c r="CN108" s="47"/>
      <c r="CO108" s="47"/>
      <c r="CP108" s="47"/>
      <c r="CQ108" s="47"/>
      <c r="CR108" s="47"/>
      <c r="CS108" s="47"/>
      <c r="CT108" s="47"/>
      <c r="CU108" s="47"/>
      <c r="CV108" s="47"/>
      <c r="CW108" s="47"/>
      <c r="CX108" s="47"/>
      <c r="CY108" s="47"/>
      <c r="CZ108" s="47"/>
      <c r="DA108" s="47"/>
      <c r="DB108" s="47"/>
      <c r="DC108" s="47"/>
      <c r="DD108" s="47"/>
      <c r="DE108" s="47"/>
      <c r="DF108" s="47"/>
      <c r="DG108" s="47"/>
      <c r="DH108" s="47"/>
      <c r="DI108" s="47"/>
      <c r="DJ108" s="47"/>
      <c r="DK108" s="47"/>
      <c r="DL108" s="47"/>
      <c r="DM108" s="47"/>
      <c r="DN108" s="47"/>
      <c r="DO108" s="47"/>
      <c r="DP108" s="47"/>
      <c r="DQ108" s="47"/>
      <c r="DR108" s="47"/>
      <c r="DS108" s="47"/>
      <c r="DT108" s="47"/>
      <c r="DU108" s="47"/>
      <c r="DV108" s="47"/>
      <c r="DW108" s="47"/>
      <c r="DX108" s="47"/>
      <c r="DY108" s="47"/>
      <c r="DZ108" s="219"/>
      <c r="EA108" s="231"/>
      <c r="EB108" s="231"/>
      <c r="EC108" s="231"/>
      <c r="ED108" s="231"/>
      <c r="EE108" s="231"/>
      <c r="EF108" s="231"/>
      <c r="EG108" s="231"/>
      <c r="EH108" s="231"/>
      <c r="EI108" s="231"/>
      <c r="EJ108" s="231"/>
      <c r="EK108" s="231"/>
      <c r="EL108" s="231"/>
      <c r="EM108" s="231"/>
      <c r="EN108" s="231"/>
      <c r="EO108" s="231"/>
      <c r="EP108" s="231"/>
      <c r="EQ108" s="231"/>
    </row>
    <row r="109" spans="1:147" ht="22.9" customHeight="1" outlineLevel="2" x14ac:dyDescent="0.2">
      <c r="A109" s="146" t="s">
        <v>590</v>
      </c>
      <c r="B109" s="53" t="s">
        <v>45</v>
      </c>
      <c r="C109" s="50" t="s">
        <v>133</v>
      </c>
      <c r="D109" s="165">
        <v>1</v>
      </c>
      <c r="E109" s="158">
        <v>1</v>
      </c>
      <c r="F109" s="52">
        <f>SUM(H109:DY109)*E109*Table1[[#This Row],[Cycles]]</f>
        <v>0</v>
      </c>
      <c r="G109" s="46">
        <f t="shared" si="40"/>
        <v>0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  <c r="DE109" s="47"/>
      <c r="DF109" s="47"/>
      <c r="DG109" s="47"/>
      <c r="DH109" s="47"/>
      <c r="DI109" s="47"/>
      <c r="DJ109" s="47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219"/>
      <c r="EA109" s="231"/>
      <c r="EB109" s="231"/>
      <c r="EC109" s="231"/>
      <c r="ED109" s="231"/>
      <c r="EE109" s="231"/>
      <c r="EF109" s="231"/>
      <c r="EG109" s="231"/>
      <c r="EH109" s="231"/>
      <c r="EI109" s="231"/>
      <c r="EJ109" s="231"/>
      <c r="EK109" s="231"/>
      <c r="EL109" s="231"/>
      <c r="EM109" s="231"/>
      <c r="EN109" s="231"/>
      <c r="EO109" s="231"/>
      <c r="EP109" s="231"/>
      <c r="EQ109" s="231"/>
    </row>
    <row r="110" spans="1:147" ht="22.9" customHeight="1" outlineLevel="2" x14ac:dyDescent="0.2">
      <c r="A110" s="146" t="s">
        <v>591</v>
      </c>
      <c r="B110" s="53" t="s">
        <v>241</v>
      </c>
      <c r="C110" s="50" t="s">
        <v>133</v>
      </c>
      <c r="D110" s="165">
        <v>1</v>
      </c>
      <c r="E110" s="158">
        <v>2</v>
      </c>
      <c r="F110" s="52">
        <f>SUM(H110:DY110)*E110*Table1[[#This Row],[Cycles]]</f>
        <v>0</v>
      </c>
      <c r="G110" s="46">
        <f>SUMPRODUCT($H$2:$DY$2,$H110:$DY110)*E110*D110</f>
        <v>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47"/>
      <c r="CA110" s="47"/>
      <c r="CB110" s="47"/>
      <c r="CC110" s="47"/>
      <c r="CD110" s="47"/>
      <c r="CE110" s="47"/>
      <c r="CF110" s="47"/>
      <c r="CG110" s="47"/>
      <c r="CH110" s="47"/>
      <c r="CI110" s="47"/>
      <c r="CJ110" s="47"/>
      <c r="CK110" s="47"/>
      <c r="CL110" s="47"/>
      <c r="CM110" s="47"/>
      <c r="CN110" s="47"/>
      <c r="CO110" s="47"/>
      <c r="CP110" s="47"/>
      <c r="CQ110" s="47"/>
      <c r="CR110" s="47"/>
      <c r="CS110" s="47"/>
      <c r="CT110" s="47"/>
      <c r="CU110" s="47"/>
      <c r="CV110" s="47"/>
      <c r="CW110" s="47"/>
      <c r="CX110" s="47"/>
      <c r="CY110" s="47"/>
      <c r="CZ110" s="47"/>
      <c r="DA110" s="47"/>
      <c r="DB110" s="47"/>
      <c r="DC110" s="47"/>
      <c r="DD110" s="47"/>
      <c r="DE110" s="47"/>
      <c r="DF110" s="47"/>
      <c r="DG110" s="47"/>
      <c r="DH110" s="47"/>
      <c r="DI110" s="47"/>
      <c r="DJ110" s="47"/>
      <c r="DK110" s="47"/>
      <c r="DL110" s="47"/>
      <c r="DM110" s="47"/>
      <c r="DN110" s="47"/>
      <c r="DO110" s="47"/>
      <c r="DP110" s="47"/>
      <c r="DQ110" s="47"/>
      <c r="DR110" s="47"/>
      <c r="DS110" s="47"/>
      <c r="DT110" s="47"/>
      <c r="DU110" s="47"/>
      <c r="DV110" s="47"/>
      <c r="DW110" s="47"/>
      <c r="DX110" s="47"/>
      <c r="DY110" s="47"/>
      <c r="DZ110" s="219"/>
      <c r="EA110" s="231"/>
      <c r="EB110" s="231"/>
      <c r="EC110" s="231"/>
      <c r="ED110" s="231"/>
      <c r="EE110" s="231"/>
      <c r="EF110" s="231"/>
      <c r="EG110" s="231"/>
      <c r="EH110" s="231"/>
      <c r="EI110" s="231"/>
      <c r="EJ110" s="231"/>
      <c r="EK110" s="231"/>
      <c r="EL110" s="231"/>
      <c r="EM110" s="231"/>
      <c r="EN110" s="231"/>
      <c r="EO110" s="231"/>
      <c r="EP110" s="231"/>
      <c r="EQ110" s="231"/>
    </row>
    <row r="111" spans="1:147" ht="22.9" customHeight="1" outlineLevel="2" x14ac:dyDescent="0.2">
      <c r="A111" s="146" t="s">
        <v>592</v>
      </c>
      <c r="B111" s="53" t="s">
        <v>418</v>
      </c>
      <c r="C111" s="50" t="s">
        <v>133</v>
      </c>
      <c r="D111" s="165">
        <v>1</v>
      </c>
      <c r="E111" s="158">
        <v>1</v>
      </c>
      <c r="F111" s="52">
        <f>SUM(H111:DY111)*E111*Table1[[#This Row],[Cycles]]</f>
        <v>0</v>
      </c>
      <c r="G111" s="46">
        <f>SUMPRODUCT($H$2:$DY$2,$H111:$DY111)*E111*D111</f>
        <v>0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47"/>
      <c r="CG111" s="47"/>
      <c r="CH111" s="47"/>
      <c r="CI111" s="47"/>
      <c r="CJ111" s="47"/>
      <c r="CK111" s="47"/>
      <c r="CL111" s="47"/>
      <c r="CM111" s="47"/>
      <c r="CN111" s="47"/>
      <c r="CO111" s="47"/>
      <c r="CP111" s="47"/>
      <c r="CQ111" s="47"/>
      <c r="CR111" s="47"/>
      <c r="CS111" s="47"/>
      <c r="CT111" s="47"/>
      <c r="CU111" s="47"/>
      <c r="CV111" s="47"/>
      <c r="CW111" s="47"/>
      <c r="CX111" s="47"/>
      <c r="CY111" s="47"/>
      <c r="CZ111" s="47"/>
      <c r="DA111" s="47"/>
      <c r="DB111" s="47"/>
      <c r="DC111" s="47"/>
      <c r="DD111" s="47"/>
      <c r="DE111" s="47"/>
      <c r="DF111" s="47"/>
      <c r="DG111" s="47"/>
      <c r="DH111" s="47"/>
      <c r="DI111" s="47"/>
      <c r="DJ111" s="47"/>
      <c r="DK111" s="47"/>
      <c r="DL111" s="47"/>
      <c r="DM111" s="47"/>
      <c r="DN111" s="47"/>
      <c r="DO111" s="47"/>
      <c r="DP111" s="47"/>
      <c r="DQ111" s="47"/>
      <c r="DR111" s="47"/>
      <c r="DS111" s="47"/>
      <c r="DT111" s="47"/>
      <c r="DU111" s="47"/>
      <c r="DV111" s="47"/>
      <c r="DW111" s="47"/>
      <c r="DX111" s="47"/>
      <c r="DY111" s="47"/>
      <c r="DZ111" s="219"/>
      <c r="EA111" s="231"/>
      <c r="EB111" s="231"/>
      <c r="EC111" s="231"/>
      <c r="ED111" s="231"/>
      <c r="EE111" s="231"/>
      <c r="EF111" s="231"/>
      <c r="EG111" s="231"/>
      <c r="EH111" s="231"/>
      <c r="EI111" s="231"/>
      <c r="EJ111" s="231"/>
      <c r="EK111" s="231"/>
      <c r="EL111" s="231"/>
      <c r="EM111" s="231"/>
      <c r="EN111" s="231"/>
      <c r="EO111" s="231"/>
      <c r="EP111" s="231"/>
      <c r="EQ111" s="231"/>
    </row>
    <row r="112" spans="1:147" ht="22.9" customHeight="1" outlineLevel="1" x14ac:dyDescent="0.2">
      <c r="A112" s="149" t="s">
        <v>593</v>
      </c>
      <c r="B112" s="34" t="s">
        <v>489</v>
      </c>
      <c r="C112" s="30" t="s">
        <v>100</v>
      </c>
      <c r="D112" s="164"/>
      <c r="E112" s="164"/>
      <c r="F112" s="45">
        <f>SUM(F113:F124)</f>
        <v>0</v>
      </c>
      <c r="G112" s="44">
        <f>SUM(G113:G124)</f>
        <v>0</v>
      </c>
      <c r="H112" s="45">
        <f>SUMPRODUCT($D$113:$D$124,$E$113:$E$124,H113:H124)</f>
        <v>0</v>
      </c>
      <c r="I112" s="45">
        <f t="shared" ref="I112:BT112" si="41">SUMPRODUCT($D$113:$D$124,$E$113:$E$124,I113:I124)</f>
        <v>0</v>
      </c>
      <c r="J112" s="45">
        <f t="shared" si="41"/>
        <v>0</v>
      </c>
      <c r="K112" s="45">
        <f t="shared" si="41"/>
        <v>0</v>
      </c>
      <c r="L112" s="45">
        <f t="shared" si="41"/>
        <v>0</v>
      </c>
      <c r="M112" s="45">
        <f t="shared" si="41"/>
        <v>0</v>
      </c>
      <c r="N112" s="45">
        <f t="shared" si="41"/>
        <v>0</v>
      </c>
      <c r="O112" s="45">
        <f t="shared" si="41"/>
        <v>0</v>
      </c>
      <c r="P112" s="45">
        <f t="shared" si="41"/>
        <v>0</v>
      </c>
      <c r="Q112" s="45">
        <f t="shared" si="41"/>
        <v>0</v>
      </c>
      <c r="R112" s="45">
        <f t="shared" si="41"/>
        <v>0</v>
      </c>
      <c r="S112" s="45">
        <f t="shared" si="41"/>
        <v>0</v>
      </c>
      <c r="T112" s="45">
        <f t="shared" si="41"/>
        <v>0</v>
      </c>
      <c r="U112" s="45">
        <f t="shared" si="41"/>
        <v>0</v>
      </c>
      <c r="V112" s="45">
        <f t="shared" si="41"/>
        <v>0</v>
      </c>
      <c r="W112" s="45">
        <f t="shared" si="41"/>
        <v>0</v>
      </c>
      <c r="X112" s="45">
        <f t="shared" si="41"/>
        <v>0</v>
      </c>
      <c r="Y112" s="45">
        <f t="shared" si="41"/>
        <v>0</v>
      </c>
      <c r="Z112" s="45">
        <f t="shared" si="41"/>
        <v>0</v>
      </c>
      <c r="AA112" s="45">
        <f t="shared" si="41"/>
        <v>0</v>
      </c>
      <c r="AB112" s="45">
        <f t="shared" si="41"/>
        <v>0</v>
      </c>
      <c r="AC112" s="45">
        <f t="shared" si="41"/>
        <v>0</v>
      </c>
      <c r="AD112" s="45">
        <f t="shared" si="41"/>
        <v>0</v>
      </c>
      <c r="AE112" s="45">
        <f t="shared" si="41"/>
        <v>0</v>
      </c>
      <c r="AF112" s="45">
        <f t="shared" si="41"/>
        <v>0</v>
      </c>
      <c r="AG112" s="45">
        <f t="shared" si="41"/>
        <v>0</v>
      </c>
      <c r="AH112" s="45">
        <f t="shared" si="41"/>
        <v>0</v>
      </c>
      <c r="AI112" s="45">
        <f t="shared" si="41"/>
        <v>0</v>
      </c>
      <c r="AJ112" s="45">
        <f t="shared" si="41"/>
        <v>0</v>
      </c>
      <c r="AK112" s="45">
        <f t="shared" si="41"/>
        <v>0</v>
      </c>
      <c r="AL112" s="45">
        <f t="shared" si="41"/>
        <v>0</v>
      </c>
      <c r="AM112" s="45">
        <f t="shared" si="41"/>
        <v>0</v>
      </c>
      <c r="AN112" s="45">
        <f t="shared" si="41"/>
        <v>0</v>
      </c>
      <c r="AO112" s="45">
        <f t="shared" si="41"/>
        <v>0</v>
      </c>
      <c r="AP112" s="45">
        <f t="shared" si="41"/>
        <v>0</v>
      </c>
      <c r="AQ112" s="45">
        <f t="shared" si="41"/>
        <v>0</v>
      </c>
      <c r="AR112" s="45">
        <f t="shared" si="41"/>
        <v>0</v>
      </c>
      <c r="AS112" s="45">
        <f t="shared" si="41"/>
        <v>0</v>
      </c>
      <c r="AT112" s="45">
        <f t="shared" si="41"/>
        <v>0</v>
      </c>
      <c r="AU112" s="45">
        <f t="shared" si="41"/>
        <v>0</v>
      </c>
      <c r="AV112" s="45">
        <f t="shared" si="41"/>
        <v>0</v>
      </c>
      <c r="AW112" s="45">
        <f t="shared" si="41"/>
        <v>0</v>
      </c>
      <c r="AX112" s="45">
        <f t="shared" si="41"/>
        <v>0</v>
      </c>
      <c r="AY112" s="45">
        <f t="shared" si="41"/>
        <v>0</v>
      </c>
      <c r="AZ112" s="45">
        <f t="shared" si="41"/>
        <v>0</v>
      </c>
      <c r="BA112" s="45">
        <f t="shared" si="41"/>
        <v>0</v>
      </c>
      <c r="BB112" s="45">
        <f t="shared" si="41"/>
        <v>0</v>
      </c>
      <c r="BC112" s="45">
        <f t="shared" si="41"/>
        <v>0</v>
      </c>
      <c r="BD112" s="45">
        <f t="shared" si="41"/>
        <v>0</v>
      </c>
      <c r="BE112" s="45">
        <f t="shared" si="41"/>
        <v>0</v>
      </c>
      <c r="BF112" s="45">
        <f t="shared" si="41"/>
        <v>0</v>
      </c>
      <c r="BG112" s="45">
        <f t="shared" si="41"/>
        <v>0</v>
      </c>
      <c r="BH112" s="45">
        <f t="shared" si="41"/>
        <v>0</v>
      </c>
      <c r="BI112" s="45">
        <f t="shared" si="41"/>
        <v>0</v>
      </c>
      <c r="BJ112" s="45">
        <f t="shared" si="41"/>
        <v>0</v>
      </c>
      <c r="BK112" s="45">
        <f t="shared" si="41"/>
        <v>0</v>
      </c>
      <c r="BL112" s="45">
        <f t="shared" si="41"/>
        <v>0</v>
      </c>
      <c r="BM112" s="45">
        <f t="shared" si="41"/>
        <v>0</v>
      </c>
      <c r="BN112" s="45">
        <f t="shared" si="41"/>
        <v>0</v>
      </c>
      <c r="BO112" s="45">
        <f t="shared" si="41"/>
        <v>0</v>
      </c>
      <c r="BP112" s="45">
        <f t="shared" si="41"/>
        <v>0</v>
      </c>
      <c r="BQ112" s="45">
        <f t="shared" si="41"/>
        <v>0</v>
      </c>
      <c r="BR112" s="45">
        <f t="shared" si="41"/>
        <v>0</v>
      </c>
      <c r="BS112" s="45">
        <f t="shared" si="41"/>
        <v>0</v>
      </c>
      <c r="BT112" s="45">
        <f t="shared" si="41"/>
        <v>0</v>
      </c>
      <c r="BU112" s="45">
        <f t="shared" ref="BU112:DY112" si="42">SUMPRODUCT($D$113:$D$124,$E$113:$E$124,BU113:BU124)</f>
        <v>0</v>
      </c>
      <c r="BV112" s="45">
        <f t="shared" si="42"/>
        <v>0</v>
      </c>
      <c r="BW112" s="45">
        <f t="shared" si="42"/>
        <v>0</v>
      </c>
      <c r="BX112" s="45">
        <f t="shared" si="42"/>
        <v>0</v>
      </c>
      <c r="BY112" s="45">
        <f t="shared" si="42"/>
        <v>0</v>
      </c>
      <c r="BZ112" s="45">
        <f t="shared" si="42"/>
        <v>0</v>
      </c>
      <c r="CA112" s="45">
        <f t="shared" si="42"/>
        <v>0</v>
      </c>
      <c r="CB112" s="45">
        <f t="shared" si="42"/>
        <v>0</v>
      </c>
      <c r="CC112" s="45">
        <f t="shared" si="42"/>
        <v>0</v>
      </c>
      <c r="CD112" s="45">
        <f t="shared" si="42"/>
        <v>0</v>
      </c>
      <c r="CE112" s="45">
        <f t="shared" si="42"/>
        <v>0</v>
      </c>
      <c r="CF112" s="45">
        <f t="shared" si="42"/>
        <v>0</v>
      </c>
      <c r="CG112" s="45">
        <f t="shared" si="42"/>
        <v>0</v>
      </c>
      <c r="CH112" s="45">
        <f t="shared" si="42"/>
        <v>0</v>
      </c>
      <c r="CI112" s="45">
        <f t="shared" si="42"/>
        <v>0</v>
      </c>
      <c r="CJ112" s="45">
        <f t="shared" si="42"/>
        <v>0</v>
      </c>
      <c r="CK112" s="45">
        <f t="shared" si="42"/>
        <v>0</v>
      </c>
      <c r="CL112" s="45">
        <f t="shared" si="42"/>
        <v>0</v>
      </c>
      <c r="CM112" s="45">
        <f t="shared" si="42"/>
        <v>0</v>
      </c>
      <c r="CN112" s="45">
        <f t="shared" si="42"/>
        <v>0</v>
      </c>
      <c r="CO112" s="45">
        <f t="shared" si="42"/>
        <v>0</v>
      </c>
      <c r="CP112" s="45">
        <f t="shared" si="42"/>
        <v>0</v>
      </c>
      <c r="CQ112" s="45">
        <f t="shared" si="42"/>
        <v>0</v>
      </c>
      <c r="CR112" s="45">
        <f t="shared" si="42"/>
        <v>0</v>
      </c>
      <c r="CS112" s="45">
        <f t="shared" si="42"/>
        <v>0</v>
      </c>
      <c r="CT112" s="45">
        <f t="shared" si="42"/>
        <v>0</v>
      </c>
      <c r="CU112" s="45">
        <f t="shared" si="42"/>
        <v>0</v>
      </c>
      <c r="CV112" s="45">
        <f t="shared" si="42"/>
        <v>0</v>
      </c>
      <c r="CW112" s="45">
        <f t="shared" si="42"/>
        <v>0</v>
      </c>
      <c r="CX112" s="45">
        <f t="shared" si="42"/>
        <v>0</v>
      </c>
      <c r="CY112" s="45">
        <f t="shared" si="42"/>
        <v>0</v>
      </c>
      <c r="CZ112" s="45">
        <f t="shared" si="42"/>
        <v>0</v>
      </c>
      <c r="DA112" s="45">
        <f t="shared" si="42"/>
        <v>0</v>
      </c>
      <c r="DB112" s="45">
        <f t="shared" si="42"/>
        <v>0</v>
      </c>
      <c r="DC112" s="45">
        <f t="shared" si="42"/>
        <v>0</v>
      </c>
      <c r="DD112" s="45">
        <f t="shared" si="42"/>
        <v>0</v>
      </c>
      <c r="DE112" s="45">
        <f t="shared" si="42"/>
        <v>0</v>
      </c>
      <c r="DF112" s="45">
        <f t="shared" si="42"/>
        <v>0</v>
      </c>
      <c r="DG112" s="45">
        <f t="shared" si="42"/>
        <v>0</v>
      </c>
      <c r="DH112" s="45">
        <f t="shared" si="42"/>
        <v>0</v>
      </c>
      <c r="DI112" s="45">
        <f t="shared" si="42"/>
        <v>0</v>
      </c>
      <c r="DJ112" s="45">
        <f t="shared" si="42"/>
        <v>0</v>
      </c>
      <c r="DK112" s="45">
        <f t="shared" si="42"/>
        <v>0</v>
      </c>
      <c r="DL112" s="45">
        <f t="shared" si="42"/>
        <v>0</v>
      </c>
      <c r="DM112" s="45">
        <f t="shared" si="42"/>
        <v>0</v>
      </c>
      <c r="DN112" s="45">
        <f t="shared" si="42"/>
        <v>0</v>
      </c>
      <c r="DO112" s="45">
        <f t="shared" si="42"/>
        <v>0</v>
      </c>
      <c r="DP112" s="45">
        <f t="shared" si="42"/>
        <v>0</v>
      </c>
      <c r="DQ112" s="45">
        <f t="shared" si="42"/>
        <v>0</v>
      </c>
      <c r="DR112" s="45">
        <f t="shared" si="42"/>
        <v>0</v>
      </c>
      <c r="DS112" s="45">
        <f t="shared" si="42"/>
        <v>0</v>
      </c>
      <c r="DT112" s="45">
        <f t="shared" si="42"/>
        <v>0</v>
      </c>
      <c r="DU112" s="45">
        <f t="shared" si="42"/>
        <v>0</v>
      </c>
      <c r="DV112" s="45">
        <f t="shared" si="42"/>
        <v>0</v>
      </c>
      <c r="DW112" s="45">
        <f t="shared" si="42"/>
        <v>0</v>
      </c>
      <c r="DX112" s="45">
        <f t="shared" si="42"/>
        <v>0</v>
      </c>
      <c r="DY112" s="45">
        <f t="shared" si="42"/>
        <v>0</v>
      </c>
      <c r="DZ112" s="218"/>
      <c r="EA112" s="231"/>
      <c r="EB112" s="231"/>
      <c r="EC112" s="231"/>
      <c r="ED112" s="231"/>
      <c r="EE112" s="231"/>
      <c r="EF112" s="231"/>
      <c r="EG112" s="231"/>
      <c r="EH112" s="231"/>
      <c r="EI112" s="231"/>
      <c r="EJ112" s="231"/>
      <c r="EK112" s="231"/>
      <c r="EL112" s="231"/>
      <c r="EM112" s="231"/>
      <c r="EN112" s="231"/>
      <c r="EO112" s="231"/>
      <c r="EP112" s="231"/>
      <c r="EQ112" s="231"/>
    </row>
    <row r="113" spans="1:147" ht="22.9" customHeight="1" outlineLevel="2" x14ac:dyDescent="0.2">
      <c r="A113" s="146" t="s">
        <v>594</v>
      </c>
      <c r="B113" s="53" t="s">
        <v>488</v>
      </c>
      <c r="C113" s="50" t="s">
        <v>133</v>
      </c>
      <c r="D113" s="165">
        <v>1</v>
      </c>
      <c r="E113" s="158">
        <v>1</v>
      </c>
      <c r="F113" s="52">
        <f>SUM(H113:DY113)*E113*Table1[[#This Row],[Cycles]]</f>
        <v>0</v>
      </c>
      <c r="G113" s="46">
        <f>SUMPRODUCT($H$2:$DY$2,$H113:$DY113)*E113*D113</f>
        <v>0</v>
      </c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47"/>
      <c r="CM113" s="47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  <c r="DE113" s="47"/>
      <c r="DF113" s="47"/>
      <c r="DG113" s="47"/>
      <c r="DH113" s="47"/>
      <c r="DI113" s="47"/>
      <c r="DJ113" s="47"/>
      <c r="DK113" s="47"/>
      <c r="DL113" s="47"/>
      <c r="DM113" s="47"/>
      <c r="DN113" s="47"/>
      <c r="DO113" s="47"/>
      <c r="DP113" s="47"/>
      <c r="DQ113" s="47"/>
      <c r="DR113" s="47"/>
      <c r="DS113" s="47"/>
      <c r="DT113" s="47"/>
      <c r="DU113" s="47"/>
      <c r="DV113" s="47"/>
      <c r="DW113" s="47"/>
      <c r="DX113" s="47"/>
      <c r="DY113" s="47"/>
      <c r="DZ113" s="219"/>
      <c r="EA113" s="231"/>
      <c r="EB113" s="231"/>
      <c r="EC113" s="231"/>
      <c r="ED113" s="231"/>
      <c r="EE113" s="231"/>
      <c r="EF113" s="231"/>
      <c r="EG113" s="231"/>
      <c r="EH113" s="231"/>
      <c r="EI113" s="231"/>
      <c r="EJ113" s="231"/>
      <c r="EK113" s="231"/>
      <c r="EL113" s="231"/>
      <c r="EM113" s="231"/>
      <c r="EN113" s="231"/>
      <c r="EO113" s="231"/>
      <c r="EP113" s="231"/>
      <c r="EQ113" s="231"/>
    </row>
    <row r="114" spans="1:147" ht="22.9" customHeight="1" outlineLevel="2" x14ac:dyDescent="0.2">
      <c r="A114" s="146" t="s">
        <v>595</v>
      </c>
      <c r="B114" s="53" t="s">
        <v>433</v>
      </c>
      <c r="C114" s="50" t="s">
        <v>133</v>
      </c>
      <c r="D114" s="165">
        <v>1</v>
      </c>
      <c r="E114" s="158">
        <v>1</v>
      </c>
      <c r="F114" s="52">
        <f>SUM(H114:DY114)*E114*Table1[[#This Row],[Cycles]]</f>
        <v>0</v>
      </c>
      <c r="G114" s="46">
        <f>SUMPRODUCT($H$2:$DY$2,$H114:$DY114)*E114*D114</f>
        <v>0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  <c r="DE114" s="47"/>
      <c r="DF114" s="47"/>
      <c r="DG114" s="47"/>
      <c r="DH114" s="47"/>
      <c r="DI114" s="47"/>
      <c r="DJ114" s="47"/>
      <c r="DK114" s="47"/>
      <c r="DL114" s="47"/>
      <c r="DM114" s="47"/>
      <c r="DN114" s="47"/>
      <c r="DO114" s="47"/>
      <c r="DP114" s="47"/>
      <c r="DQ114" s="47"/>
      <c r="DR114" s="47"/>
      <c r="DS114" s="47"/>
      <c r="DT114" s="47"/>
      <c r="DU114" s="47"/>
      <c r="DV114" s="47"/>
      <c r="DW114" s="47"/>
      <c r="DX114" s="47"/>
      <c r="DY114" s="47"/>
      <c r="DZ114" s="219"/>
      <c r="EA114" s="231"/>
      <c r="EB114" s="231"/>
      <c r="EC114" s="231"/>
      <c r="ED114" s="231"/>
      <c r="EE114" s="231"/>
      <c r="EF114" s="231"/>
      <c r="EG114" s="231"/>
      <c r="EH114" s="231"/>
      <c r="EI114" s="231"/>
      <c r="EJ114" s="231"/>
      <c r="EK114" s="231"/>
      <c r="EL114" s="231"/>
      <c r="EM114" s="231"/>
      <c r="EN114" s="231"/>
      <c r="EO114" s="231"/>
      <c r="EP114" s="231"/>
      <c r="EQ114" s="231"/>
    </row>
    <row r="115" spans="1:147" ht="22.9" customHeight="1" outlineLevel="2" x14ac:dyDescent="0.2">
      <c r="A115" s="146" t="s">
        <v>596</v>
      </c>
      <c r="B115" s="53" t="s">
        <v>434</v>
      </c>
      <c r="C115" s="50" t="s">
        <v>133</v>
      </c>
      <c r="D115" s="165">
        <v>1</v>
      </c>
      <c r="E115" s="158">
        <v>1</v>
      </c>
      <c r="F115" s="52">
        <f>SUM(H115:DY115)*E115*Table1[[#This Row],[Cycles]]</f>
        <v>0</v>
      </c>
      <c r="G115" s="46">
        <f>SUMPRODUCT($H$2:$DY$2,$H115:$DY115)*E115*D115</f>
        <v>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  <c r="DE115" s="47"/>
      <c r="DF115" s="47"/>
      <c r="DG115" s="47"/>
      <c r="DH115" s="47"/>
      <c r="DI115" s="47"/>
      <c r="DJ115" s="47"/>
      <c r="DK115" s="47"/>
      <c r="DL115" s="47"/>
      <c r="DM115" s="47"/>
      <c r="DN115" s="47"/>
      <c r="DO115" s="47"/>
      <c r="DP115" s="47"/>
      <c r="DQ115" s="47"/>
      <c r="DR115" s="47"/>
      <c r="DS115" s="47"/>
      <c r="DT115" s="47"/>
      <c r="DU115" s="47"/>
      <c r="DV115" s="47"/>
      <c r="DW115" s="47"/>
      <c r="DX115" s="47"/>
      <c r="DY115" s="47"/>
      <c r="DZ115" s="219"/>
      <c r="EA115" s="231"/>
      <c r="EB115" s="231"/>
      <c r="EC115" s="231"/>
      <c r="ED115" s="231"/>
      <c r="EE115" s="231"/>
      <c r="EF115" s="231"/>
      <c r="EG115" s="231"/>
      <c r="EH115" s="231"/>
      <c r="EI115" s="231"/>
      <c r="EJ115" s="231"/>
      <c r="EK115" s="231"/>
      <c r="EL115" s="231"/>
      <c r="EM115" s="231"/>
      <c r="EN115" s="231"/>
      <c r="EO115" s="231"/>
      <c r="EP115" s="231"/>
      <c r="EQ115" s="231"/>
    </row>
    <row r="116" spans="1:147" ht="22.9" customHeight="1" outlineLevel="2" x14ac:dyDescent="0.2">
      <c r="A116" s="146" t="s">
        <v>597</v>
      </c>
      <c r="B116" s="53" t="s">
        <v>435</v>
      </c>
      <c r="C116" s="50" t="s">
        <v>133</v>
      </c>
      <c r="D116" s="165">
        <v>1</v>
      </c>
      <c r="E116" s="158">
        <v>1</v>
      </c>
      <c r="F116" s="52">
        <f>SUM(H116:DY116)*E116*Table1[[#This Row],[Cycles]]</f>
        <v>0</v>
      </c>
      <c r="G116" s="46">
        <f t="shared" ref="G116:G124" si="43">SUMPRODUCT($H$2:$DY$2,$H116:$DY116)*E116*D116</f>
        <v>0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  <c r="DE116" s="47"/>
      <c r="DF116" s="47"/>
      <c r="DG116" s="47"/>
      <c r="DH116" s="47"/>
      <c r="DI116" s="47"/>
      <c r="DJ116" s="47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219"/>
      <c r="EA116" s="231"/>
      <c r="EB116" s="231"/>
      <c r="EC116" s="231"/>
      <c r="ED116" s="231"/>
      <c r="EE116" s="231"/>
      <c r="EF116" s="231"/>
      <c r="EG116" s="231"/>
      <c r="EH116" s="231"/>
      <c r="EI116" s="231"/>
      <c r="EJ116" s="231"/>
      <c r="EK116" s="231"/>
      <c r="EL116" s="231"/>
      <c r="EM116" s="231"/>
      <c r="EN116" s="231"/>
      <c r="EO116" s="231"/>
      <c r="EP116" s="231"/>
      <c r="EQ116" s="231"/>
    </row>
    <row r="117" spans="1:147" ht="22.9" customHeight="1" outlineLevel="2" x14ac:dyDescent="0.2">
      <c r="A117" s="146" t="s">
        <v>598</v>
      </c>
      <c r="B117" s="53" t="s">
        <v>51</v>
      </c>
      <c r="C117" s="50" t="s">
        <v>133</v>
      </c>
      <c r="D117" s="165">
        <v>1</v>
      </c>
      <c r="E117" s="158">
        <v>1</v>
      </c>
      <c r="F117" s="52">
        <f>SUM(H117:DY117)*E117*Table1[[#This Row],[Cycles]]</f>
        <v>0</v>
      </c>
      <c r="G117" s="46">
        <f t="shared" si="43"/>
        <v>0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  <c r="DE117" s="47"/>
      <c r="DF117" s="47"/>
      <c r="DG117" s="47"/>
      <c r="DH117" s="47"/>
      <c r="DI117" s="47"/>
      <c r="DJ117" s="47"/>
      <c r="DK117" s="47"/>
      <c r="DL117" s="47"/>
      <c r="DM117" s="47"/>
      <c r="DN117" s="47"/>
      <c r="DO117" s="47"/>
      <c r="DP117" s="47"/>
      <c r="DQ117" s="47"/>
      <c r="DR117" s="47"/>
      <c r="DS117" s="47"/>
      <c r="DT117" s="47"/>
      <c r="DU117" s="47"/>
      <c r="DV117" s="47"/>
      <c r="DW117" s="47"/>
      <c r="DX117" s="47"/>
      <c r="DY117" s="47"/>
      <c r="DZ117" s="219"/>
      <c r="EA117" s="231"/>
      <c r="EB117" s="231"/>
      <c r="EC117" s="231"/>
      <c r="ED117" s="231"/>
      <c r="EE117" s="231"/>
      <c r="EF117" s="231"/>
      <c r="EG117" s="231"/>
      <c r="EH117" s="231"/>
      <c r="EI117" s="231"/>
      <c r="EJ117" s="231"/>
      <c r="EK117" s="231"/>
      <c r="EL117" s="231"/>
      <c r="EM117" s="231"/>
      <c r="EN117" s="231"/>
      <c r="EO117" s="231"/>
      <c r="EP117" s="231"/>
      <c r="EQ117" s="231"/>
    </row>
    <row r="118" spans="1:147" ht="22.9" customHeight="1" outlineLevel="2" x14ac:dyDescent="0.2">
      <c r="A118" s="146" t="s">
        <v>599</v>
      </c>
      <c r="B118" s="53" t="s">
        <v>439</v>
      </c>
      <c r="C118" s="50" t="s">
        <v>133</v>
      </c>
      <c r="D118" s="165">
        <v>1</v>
      </c>
      <c r="E118" s="158">
        <v>2</v>
      </c>
      <c r="F118" s="52">
        <f>SUM(H118:DY118)*E118*Table1[[#This Row],[Cycles]]</f>
        <v>0</v>
      </c>
      <c r="G118" s="46">
        <f t="shared" si="43"/>
        <v>0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  <c r="DE118" s="47"/>
      <c r="DF118" s="47"/>
      <c r="DG118" s="47"/>
      <c r="DH118" s="47"/>
      <c r="DI118" s="47"/>
      <c r="DJ118" s="47"/>
      <c r="DK118" s="47"/>
      <c r="DL118" s="47"/>
      <c r="DM118" s="47"/>
      <c r="DN118" s="47"/>
      <c r="DO118" s="47"/>
      <c r="DP118" s="47"/>
      <c r="DQ118" s="47"/>
      <c r="DR118" s="47"/>
      <c r="DS118" s="47"/>
      <c r="DT118" s="47"/>
      <c r="DU118" s="47"/>
      <c r="DV118" s="47"/>
      <c r="DW118" s="47"/>
      <c r="DX118" s="47"/>
      <c r="DY118" s="47"/>
      <c r="DZ118" s="219"/>
      <c r="EA118" s="231"/>
      <c r="EB118" s="231"/>
      <c r="EC118" s="231"/>
      <c r="ED118" s="231"/>
      <c r="EE118" s="231"/>
      <c r="EF118" s="231"/>
      <c r="EG118" s="231"/>
      <c r="EH118" s="231"/>
      <c r="EI118" s="231"/>
      <c r="EJ118" s="231"/>
      <c r="EK118" s="231"/>
      <c r="EL118" s="231"/>
      <c r="EM118" s="231"/>
      <c r="EN118" s="231"/>
      <c r="EO118" s="231"/>
      <c r="EP118" s="231"/>
      <c r="EQ118" s="231"/>
    </row>
    <row r="119" spans="1:147" ht="22.9" customHeight="1" outlineLevel="2" x14ac:dyDescent="0.2">
      <c r="A119" s="146" t="s">
        <v>600</v>
      </c>
      <c r="B119" s="53" t="s">
        <v>440</v>
      </c>
      <c r="C119" s="50" t="s">
        <v>133</v>
      </c>
      <c r="D119" s="165">
        <v>1</v>
      </c>
      <c r="E119" s="158">
        <v>3</v>
      </c>
      <c r="F119" s="52">
        <f>SUM(H119:DY119)*E119*Table1[[#This Row],[Cycles]]</f>
        <v>0</v>
      </c>
      <c r="G119" s="46">
        <f t="shared" si="43"/>
        <v>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  <c r="DE119" s="47"/>
      <c r="DF119" s="47"/>
      <c r="DG119" s="47"/>
      <c r="DH119" s="47"/>
      <c r="DI119" s="47"/>
      <c r="DJ119" s="47"/>
      <c r="DK119" s="47"/>
      <c r="DL119" s="47"/>
      <c r="DM119" s="47"/>
      <c r="DN119" s="47"/>
      <c r="DO119" s="47"/>
      <c r="DP119" s="47"/>
      <c r="DQ119" s="47"/>
      <c r="DR119" s="47"/>
      <c r="DS119" s="47"/>
      <c r="DT119" s="47"/>
      <c r="DU119" s="47"/>
      <c r="DV119" s="47"/>
      <c r="DW119" s="47"/>
      <c r="DX119" s="47"/>
      <c r="DY119" s="47"/>
      <c r="DZ119" s="219"/>
      <c r="EA119" s="231"/>
      <c r="EB119" s="231"/>
      <c r="EC119" s="231"/>
      <c r="ED119" s="231"/>
      <c r="EE119" s="231"/>
      <c r="EF119" s="231"/>
      <c r="EG119" s="231"/>
      <c r="EH119" s="231"/>
      <c r="EI119" s="231"/>
      <c r="EJ119" s="231"/>
      <c r="EK119" s="231"/>
      <c r="EL119" s="231"/>
      <c r="EM119" s="231"/>
      <c r="EN119" s="231"/>
      <c r="EO119" s="231"/>
      <c r="EP119" s="231"/>
      <c r="EQ119" s="231"/>
    </row>
    <row r="120" spans="1:147" ht="22.9" customHeight="1" outlineLevel="2" x14ac:dyDescent="0.2">
      <c r="A120" s="146" t="s">
        <v>601</v>
      </c>
      <c r="B120" s="53" t="s">
        <v>52</v>
      </c>
      <c r="C120" s="50" t="s">
        <v>133</v>
      </c>
      <c r="D120" s="165">
        <v>1</v>
      </c>
      <c r="E120" s="158">
        <v>1</v>
      </c>
      <c r="F120" s="52">
        <f>SUM(H120:DY120)*E120*Table1[[#This Row],[Cycles]]</f>
        <v>0</v>
      </c>
      <c r="G120" s="46">
        <f t="shared" si="43"/>
        <v>0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7"/>
      <c r="DP120" s="47"/>
      <c r="DQ120" s="47"/>
      <c r="DR120" s="47"/>
      <c r="DS120" s="47"/>
      <c r="DT120" s="47"/>
      <c r="DU120" s="47"/>
      <c r="DV120" s="47"/>
      <c r="DW120" s="47"/>
      <c r="DX120" s="47"/>
      <c r="DY120" s="47"/>
      <c r="DZ120" s="219"/>
      <c r="EA120" s="231"/>
      <c r="EB120" s="231"/>
      <c r="EC120" s="231"/>
      <c r="ED120" s="231"/>
      <c r="EE120" s="231"/>
      <c r="EF120" s="231"/>
      <c r="EG120" s="231"/>
      <c r="EH120" s="231"/>
      <c r="EI120" s="231"/>
      <c r="EJ120" s="231"/>
      <c r="EK120" s="231"/>
      <c r="EL120" s="231"/>
      <c r="EM120" s="231"/>
      <c r="EN120" s="231"/>
      <c r="EO120" s="231"/>
      <c r="EP120" s="231"/>
      <c r="EQ120" s="231"/>
    </row>
    <row r="121" spans="1:147" ht="22.9" customHeight="1" outlineLevel="2" x14ac:dyDescent="0.2">
      <c r="A121" s="146" t="s">
        <v>602</v>
      </c>
      <c r="B121" s="53" t="s">
        <v>441</v>
      </c>
      <c r="C121" s="50" t="s">
        <v>133</v>
      </c>
      <c r="D121" s="165">
        <v>1</v>
      </c>
      <c r="E121" s="158">
        <v>2</v>
      </c>
      <c r="F121" s="52">
        <f>SUM(H121:DY121)*E121*Table1[[#This Row],[Cycles]]</f>
        <v>0</v>
      </c>
      <c r="G121" s="46">
        <f t="shared" si="43"/>
        <v>0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  <c r="DE121" s="47"/>
      <c r="DF121" s="47"/>
      <c r="DG121" s="47"/>
      <c r="DH121" s="47"/>
      <c r="DI121" s="47"/>
      <c r="DJ121" s="47"/>
      <c r="DK121" s="47"/>
      <c r="DL121" s="47"/>
      <c r="DM121" s="47"/>
      <c r="DN121" s="47"/>
      <c r="DO121" s="47"/>
      <c r="DP121" s="47"/>
      <c r="DQ121" s="47"/>
      <c r="DR121" s="47"/>
      <c r="DS121" s="47"/>
      <c r="DT121" s="47"/>
      <c r="DU121" s="47"/>
      <c r="DV121" s="47"/>
      <c r="DW121" s="47"/>
      <c r="DX121" s="47"/>
      <c r="DY121" s="47"/>
      <c r="DZ121" s="219"/>
      <c r="EA121" s="231"/>
      <c r="EB121" s="231"/>
      <c r="EC121" s="231"/>
      <c r="ED121" s="231"/>
      <c r="EE121" s="231"/>
      <c r="EF121" s="231"/>
      <c r="EG121" s="231"/>
      <c r="EH121" s="231"/>
      <c r="EI121" s="231"/>
      <c r="EJ121" s="231"/>
      <c r="EK121" s="231"/>
      <c r="EL121" s="231"/>
      <c r="EM121" s="231"/>
      <c r="EN121" s="231"/>
      <c r="EO121" s="231"/>
      <c r="EP121" s="231"/>
      <c r="EQ121" s="231"/>
    </row>
    <row r="122" spans="1:147" ht="22.9" customHeight="1" outlineLevel="2" x14ac:dyDescent="0.2">
      <c r="A122" s="146" t="s">
        <v>603</v>
      </c>
      <c r="B122" s="53" t="s">
        <v>53</v>
      </c>
      <c r="C122" s="50" t="s">
        <v>133</v>
      </c>
      <c r="D122" s="165">
        <v>1</v>
      </c>
      <c r="E122" s="158">
        <v>1</v>
      </c>
      <c r="F122" s="52">
        <f>SUM(H122:DY122)*E122*Table1[[#This Row],[Cycles]]</f>
        <v>0</v>
      </c>
      <c r="G122" s="46">
        <f t="shared" si="43"/>
        <v>0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  <c r="DE122" s="47"/>
      <c r="DF122" s="47"/>
      <c r="DG122" s="47"/>
      <c r="DH122" s="47"/>
      <c r="DI122" s="47"/>
      <c r="DJ122" s="47"/>
      <c r="DK122" s="47"/>
      <c r="DL122" s="47"/>
      <c r="DM122" s="47"/>
      <c r="DN122" s="47"/>
      <c r="DO122" s="47"/>
      <c r="DP122" s="47"/>
      <c r="DQ122" s="47"/>
      <c r="DR122" s="47"/>
      <c r="DS122" s="47"/>
      <c r="DT122" s="47"/>
      <c r="DU122" s="47"/>
      <c r="DV122" s="47"/>
      <c r="DW122" s="47"/>
      <c r="DX122" s="47"/>
      <c r="DY122" s="47"/>
      <c r="DZ122" s="219"/>
      <c r="EA122" s="231"/>
      <c r="EB122" s="231"/>
      <c r="EC122" s="231"/>
      <c r="ED122" s="231"/>
      <c r="EE122" s="231"/>
      <c r="EF122" s="231"/>
      <c r="EG122" s="231"/>
      <c r="EH122" s="231"/>
      <c r="EI122" s="231"/>
      <c r="EJ122" s="231"/>
      <c r="EK122" s="231"/>
      <c r="EL122" s="231"/>
      <c r="EM122" s="231"/>
      <c r="EN122" s="231"/>
      <c r="EO122" s="231"/>
      <c r="EP122" s="231"/>
      <c r="EQ122" s="231"/>
    </row>
    <row r="123" spans="1:147" ht="22.9" customHeight="1" outlineLevel="2" x14ac:dyDescent="0.2">
      <c r="A123" s="146" t="s">
        <v>604</v>
      </c>
      <c r="B123" s="53" t="s">
        <v>291</v>
      </c>
      <c r="C123" s="50" t="s">
        <v>133</v>
      </c>
      <c r="D123" s="165">
        <v>1</v>
      </c>
      <c r="E123" s="158">
        <v>2</v>
      </c>
      <c r="F123" s="52">
        <f>SUM(H123:DY123)*E123*Table1[[#This Row],[Cycles]]</f>
        <v>0</v>
      </c>
      <c r="G123" s="46">
        <f t="shared" si="43"/>
        <v>0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  <c r="DE123" s="47"/>
      <c r="DF123" s="47"/>
      <c r="DG123" s="47"/>
      <c r="DH123" s="47"/>
      <c r="DI123" s="47"/>
      <c r="DJ123" s="47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219"/>
      <c r="EA123" s="231"/>
      <c r="EB123" s="231"/>
      <c r="EC123" s="231"/>
      <c r="ED123" s="231"/>
      <c r="EE123" s="231"/>
      <c r="EF123" s="231"/>
      <c r="EG123" s="231"/>
      <c r="EH123" s="231"/>
      <c r="EI123" s="231"/>
      <c r="EJ123" s="231"/>
      <c r="EK123" s="231"/>
      <c r="EL123" s="231"/>
      <c r="EM123" s="231"/>
      <c r="EN123" s="231"/>
      <c r="EO123" s="231"/>
      <c r="EP123" s="231"/>
      <c r="EQ123" s="231"/>
    </row>
    <row r="124" spans="1:147" ht="22.9" customHeight="1" outlineLevel="2" x14ac:dyDescent="0.2">
      <c r="A124" s="146" t="s">
        <v>605</v>
      </c>
      <c r="B124" s="53" t="s">
        <v>54</v>
      </c>
      <c r="C124" s="50" t="s">
        <v>133</v>
      </c>
      <c r="D124" s="165">
        <v>1</v>
      </c>
      <c r="E124" s="158">
        <v>1</v>
      </c>
      <c r="F124" s="52">
        <f>SUM(H124:DY124)*E124*Table1[[#This Row],[Cycles]]</f>
        <v>0</v>
      </c>
      <c r="G124" s="46">
        <f t="shared" si="43"/>
        <v>0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  <c r="DE124" s="47"/>
      <c r="DF124" s="47"/>
      <c r="DG124" s="47"/>
      <c r="DH124" s="47"/>
      <c r="DI124" s="47"/>
      <c r="DJ124" s="47"/>
      <c r="DK124" s="47"/>
      <c r="DL124" s="47"/>
      <c r="DM124" s="47"/>
      <c r="DN124" s="47"/>
      <c r="DO124" s="47"/>
      <c r="DP124" s="47"/>
      <c r="DQ124" s="47"/>
      <c r="DR124" s="47"/>
      <c r="DS124" s="47"/>
      <c r="DT124" s="47"/>
      <c r="DU124" s="47"/>
      <c r="DV124" s="47"/>
      <c r="DW124" s="47"/>
      <c r="DX124" s="47"/>
      <c r="DY124" s="47"/>
      <c r="DZ124" s="219"/>
      <c r="EA124" s="231"/>
      <c r="EB124" s="231"/>
      <c r="EC124" s="231"/>
      <c r="ED124" s="231"/>
      <c r="EE124" s="231"/>
      <c r="EF124" s="231"/>
      <c r="EG124" s="231"/>
      <c r="EH124" s="231"/>
      <c r="EI124" s="231"/>
      <c r="EJ124" s="231"/>
      <c r="EK124" s="231"/>
      <c r="EL124" s="231"/>
      <c r="EM124" s="231"/>
      <c r="EN124" s="231"/>
      <c r="EO124" s="231"/>
      <c r="EP124" s="231"/>
      <c r="EQ124" s="231"/>
    </row>
    <row r="125" spans="1:147" s="40" customFormat="1" ht="22.9" customHeight="1" outlineLevel="1" x14ac:dyDescent="0.2">
      <c r="A125" s="149" t="s">
        <v>606</v>
      </c>
      <c r="B125" s="34" t="s">
        <v>46</v>
      </c>
      <c r="C125" s="30" t="s">
        <v>100</v>
      </c>
      <c r="D125" s="164"/>
      <c r="E125" s="164"/>
      <c r="F125" s="45">
        <f>SUM(F126:F131)</f>
        <v>0</v>
      </c>
      <c r="G125" s="44">
        <f>SUM(G126:G131)</f>
        <v>0</v>
      </c>
      <c r="H125" s="45">
        <f>SUMPRODUCT($D$126:$D$131,$E$126:$E$131,H126:H131)</f>
        <v>0</v>
      </c>
      <c r="I125" s="45">
        <f t="shared" ref="I125:BT125" si="44">SUMPRODUCT($D$126:$D$131,$E$126:$E$131,I126:I131)</f>
        <v>0</v>
      </c>
      <c r="J125" s="45">
        <f t="shared" si="44"/>
        <v>0</v>
      </c>
      <c r="K125" s="45">
        <f t="shared" si="44"/>
        <v>0</v>
      </c>
      <c r="L125" s="45">
        <f t="shared" si="44"/>
        <v>0</v>
      </c>
      <c r="M125" s="45">
        <f t="shared" si="44"/>
        <v>0</v>
      </c>
      <c r="N125" s="45">
        <f t="shared" si="44"/>
        <v>0</v>
      </c>
      <c r="O125" s="45">
        <f t="shared" si="44"/>
        <v>0</v>
      </c>
      <c r="P125" s="45">
        <f t="shared" si="44"/>
        <v>0</v>
      </c>
      <c r="Q125" s="45">
        <f t="shared" si="44"/>
        <v>0</v>
      </c>
      <c r="R125" s="45">
        <f t="shared" si="44"/>
        <v>0</v>
      </c>
      <c r="S125" s="45">
        <f t="shared" si="44"/>
        <v>0</v>
      </c>
      <c r="T125" s="45">
        <f t="shared" si="44"/>
        <v>0</v>
      </c>
      <c r="U125" s="45">
        <f t="shared" si="44"/>
        <v>0</v>
      </c>
      <c r="V125" s="45">
        <f t="shared" si="44"/>
        <v>0</v>
      </c>
      <c r="W125" s="45">
        <f t="shared" si="44"/>
        <v>0</v>
      </c>
      <c r="X125" s="45">
        <f t="shared" si="44"/>
        <v>0</v>
      </c>
      <c r="Y125" s="45">
        <f t="shared" si="44"/>
        <v>0</v>
      </c>
      <c r="Z125" s="45">
        <f t="shared" si="44"/>
        <v>0</v>
      </c>
      <c r="AA125" s="45">
        <f t="shared" si="44"/>
        <v>0</v>
      </c>
      <c r="AB125" s="45">
        <f t="shared" si="44"/>
        <v>0</v>
      </c>
      <c r="AC125" s="45">
        <f t="shared" si="44"/>
        <v>0</v>
      </c>
      <c r="AD125" s="45">
        <f t="shared" si="44"/>
        <v>0</v>
      </c>
      <c r="AE125" s="45">
        <f t="shared" si="44"/>
        <v>0</v>
      </c>
      <c r="AF125" s="45">
        <f t="shared" si="44"/>
        <v>0</v>
      </c>
      <c r="AG125" s="45">
        <f t="shared" si="44"/>
        <v>0</v>
      </c>
      <c r="AH125" s="45">
        <f t="shared" si="44"/>
        <v>0</v>
      </c>
      <c r="AI125" s="45">
        <f t="shared" si="44"/>
        <v>0</v>
      </c>
      <c r="AJ125" s="45">
        <f t="shared" si="44"/>
        <v>0</v>
      </c>
      <c r="AK125" s="45">
        <f t="shared" si="44"/>
        <v>0</v>
      </c>
      <c r="AL125" s="45">
        <f t="shared" si="44"/>
        <v>0</v>
      </c>
      <c r="AM125" s="45">
        <f t="shared" si="44"/>
        <v>0</v>
      </c>
      <c r="AN125" s="45">
        <f t="shared" si="44"/>
        <v>0</v>
      </c>
      <c r="AO125" s="45">
        <f t="shared" si="44"/>
        <v>0</v>
      </c>
      <c r="AP125" s="45">
        <f t="shared" si="44"/>
        <v>0</v>
      </c>
      <c r="AQ125" s="45">
        <f t="shared" si="44"/>
        <v>0</v>
      </c>
      <c r="AR125" s="45">
        <f t="shared" si="44"/>
        <v>0</v>
      </c>
      <c r="AS125" s="45">
        <f t="shared" si="44"/>
        <v>0</v>
      </c>
      <c r="AT125" s="45">
        <f t="shared" si="44"/>
        <v>0</v>
      </c>
      <c r="AU125" s="45">
        <f t="shared" si="44"/>
        <v>0</v>
      </c>
      <c r="AV125" s="45">
        <f t="shared" si="44"/>
        <v>0</v>
      </c>
      <c r="AW125" s="45">
        <f t="shared" si="44"/>
        <v>0</v>
      </c>
      <c r="AX125" s="45">
        <f t="shared" si="44"/>
        <v>0</v>
      </c>
      <c r="AY125" s="45">
        <f t="shared" si="44"/>
        <v>0</v>
      </c>
      <c r="AZ125" s="45">
        <f t="shared" si="44"/>
        <v>0</v>
      </c>
      <c r="BA125" s="45">
        <f t="shared" si="44"/>
        <v>0</v>
      </c>
      <c r="BB125" s="45">
        <f t="shared" si="44"/>
        <v>0</v>
      </c>
      <c r="BC125" s="45">
        <f t="shared" si="44"/>
        <v>0</v>
      </c>
      <c r="BD125" s="45">
        <f t="shared" si="44"/>
        <v>0</v>
      </c>
      <c r="BE125" s="45">
        <f t="shared" si="44"/>
        <v>0</v>
      </c>
      <c r="BF125" s="45">
        <f t="shared" si="44"/>
        <v>0</v>
      </c>
      <c r="BG125" s="45">
        <f t="shared" si="44"/>
        <v>0</v>
      </c>
      <c r="BH125" s="45">
        <f t="shared" si="44"/>
        <v>0</v>
      </c>
      <c r="BI125" s="45">
        <f t="shared" si="44"/>
        <v>0</v>
      </c>
      <c r="BJ125" s="45">
        <f t="shared" si="44"/>
        <v>0</v>
      </c>
      <c r="BK125" s="45">
        <f t="shared" si="44"/>
        <v>0</v>
      </c>
      <c r="BL125" s="45">
        <f t="shared" si="44"/>
        <v>0</v>
      </c>
      <c r="BM125" s="45">
        <f t="shared" si="44"/>
        <v>0</v>
      </c>
      <c r="BN125" s="45">
        <f t="shared" si="44"/>
        <v>0</v>
      </c>
      <c r="BO125" s="45">
        <f t="shared" si="44"/>
        <v>0</v>
      </c>
      <c r="BP125" s="45">
        <f t="shared" si="44"/>
        <v>0</v>
      </c>
      <c r="BQ125" s="45">
        <f t="shared" si="44"/>
        <v>0</v>
      </c>
      <c r="BR125" s="45">
        <f t="shared" si="44"/>
        <v>0</v>
      </c>
      <c r="BS125" s="45">
        <f t="shared" si="44"/>
        <v>0</v>
      </c>
      <c r="BT125" s="45">
        <f t="shared" si="44"/>
        <v>0</v>
      </c>
      <c r="BU125" s="45">
        <f t="shared" ref="BU125:DY125" si="45">SUMPRODUCT($D$126:$D$131,$E$126:$E$131,BU126:BU131)</f>
        <v>0</v>
      </c>
      <c r="BV125" s="45">
        <f t="shared" si="45"/>
        <v>0</v>
      </c>
      <c r="BW125" s="45">
        <f t="shared" si="45"/>
        <v>0</v>
      </c>
      <c r="BX125" s="45">
        <f t="shared" si="45"/>
        <v>0</v>
      </c>
      <c r="BY125" s="45">
        <f t="shared" si="45"/>
        <v>0</v>
      </c>
      <c r="BZ125" s="45">
        <f t="shared" si="45"/>
        <v>0</v>
      </c>
      <c r="CA125" s="45">
        <f t="shared" si="45"/>
        <v>0</v>
      </c>
      <c r="CB125" s="45">
        <f t="shared" si="45"/>
        <v>0</v>
      </c>
      <c r="CC125" s="45">
        <f t="shared" si="45"/>
        <v>0</v>
      </c>
      <c r="CD125" s="45">
        <f t="shared" si="45"/>
        <v>0</v>
      </c>
      <c r="CE125" s="45">
        <f t="shared" si="45"/>
        <v>0</v>
      </c>
      <c r="CF125" s="45">
        <f t="shared" si="45"/>
        <v>0</v>
      </c>
      <c r="CG125" s="45">
        <f t="shared" si="45"/>
        <v>0</v>
      </c>
      <c r="CH125" s="45">
        <f t="shared" si="45"/>
        <v>0</v>
      </c>
      <c r="CI125" s="45">
        <f t="shared" si="45"/>
        <v>0</v>
      </c>
      <c r="CJ125" s="45">
        <f t="shared" si="45"/>
        <v>0</v>
      </c>
      <c r="CK125" s="45">
        <f t="shared" si="45"/>
        <v>0</v>
      </c>
      <c r="CL125" s="45">
        <f t="shared" si="45"/>
        <v>0</v>
      </c>
      <c r="CM125" s="45">
        <f t="shared" si="45"/>
        <v>0</v>
      </c>
      <c r="CN125" s="45">
        <f t="shared" si="45"/>
        <v>0</v>
      </c>
      <c r="CO125" s="45">
        <f t="shared" si="45"/>
        <v>0</v>
      </c>
      <c r="CP125" s="45">
        <f t="shared" si="45"/>
        <v>0</v>
      </c>
      <c r="CQ125" s="45">
        <f t="shared" si="45"/>
        <v>0</v>
      </c>
      <c r="CR125" s="45">
        <f t="shared" si="45"/>
        <v>0</v>
      </c>
      <c r="CS125" s="45">
        <f t="shared" si="45"/>
        <v>0</v>
      </c>
      <c r="CT125" s="45">
        <f t="shared" si="45"/>
        <v>0</v>
      </c>
      <c r="CU125" s="45">
        <f t="shared" si="45"/>
        <v>0</v>
      </c>
      <c r="CV125" s="45">
        <f t="shared" si="45"/>
        <v>0</v>
      </c>
      <c r="CW125" s="45">
        <f t="shared" si="45"/>
        <v>0</v>
      </c>
      <c r="CX125" s="45">
        <f t="shared" si="45"/>
        <v>0</v>
      </c>
      <c r="CY125" s="45">
        <f t="shared" si="45"/>
        <v>0</v>
      </c>
      <c r="CZ125" s="45">
        <f t="shared" si="45"/>
        <v>0</v>
      </c>
      <c r="DA125" s="45">
        <f t="shared" si="45"/>
        <v>0</v>
      </c>
      <c r="DB125" s="45">
        <f t="shared" si="45"/>
        <v>0</v>
      </c>
      <c r="DC125" s="45">
        <f t="shared" si="45"/>
        <v>0</v>
      </c>
      <c r="DD125" s="45">
        <f t="shared" si="45"/>
        <v>0</v>
      </c>
      <c r="DE125" s="45">
        <f t="shared" si="45"/>
        <v>0</v>
      </c>
      <c r="DF125" s="45">
        <f t="shared" si="45"/>
        <v>0</v>
      </c>
      <c r="DG125" s="45">
        <f t="shared" si="45"/>
        <v>0</v>
      </c>
      <c r="DH125" s="45">
        <f t="shared" si="45"/>
        <v>0</v>
      </c>
      <c r="DI125" s="45">
        <f t="shared" si="45"/>
        <v>0</v>
      </c>
      <c r="DJ125" s="45">
        <f t="shared" si="45"/>
        <v>0</v>
      </c>
      <c r="DK125" s="45">
        <f t="shared" si="45"/>
        <v>0</v>
      </c>
      <c r="DL125" s="45">
        <f t="shared" si="45"/>
        <v>0</v>
      </c>
      <c r="DM125" s="45">
        <f t="shared" si="45"/>
        <v>0</v>
      </c>
      <c r="DN125" s="45">
        <f t="shared" si="45"/>
        <v>0</v>
      </c>
      <c r="DO125" s="45">
        <f t="shared" si="45"/>
        <v>0</v>
      </c>
      <c r="DP125" s="45">
        <f t="shared" si="45"/>
        <v>0</v>
      </c>
      <c r="DQ125" s="45">
        <f t="shared" si="45"/>
        <v>0</v>
      </c>
      <c r="DR125" s="45">
        <f t="shared" si="45"/>
        <v>0</v>
      </c>
      <c r="DS125" s="45">
        <f t="shared" si="45"/>
        <v>0</v>
      </c>
      <c r="DT125" s="45">
        <f t="shared" si="45"/>
        <v>0</v>
      </c>
      <c r="DU125" s="45">
        <f t="shared" si="45"/>
        <v>0</v>
      </c>
      <c r="DV125" s="45">
        <f t="shared" si="45"/>
        <v>0</v>
      </c>
      <c r="DW125" s="45">
        <f t="shared" si="45"/>
        <v>0</v>
      </c>
      <c r="DX125" s="45">
        <f t="shared" si="45"/>
        <v>0</v>
      </c>
      <c r="DY125" s="45">
        <f t="shared" si="45"/>
        <v>0</v>
      </c>
      <c r="DZ125" s="218"/>
      <c r="EA125" s="231"/>
      <c r="EB125" s="231"/>
      <c r="EC125" s="231"/>
      <c r="ED125" s="231"/>
      <c r="EE125" s="231"/>
      <c r="EF125" s="231"/>
      <c r="EG125" s="231"/>
      <c r="EH125" s="231"/>
      <c r="EI125" s="231"/>
      <c r="EJ125" s="231"/>
      <c r="EK125" s="231"/>
      <c r="EL125" s="231"/>
      <c r="EM125" s="231"/>
      <c r="EN125" s="231"/>
      <c r="EO125" s="231"/>
      <c r="EP125" s="231"/>
      <c r="EQ125" s="231"/>
    </row>
    <row r="126" spans="1:147" ht="22.9" customHeight="1" outlineLevel="2" x14ac:dyDescent="0.2">
      <c r="A126" s="146" t="s">
        <v>607</v>
      </c>
      <c r="B126" s="53" t="s">
        <v>491</v>
      </c>
      <c r="C126" s="50" t="s">
        <v>133</v>
      </c>
      <c r="D126" s="165">
        <v>1</v>
      </c>
      <c r="E126" s="158">
        <v>1</v>
      </c>
      <c r="F126" s="52">
        <f>SUM(H126:DY126)*E126*Table1[[#This Row],[Cycles]]</f>
        <v>0</v>
      </c>
      <c r="G126" s="46">
        <f t="shared" ref="G126:G131" si="46">SUMPRODUCT($H$2:$DY$2,$H126:$DY126)*E126*D126</f>
        <v>0</v>
      </c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  <c r="BS126" s="47"/>
      <c r="BT126" s="47"/>
      <c r="BU126" s="47"/>
      <c r="BV126" s="47"/>
      <c r="BW126" s="47"/>
      <c r="BX126" s="47"/>
      <c r="BY126" s="47"/>
      <c r="BZ126" s="47"/>
      <c r="CA126" s="47"/>
      <c r="CB126" s="47"/>
      <c r="CC126" s="47"/>
      <c r="CD126" s="47"/>
      <c r="CE126" s="47"/>
      <c r="CF126" s="47"/>
      <c r="CG126" s="47"/>
      <c r="CH126" s="47"/>
      <c r="CI126" s="47"/>
      <c r="CJ126" s="47"/>
      <c r="CK126" s="47"/>
      <c r="CL126" s="47"/>
      <c r="CM126" s="47"/>
      <c r="CN126" s="47"/>
      <c r="CO126" s="47"/>
      <c r="CP126" s="47"/>
      <c r="CQ126" s="47"/>
      <c r="CR126" s="47"/>
      <c r="CS126" s="47"/>
      <c r="CT126" s="47"/>
      <c r="CU126" s="47"/>
      <c r="CV126" s="47"/>
      <c r="CW126" s="47"/>
      <c r="CX126" s="47"/>
      <c r="CY126" s="47"/>
      <c r="CZ126" s="47"/>
      <c r="DA126" s="47"/>
      <c r="DB126" s="47"/>
      <c r="DC126" s="47"/>
      <c r="DD126" s="47"/>
      <c r="DE126" s="47"/>
      <c r="DF126" s="47"/>
      <c r="DG126" s="47"/>
      <c r="DH126" s="47"/>
      <c r="DI126" s="47"/>
      <c r="DJ126" s="47"/>
      <c r="DK126" s="47"/>
      <c r="DL126" s="47"/>
      <c r="DM126" s="47"/>
      <c r="DN126" s="47"/>
      <c r="DO126" s="47"/>
      <c r="DP126" s="47"/>
      <c r="DQ126" s="47"/>
      <c r="DR126" s="47"/>
      <c r="DS126" s="47"/>
      <c r="DT126" s="47"/>
      <c r="DU126" s="47"/>
      <c r="DV126" s="47"/>
      <c r="DW126" s="47"/>
      <c r="DX126" s="47"/>
      <c r="DY126" s="47"/>
      <c r="DZ126" s="219"/>
      <c r="EA126" s="231"/>
      <c r="EB126" s="231"/>
      <c r="EC126" s="231"/>
      <c r="ED126" s="231"/>
      <c r="EE126" s="231"/>
      <c r="EF126" s="231"/>
      <c r="EG126" s="231"/>
      <c r="EH126" s="231"/>
      <c r="EI126" s="231"/>
      <c r="EJ126" s="231"/>
      <c r="EK126" s="231"/>
      <c r="EL126" s="231"/>
      <c r="EM126" s="231"/>
      <c r="EN126" s="231"/>
      <c r="EO126" s="231"/>
      <c r="EP126" s="231"/>
      <c r="EQ126" s="231"/>
    </row>
    <row r="127" spans="1:147" ht="22.9" customHeight="1" outlineLevel="2" x14ac:dyDescent="0.2">
      <c r="A127" s="146" t="s">
        <v>608</v>
      </c>
      <c r="B127" s="53" t="s">
        <v>47</v>
      </c>
      <c r="C127" s="50" t="s">
        <v>133</v>
      </c>
      <c r="D127" s="165">
        <v>1</v>
      </c>
      <c r="E127" s="158">
        <v>1</v>
      </c>
      <c r="F127" s="52">
        <f>SUM(H127:DY127)*E127*Table1[[#This Row],[Cycles]]</f>
        <v>0</v>
      </c>
      <c r="G127" s="46">
        <f t="shared" si="46"/>
        <v>0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  <c r="DE127" s="47"/>
      <c r="DF127" s="47"/>
      <c r="DG127" s="47"/>
      <c r="DH127" s="47"/>
      <c r="DI127" s="47"/>
      <c r="DJ127" s="47"/>
      <c r="DK127" s="47"/>
      <c r="DL127" s="47"/>
      <c r="DM127" s="47"/>
      <c r="DN127" s="47"/>
      <c r="DO127" s="47"/>
      <c r="DP127" s="47"/>
      <c r="DQ127" s="47"/>
      <c r="DR127" s="47"/>
      <c r="DS127" s="47"/>
      <c r="DT127" s="47"/>
      <c r="DU127" s="47"/>
      <c r="DV127" s="47"/>
      <c r="DW127" s="47"/>
      <c r="DX127" s="47"/>
      <c r="DY127" s="47"/>
      <c r="DZ127" s="219"/>
      <c r="EA127" s="231"/>
      <c r="EB127" s="231"/>
      <c r="EC127" s="231"/>
      <c r="ED127" s="231"/>
      <c r="EE127" s="231"/>
      <c r="EF127" s="231"/>
      <c r="EG127" s="231"/>
      <c r="EH127" s="231"/>
      <c r="EI127" s="231"/>
      <c r="EJ127" s="231"/>
      <c r="EK127" s="231"/>
      <c r="EL127" s="231"/>
      <c r="EM127" s="231"/>
      <c r="EN127" s="231"/>
      <c r="EO127" s="231"/>
      <c r="EP127" s="231"/>
      <c r="EQ127" s="231"/>
    </row>
    <row r="128" spans="1:147" ht="22.9" customHeight="1" outlineLevel="2" x14ac:dyDescent="0.2">
      <c r="A128" s="146" t="s">
        <v>609</v>
      </c>
      <c r="B128" s="53" t="s">
        <v>274</v>
      </c>
      <c r="C128" s="50" t="s">
        <v>133</v>
      </c>
      <c r="D128" s="165">
        <v>1</v>
      </c>
      <c r="E128" s="158">
        <v>1</v>
      </c>
      <c r="F128" s="52">
        <f>SUM(H128:DY128)*E128*Table1[[#This Row],[Cycles]]</f>
        <v>0</v>
      </c>
      <c r="G128" s="46">
        <f t="shared" si="46"/>
        <v>0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  <c r="DE128" s="47"/>
      <c r="DF128" s="47"/>
      <c r="DG128" s="47"/>
      <c r="DH128" s="47"/>
      <c r="DI128" s="47"/>
      <c r="DJ128" s="47"/>
      <c r="DK128" s="47"/>
      <c r="DL128" s="47"/>
      <c r="DM128" s="47"/>
      <c r="DN128" s="47"/>
      <c r="DO128" s="47"/>
      <c r="DP128" s="47"/>
      <c r="DQ128" s="47"/>
      <c r="DR128" s="47"/>
      <c r="DS128" s="47"/>
      <c r="DT128" s="47"/>
      <c r="DU128" s="47"/>
      <c r="DV128" s="47"/>
      <c r="DW128" s="47"/>
      <c r="DX128" s="47"/>
      <c r="DY128" s="47"/>
      <c r="DZ128" s="219"/>
      <c r="EA128" s="231"/>
      <c r="EB128" s="231"/>
      <c r="EC128" s="231"/>
      <c r="ED128" s="231"/>
      <c r="EE128" s="231"/>
      <c r="EF128" s="231"/>
      <c r="EG128" s="231"/>
      <c r="EH128" s="231"/>
      <c r="EI128" s="231"/>
      <c r="EJ128" s="231"/>
      <c r="EK128" s="231"/>
      <c r="EL128" s="231"/>
      <c r="EM128" s="231"/>
      <c r="EN128" s="231"/>
      <c r="EO128" s="231"/>
      <c r="EP128" s="231"/>
      <c r="EQ128" s="231"/>
    </row>
    <row r="129" spans="1:147" ht="22.9" customHeight="1" outlineLevel="2" x14ac:dyDescent="0.2">
      <c r="A129" s="146" t="s">
        <v>610</v>
      </c>
      <c r="B129" s="53" t="s">
        <v>48</v>
      </c>
      <c r="C129" s="50" t="s">
        <v>133</v>
      </c>
      <c r="D129" s="165">
        <v>1</v>
      </c>
      <c r="E129" s="158">
        <v>1</v>
      </c>
      <c r="F129" s="52">
        <f>SUM(H129:DY129)*E129*Table1[[#This Row],[Cycles]]</f>
        <v>0</v>
      </c>
      <c r="G129" s="46">
        <f t="shared" si="46"/>
        <v>0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  <c r="DE129" s="47"/>
      <c r="DF129" s="47"/>
      <c r="DG129" s="47"/>
      <c r="DH129" s="47"/>
      <c r="DI129" s="47"/>
      <c r="DJ129" s="47"/>
      <c r="DK129" s="47"/>
      <c r="DL129" s="47"/>
      <c r="DM129" s="47"/>
      <c r="DN129" s="47"/>
      <c r="DO129" s="47"/>
      <c r="DP129" s="47"/>
      <c r="DQ129" s="47"/>
      <c r="DR129" s="47"/>
      <c r="DS129" s="47"/>
      <c r="DT129" s="47"/>
      <c r="DU129" s="47"/>
      <c r="DV129" s="47"/>
      <c r="DW129" s="47"/>
      <c r="DX129" s="47"/>
      <c r="DY129" s="47"/>
      <c r="DZ129" s="219"/>
      <c r="EA129" s="231"/>
      <c r="EB129" s="231"/>
      <c r="EC129" s="231"/>
      <c r="ED129" s="231"/>
      <c r="EE129" s="231"/>
      <c r="EF129" s="231"/>
      <c r="EG129" s="231"/>
      <c r="EH129" s="231"/>
      <c r="EI129" s="231"/>
      <c r="EJ129" s="231"/>
      <c r="EK129" s="231"/>
      <c r="EL129" s="231"/>
      <c r="EM129" s="231"/>
      <c r="EN129" s="231"/>
      <c r="EO129" s="231"/>
      <c r="EP129" s="231"/>
      <c r="EQ129" s="231"/>
    </row>
    <row r="130" spans="1:147" ht="22.9" customHeight="1" outlineLevel="2" x14ac:dyDescent="0.2">
      <c r="A130" s="146" t="s">
        <v>611</v>
      </c>
      <c r="B130" s="53" t="s">
        <v>49</v>
      </c>
      <c r="C130" s="50" t="s">
        <v>133</v>
      </c>
      <c r="D130" s="165">
        <v>1</v>
      </c>
      <c r="E130" s="158">
        <v>1</v>
      </c>
      <c r="F130" s="52">
        <f>SUM(H130:DY130)*E130*Table1[[#This Row],[Cycles]]</f>
        <v>0</v>
      </c>
      <c r="G130" s="46">
        <f t="shared" si="46"/>
        <v>0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7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  <c r="DE130" s="47"/>
      <c r="DF130" s="47"/>
      <c r="DG130" s="47"/>
      <c r="DH130" s="47"/>
      <c r="DI130" s="47"/>
      <c r="DJ130" s="47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219"/>
      <c r="EA130" s="231"/>
      <c r="EB130" s="231"/>
      <c r="EC130" s="231"/>
      <c r="ED130" s="231"/>
      <c r="EE130" s="231"/>
      <c r="EF130" s="231"/>
      <c r="EG130" s="231"/>
      <c r="EH130" s="231"/>
      <c r="EI130" s="231"/>
      <c r="EJ130" s="231"/>
      <c r="EK130" s="231"/>
      <c r="EL130" s="231"/>
      <c r="EM130" s="231"/>
      <c r="EN130" s="231"/>
      <c r="EO130" s="231"/>
      <c r="EP130" s="231"/>
      <c r="EQ130" s="231"/>
    </row>
    <row r="131" spans="1:147" ht="22.9" customHeight="1" outlineLevel="2" x14ac:dyDescent="0.2">
      <c r="A131" s="146" t="s">
        <v>612</v>
      </c>
      <c r="B131" s="53" t="s">
        <v>50</v>
      </c>
      <c r="C131" s="50" t="s">
        <v>133</v>
      </c>
      <c r="D131" s="165">
        <v>1</v>
      </c>
      <c r="E131" s="158">
        <v>1</v>
      </c>
      <c r="F131" s="52">
        <f>SUM(H131:DY131)*E131*Table1[[#This Row],[Cycles]]</f>
        <v>0</v>
      </c>
      <c r="G131" s="46">
        <f t="shared" si="46"/>
        <v>0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47"/>
      <c r="BT131" s="47"/>
      <c r="BU131" s="47"/>
      <c r="BV131" s="47"/>
      <c r="BW131" s="47"/>
      <c r="BX131" s="47"/>
      <c r="BY131" s="47"/>
      <c r="BZ131" s="47"/>
      <c r="CA131" s="47"/>
      <c r="CB131" s="47"/>
      <c r="CC131" s="47"/>
      <c r="CD131" s="47"/>
      <c r="CE131" s="47"/>
      <c r="CF131" s="47"/>
      <c r="CG131" s="47"/>
      <c r="CH131" s="47"/>
      <c r="CI131" s="47"/>
      <c r="CJ131" s="47"/>
      <c r="CK131" s="47"/>
      <c r="CL131" s="47"/>
      <c r="CM131" s="47"/>
      <c r="CN131" s="47"/>
      <c r="CO131" s="47"/>
      <c r="CP131" s="47"/>
      <c r="CQ131" s="47"/>
      <c r="CR131" s="47"/>
      <c r="CS131" s="47"/>
      <c r="CT131" s="47"/>
      <c r="CU131" s="47"/>
      <c r="CV131" s="47"/>
      <c r="CW131" s="47"/>
      <c r="CX131" s="47"/>
      <c r="CY131" s="47"/>
      <c r="CZ131" s="47"/>
      <c r="DA131" s="47"/>
      <c r="DB131" s="47"/>
      <c r="DC131" s="47"/>
      <c r="DD131" s="47"/>
      <c r="DE131" s="47"/>
      <c r="DF131" s="47"/>
      <c r="DG131" s="47"/>
      <c r="DH131" s="47"/>
      <c r="DI131" s="47"/>
      <c r="DJ131" s="47"/>
      <c r="DK131" s="47"/>
      <c r="DL131" s="47"/>
      <c r="DM131" s="47"/>
      <c r="DN131" s="47"/>
      <c r="DO131" s="47"/>
      <c r="DP131" s="47"/>
      <c r="DQ131" s="47"/>
      <c r="DR131" s="47"/>
      <c r="DS131" s="47"/>
      <c r="DT131" s="47"/>
      <c r="DU131" s="47"/>
      <c r="DV131" s="47"/>
      <c r="DW131" s="47"/>
      <c r="DX131" s="47"/>
      <c r="DY131" s="47"/>
      <c r="DZ131" s="219"/>
      <c r="EA131" s="231"/>
      <c r="EB131" s="231"/>
      <c r="EC131" s="231"/>
      <c r="ED131" s="231"/>
      <c r="EE131" s="231"/>
      <c r="EF131" s="231"/>
      <c r="EG131" s="231"/>
      <c r="EH131" s="231"/>
      <c r="EI131" s="231"/>
      <c r="EJ131" s="231"/>
      <c r="EK131" s="231"/>
      <c r="EL131" s="231"/>
      <c r="EM131" s="231"/>
      <c r="EN131" s="231"/>
      <c r="EO131" s="231"/>
      <c r="EP131" s="231"/>
      <c r="EQ131" s="231"/>
    </row>
    <row r="132" spans="1:147" s="40" customFormat="1" ht="22.9" customHeight="1" x14ac:dyDescent="0.2">
      <c r="A132" s="148" t="s">
        <v>613</v>
      </c>
      <c r="B132" s="48" t="s">
        <v>213</v>
      </c>
      <c r="C132" s="33"/>
      <c r="D132" s="163"/>
      <c r="E132" s="163"/>
      <c r="F132" s="31" cm="1">
        <f t="array" ref="F132">SumByColor(F133:F205,REFERENCE!$G$2)</f>
        <v>0</v>
      </c>
      <c r="G132" s="31" cm="1">
        <f t="array" ref="G132">SumByColor(G133:G205,REFERENCE!$G$2)</f>
        <v>0</v>
      </c>
      <c r="H132" s="31" cm="1">
        <f t="array" ref="H132">SumByColor(H133:H205,REFERENCE!$G$2)</f>
        <v>0</v>
      </c>
      <c r="I132" s="31" cm="1">
        <f t="array" ref="I132">SumByColor(I133:I205,REFERENCE!$G$2)</f>
        <v>0</v>
      </c>
      <c r="J132" s="31" cm="1">
        <f t="array" ref="J132">SumByColor(J133:J205,REFERENCE!$G$2)</f>
        <v>0</v>
      </c>
      <c r="K132" s="31" cm="1">
        <f t="array" ref="K132">SumByColor(K133:K205,REFERENCE!$G$2)</f>
        <v>0</v>
      </c>
      <c r="L132" s="31" cm="1">
        <f t="array" ref="L132">SumByColor(L133:L205,REFERENCE!$G$2)</f>
        <v>0</v>
      </c>
      <c r="M132" s="31" cm="1">
        <f t="array" ref="M132">SumByColor(M133:M205,REFERENCE!$G$2)</f>
        <v>0</v>
      </c>
      <c r="N132" s="31" cm="1">
        <f t="array" ref="N132">SumByColor(N133:N205,REFERENCE!$G$2)</f>
        <v>0</v>
      </c>
      <c r="O132" s="31" cm="1">
        <f t="array" ref="O132">SumByColor(O133:O205,REFERENCE!$G$2)</f>
        <v>0</v>
      </c>
      <c r="P132" s="31" cm="1">
        <f t="array" ref="P132">SumByColor(P133:P205,REFERENCE!$G$2)</f>
        <v>0</v>
      </c>
      <c r="Q132" s="31" cm="1">
        <f t="array" ref="Q132">SumByColor(Q133:Q205,REFERENCE!$G$2)</f>
        <v>0</v>
      </c>
      <c r="R132" s="31" cm="1">
        <f t="array" ref="R132">SumByColor(R133:R205,REFERENCE!$G$2)</f>
        <v>0</v>
      </c>
      <c r="S132" s="31" cm="1">
        <f t="array" ref="S132">SumByColor(S133:S205,REFERENCE!$G$2)</f>
        <v>0</v>
      </c>
      <c r="T132" s="31" cm="1">
        <f t="array" ref="T132">SumByColor(T133:T205,REFERENCE!$G$2)</f>
        <v>0</v>
      </c>
      <c r="U132" s="31" cm="1">
        <f t="array" ref="U132">SumByColor(U133:U205,REFERENCE!$G$2)</f>
        <v>0</v>
      </c>
      <c r="V132" s="31" cm="1">
        <f t="array" ref="V132">SumByColor(V133:V205,REFERENCE!$G$2)</f>
        <v>0</v>
      </c>
      <c r="W132" s="31" cm="1">
        <f t="array" ref="W132">SumByColor(W133:W205,REFERENCE!$G$2)</f>
        <v>0</v>
      </c>
      <c r="X132" s="31" cm="1">
        <f t="array" ref="X132">SumByColor(X133:X205,REFERENCE!$G$2)</f>
        <v>0</v>
      </c>
      <c r="Y132" s="31" cm="1">
        <f t="array" ref="Y132">SumByColor(Y133:Y205,REFERENCE!$G$2)</f>
        <v>0</v>
      </c>
      <c r="Z132" s="31" cm="1">
        <f t="array" ref="Z132">SumByColor(Z133:Z205,REFERENCE!$G$2)</f>
        <v>0</v>
      </c>
      <c r="AA132" s="31" cm="1">
        <f t="array" ref="AA132">SumByColor(AA133:AA205,REFERENCE!$G$2)</f>
        <v>0</v>
      </c>
      <c r="AB132" s="31" cm="1">
        <f t="array" ref="AB132">SumByColor(AB133:AB205,REFERENCE!$G$2)</f>
        <v>0</v>
      </c>
      <c r="AC132" s="31" cm="1">
        <f t="array" ref="AC132">SumByColor(AC133:AC205,REFERENCE!$G$2)</f>
        <v>0</v>
      </c>
      <c r="AD132" s="31" cm="1">
        <f t="array" ref="AD132">SumByColor(AD133:AD205,REFERENCE!$G$2)</f>
        <v>0</v>
      </c>
      <c r="AE132" s="31" cm="1">
        <f t="array" ref="AE132">SumByColor(AE133:AE205,REFERENCE!$G$2)</f>
        <v>0</v>
      </c>
      <c r="AF132" s="31" cm="1">
        <f t="array" ref="AF132">SumByColor(AF133:AF205,REFERENCE!$G$2)</f>
        <v>0</v>
      </c>
      <c r="AG132" s="31" cm="1">
        <f t="array" ref="AG132">SumByColor(AG133:AG205,REFERENCE!$G$2)</f>
        <v>0</v>
      </c>
      <c r="AH132" s="31" cm="1">
        <f t="array" ref="AH132">SumByColor(AH133:AH205,REFERENCE!$G$2)</f>
        <v>0</v>
      </c>
      <c r="AI132" s="31" cm="1">
        <f t="array" ref="AI132">SumByColor(AI133:AI205,REFERENCE!$G$2)</f>
        <v>0</v>
      </c>
      <c r="AJ132" s="31" cm="1">
        <f t="array" ref="AJ132">SumByColor(AJ133:AJ205,REFERENCE!$G$2)</f>
        <v>0</v>
      </c>
      <c r="AK132" s="31" cm="1">
        <f t="array" ref="AK132">SumByColor(AK133:AK205,REFERENCE!$G$2)</f>
        <v>0</v>
      </c>
      <c r="AL132" s="31" cm="1">
        <f t="array" ref="AL132">SumByColor(AL133:AL205,REFERENCE!$G$2)</f>
        <v>0</v>
      </c>
      <c r="AM132" s="31" cm="1">
        <f t="array" ref="AM132">SumByColor(AM133:AM205,REFERENCE!$G$2)</f>
        <v>0</v>
      </c>
      <c r="AN132" s="31" cm="1">
        <f t="array" ref="AN132">SumByColor(AN133:AN205,REFERENCE!$G$2)</f>
        <v>0</v>
      </c>
      <c r="AO132" s="31" cm="1">
        <f t="array" ref="AO132">SumByColor(AO133:AO205,REFERENCE!$G$2)</f>
        <v>0</v>
      </c>
      <c r="AP132" s="31" cm="1">
        <f t="array" ref="AP132">SumByColor(AP133:AP205,REFERENCE!$G$2)</f>
        <v>0</v>
      </c>
      <c r="AQ132" s="31" cm="1">
        <f t="array" ref="AQ132">SumByColor(AQ133:AQ205,REFERENCE!$G$2)</f>
        <v>0</v>
      </c>
      <c r="AR132" s="31" cm="1">
        <f t="array" ref="AR132">SumByColor(AR133:AR205,REFERENCE!$G$2)</f>
        <v>0</v>
      </c>
      <c r="AS132" s="31" cm="1">
        <f t="array" ref="AS132">SumByColor(AS133:AS205,REFERENCE!$G$2)</f>
        <v>0</v>
      </c>
      <c r="AT132" s="31" cm="1">
        <f t="array" ref="AT132">SumByColor(AT133:AT205,REFERENCE!$G$2)</f>
        <v>0</v>
      </c>
      <c r="AU132" s="31" cm="1">
        <f t="array" ref="AU132">SumByColor(AU133:AU205,REFERENCE!$G$2)</f>
        <v>0</v>
      </c>
      <c r="AV132" s="31" cm="1">
        <f t="array" ref="AV132">SumByColor(AV133:AV205,REFERENCE!$G$2)</f>
        <v>0</v>
      </c>
      <c r="AW132" s="31" cm="1">
        <f t="array" ref="AW132">SumByColor(AW133:AW205,REFERENCE!$G$2)</f>
        <v>0</v>
      </c>
      <c r="AX132" s="31" cm="1">
        <f t="array" ref="AX132">SumByColor(AX133:AX205,REFERENCE!$G$2)</f>
        <v>0</v>
      </c>
      <c r="AY132" s="31" cm="1">
        <f t="array" ref="AY132">SumByColor(AY133:AY205,REFERENCE!$G$2)</f>
        <v>0</v>
      </c>
      <c r="AZ132" s="31" cm="1">
        <f t="array" ref="AZ132">SumByColor(AZ133:AZ205,REFERENCE!$G$2)</f>
        <v>0</v>
      </c>
      <c r="BA132" s="31" cm="1">
        <f t="array" ref="BA132">SumByColor(BA133:BA205,REFERENCE!$G$2)</f>
        <v>0</v>
      </c>
      <c r="BB132" s="31" cm="1">
        <f t="array" ref="BB132">SumByColor(BB133:BB205,REFERENCE!$G$2)</f>
        <v>0</v>
      </c>
      <c r="BC132" s="31" cm="1">
        <f t="array" ref="BC132">SumByColor(BC133:BC205,REFERENCE!$G$2)</f>
        <v>0</v>
      </c>
      <c r="BD132" s="31" cm="1">
        <f t="array" ref="BD132">SumByColor(BD133:BD205,REFERENCE!$G$2)</f>
        <v>0</v>
      </c>
      <c r="BE132" s="31" cm="1">
        <f t="array" ref="BE132">SumByColor(BE133:BE205,REFERENCE!$G$2)</f>
        <v>0</v>
      </c>
      <c r="BF132" s="31" cm="1">
        <f t="array" ref="BF132">SumByColor(BF133:BF205,REFERENCE!$G$2)</f>
        <v>0</v>
      </c>
      <c r="BG132" s="31" cm="1">
        <f t="array" ref="BG132">SumByColor(BG133:BG205,REFERENCE!$G$2)</f>
        <v>0</v>
      </c>
      <c r="BH132" s="31" cm="1">
        <f t="array" ref="BH132">SumByColor(BH133:BH205,REFERENCE!$G$2)</f>
        <v>0</v>
      </c>
      <c r="BI132" s="31" cm="1">
        <f t="array" ref="BI132">SumByColor(BI133:BI205,REFERENCE!$G$2)</f>
        <v>0</v>
      </c>
      <c r="BJ132" s="31" cm="1">
        <f t="array" ref="BJ132">SumByColor(BJ133:BJ205,REFERENCE!$G$2)</f>
        <v>0</v>
      </c>
      <c r="BK132" s="31" cm="1">
        <f t="array" ref="BK132">SumByColor(BK133:BK205,REFERENCE!$G$2)</f>
        <v>0</v>
      </c>
      <c r="BL132" s="31" cm="1">
        <f t="array" ref="BL132">SumByColor(BL133:BL205,REFERENCE!$G$2)</f>
        <v>0</v>
      </c>
      <c r="BM132" s="31" cm="1">
        <f t="array" ref="BM132">SumByColor(BM133:BM205,REFERENCE!$G$2)</f>
        <v>0</v>
      </c>
      <c r="BN132" s="31" cm="1">
        <f t="array" ref="BN132">SumByColor(BN133:BN205,REFERENCE!$G$2)</f>
        <v>0</v>
      </c>
      <c r="BO132" s="31" cm="1">
        <f t="array" ref="BO132">SumByColor(BO133:BO205,REFERENCE!$G$2)</f>
        <v>0</v>
      </c>
      <c r="BP132" s="31" cm="1">
        <f t="array" ref="BP132">SumByColor(BP133:BP205,REFERENCE!$G$2)</f>
        <v>0</v>
      </c>
      <c r="BQ132" s="31" cm="1">
        <f t="array" ref="BQ132">SumByColor(BQ133:BQ205,REFERENCE!$G$2)</f>
        <v>0</v>
      </c>
      <c r="BR132" s="31" cm="1">
        <f t="array" ref="BR132">SumByColor(BR133:BR205,REFERENCE!$G$2)</f>
        <v>0</v>
      </c>
      <c r="BS132" s="31" cm="1">
        <f t="array" ref="BS132">SumByColor(BS133:BS205,REFERENCE!$G$2)</f>
        <v>0</v>
      </c>
      <c r="BT132" s="31" cm="1">
        <f t="array" ref="BT132">SumByColor(BT133:BT205,REFERENCE!$G$2)</f>
        <v>0</v>
      </c>
      <c r="BU132" s="31" cm="1">
        <f t="array" ref="BU132">SumByColor(BU133:BU205,REFERENCE!$G$2)</f>
        <v>0</v>
      </c>
      <c r="BV132" s="31" cm="1">
        <f t="array" ref="BV132">SumByColor(BV133:BV205,REFERENCE!$G$2)</f>
        <v>0</v>
      </c>
      <c r="BW132" s="31" cm="1">
        <f t="array" ref="BW132">SumByColor(BW133:BW205,REFERENCE!$G$2)</f>
        <v>0</v>
      </c>
      <c r="BX132" s="31" cm="1">
        <f t="array" ref="BX132">SumByColor(BX133:BX205,REFERENCE!$G$2)</f>
        <v>0</v>
      </c>
      <c r="BY132" s="31" cm="1">
        <f t="array" ref="BY132">SumByColor(BY133:BY205,REFERENCE!$G$2)</f>
        <v>0</v>
      </c>
      <c r="BZ132" s="31" cm="1">
        <f t="array" ref="BZ132">SumByColor(BZ133:BZ205,REFERENCE!$G$2)</f>
        <v>0</v>
      </c>
      <c r="CA132" s="31" cm="1">
        <f t="array" ref="CA132">SumByColor(CA133:CA205,REFERENCE!$G$2)</f>
        <v>0</v>
      </c>
      <c r="CB132" s="31" cm="1">
        <f t="array" ref="CB132">SumByColor(CB133:CB205,REFERENCE!$G$2)</f>
        <v>0</v>
      </c>
      <c r="CC132" s="31" cm="1">
        <f t="array" ref="CC132">SumByColor(CC133:CC205,REFERENCE!$G$2)</f>
        <v>0</v>
      </c>
      <c r="CD132" s="31" cm="1">
        <f t="array" ref="CD132">SumByColor(CD133:CD205,REFERENCE!$G$2)</f>
        <v>0</v>
      </c>
      <c r="CE132" s="31" cm="1">
        <f t="array" ref="CE132">SumByColor(CE133:CE205,REFERENCE!$G$2)</f>
        <v>0</v>
      </c>
      <c r="CF132" s="31" cm="1">
        <f t="array" ref="CF132">SumByColor(CF133:CF205,REFERENCE!$G$2)</f>
        <v>0</v>
      </c>
      <c r="CG132" s="31" cm="1">
        <f t="array" ref="CG132">SumByColor(CG133:CG205,REFERENCE!$G$2)</f>
        <v>0</v>
      </c>
      <c r="CH132" s="31" cm="1">
        <f t="array" ref="CH132">SumByColor(CH133:CH205,REFERENCE!$G$2)</f>
        <v>0</v>
      </c>
      <c r="CI132" s="31" cm="1">
        <f t="array" ref="CI132">SumByColor(CI133:CI205,REFERENCE!$G$2)</f>
        <v>0</v>
      </c>
      <c r="CJ132" s="31" cm="1">
        <f t="array" ref="CJ132">SumByColor(CJ133:CJ205,REFERENCE!$G$2)</f>
        <v>0</v>
      </c>
      <c r="CK132" s="31" cm="1">
        <f t="array" ref="CK132">SumByColor(CK133:CK205,REFERENCE!$G$2)</f>
        <v>0</v>
      </c>
      <c r="CL132" s="31" cm="1">
        <f t="array" ref="CL132">SumByColor(CL133:CL205,REFERENCE!$G$2)</f>
        <v>0</v>
      </c>
      <c r="CM132" s="31" cm="1">
        <f t="array" ref="CM132">SumByColor(CM133:CM205,REFERENCE!$G$2)</f>
        <v>0</v>
      </c>
      <c r="CN132" s="31" cm="1">
        <f t="array" ref="CN132">SumByColor(CN133:CN205,REFERENCE!$G$2)</f>
        <v>0</v>
      </c>
      <c r="CO132" s="31" cm="1">
        <f t="array" ref="CO132">SumByColor(CO133:CO205,REFERENCE!$G$2)</f>
        <v>0</v>
      </c>
      <c r="CP132" s="31" cm="1">
        <f t="array" ref="CP132">SumByColor(CP133:CP205,REFERENCE!$G$2)</f>
        <v>0</v>
      </c>
      <c r="CQ132" s="31" cm="1">
        <f t="array" ref="CQ132">SumByColor(CQ133:CQ205,REFERENCE!$G$2)</f>
        <v>0</v>
      </c>
      <c r="CR132" s="31" cm="1">
        <f t="array" ref="CR132">SumByColor(CR133:CR205,REFERENCE!$G$2)</f>
        <v>0</v>
      </c>
      <c r="CS132" s="31" cm="1">
        <f t="array" ref="CS132">SumByColor(CS133:CS205,REFERENCE!$G$2)</f>
        <v>0</v>
      </c>
      <c r="CT132" s="31" cm="1">
        <f t="array" ref="CT132">SumByColor(CT133:CT205,REFERENCE!$G$2)</f>
        <v>0</v>
      </c>
      <c r="CU132" s="31" cm="1">
        <f t="array" ref="CU132">SumByColor(CU133:CU205,REFERENCE!$G$2)</f>
        <v>0</v>
      </c>
      <c r="CV132" s="31" cm="1">
        <f t="array" ref="CV132">SumByColor(CV133:CV205,REFERENCE!$G$2)</f>
        <v>0</v>
      </c>
      <c r="CW132" s="31" cm="1">
        <f t="array" ref="CW132">SumByColor(CW133:CW205,REFERENCE!$G$2)</f>
        <v>0</v>
      </c>
      <c r="CX132" s="31" cm="1">
        <f t="array" ref="CX132">SumByColor(CX133:CX205,REFERENCE!$G$2)</f>
        <v>0</v>
      </c>
      <c r="CY132" s="31" cm="1">
        <f t="array" ref="CY132">SumByColor(CY133:CY205,REFERENCE!$G$2)</f>
        <v>0</v>
      </c>
      <c r="CZ132" s="31" cm="1">
        <f t="array" ref="CZ132">SumByColor(CZ133:CZ205,REFERENCE!$G$2)</f>
        <v>0</v>
      </c>
      <c r="DA132" s="31" cm="1">
        <f t="array" ref="DA132">SumByColor(DA133:DA205,REFERENCE!$G$2)</f>
        <v>0</v>
      </c>
      <c r="DB132" s="31" cm="1">
        <f t="array" ref="DB132">SumByColor(DB133:DB205,REFERENCE!$G$2)</f>
        <v>0</v>
      </c>
      <c r="DC132" s="31" cm="1">
        <f t="array" ref="DC132">SumByColor(DC133:DC205,REFERENCE!$G$2)</f>
        <v>0</v>
      </c>
      <c r="DD132" s="31" cm="1">
        <f t="array" ref="DD132">SumByColor(DD133:DD205,REFERENCE!$G$2)</f>
        <v>0</v>
      </c>
      <c r="DE132" s="31" cm="1">
        <f t="array" ref="DE132">SumByColor(DE133:DE205,REFERENCE!$G$2)</f>
        <v>0</v>
      </c>
      <c r="DF132" s="31" cm="1">
        <f t="array" ref="DF132">SumByColor(DF133:DF205,REFERENCE!$G$2)</f>
        <v>0</v>
      </c>
      <c r="DG132" s="31" cm="1">
        <f t="array" ref="DG132">SumByColor(DG133:DG205,REFERENCE!$G$2)</f>
        <v>0</v>
      </c>
      <c r="DH132" s="31" cm="1">
        <f t="array" ref="DH132">SumByColor(DH133:DH205,REFERENCE!$G$2)</f>
        <v>0</v>
      </c>
      <c r="DI132" s="31" cm="1">
        <f t="array" ref="DI132">SumByColor(DI133:DI205,REFERENCE!$G$2)</f>
        <v>0</v>
      </c>
      <c r="DJ132" s="31" cm="1">
        <f t="array" ref="DJ132">SumByColor(DJ133:DJ205,REFERENCE!$G$2)</f>
        <v>0</v>
      </c>
      <c r="DK132" s="31" cm="1">
        <f t="array" ref="DK132">SumByColor(DK133:DK205,REFERENCE!$G$2)</f>
        <v>0</v>
      </c>
      <c r="DL132" s="31" cm="1">
        <f t="array" ref="DL132">SumByColor(DL133:DL205,REFERENCE!$G$2)</f>
        <v>0</v>
      </c>
      <c r="DM132" s="31" cm="1">
        <f t="array" ref="DM132">SumByColor(DM133:DM205,REFERENCE!$G$2)</f>
        <v>0</v>
      </c>
      <c r="DN132" s="31" cm="1">
        <f t="array" ref="DN132">SumByColor(DN133:DN205,REFERENCE!$G$2)</f>
        <v>0</v>
      </c>
      <c r="DO132" s="31" cm="1">
        <f t="array" ref="DO132">SumByColor(DO133:DO205,REFERENCE!$G$2)</f>
        <v>0</v>
      </c>
      <c r="DP132" s="31" cm="1">
        <f t="array" ref="DP132">SumByColor(DP133:DP205,REFERENCE!$G$2)</f>
        <v>0</v>
      </c>
      <c r="DQ132" s="31" cm="1">
        <f t="array" ref="DQ132">SumByColor(DQ133:DQ205,REFERENCE!$G$2)</f>
        <v>0</v>
      </c>
      <c r="DR132" s="31" cm="1">
        <f t="array" ref="DR132">SumByColor(DR133:DR205,REFERENCE!$G$2)</f>
        <v>0</v>
      </c>
      <c r="DS132" s="31" cm="1">
        <f t="array" ref="DS132">SumByColor(DS133:DS205,REFERENCE!$G$2)</f>
        <v>0</v>
      </c>
      <c r="DT132" s="31" cm="1">
        <f t="array" ref="DT132">SumByColor(DT133:DT205,REFERENCE!$G$2)</f>
        <v>0</v>
      </c>
      <c r="DU132" s="31" cm="1">
        <f t="array" ref="DU132">SumByColor(DU133:DU205,REFERENCE!$G$2)</f>
        <v>0</v>
      </c>
      <c r="DV132" s="31" cm="1">
        <f t="array" ref="DV132">SumByColor(DV133:DV205,REFERENCE!$G$2)</f>
        <v>0</v>
      </c>
      <c r="DW132" s="31" cm="1">
        <f t="array" ref="DW132">SumByColor(DW133:DW205,REFERENCE!$G$2)</f>
        <v>0</v>
      </c>
      <c r="DX132" s="31" cm="1">
        <f t="array" ref="DX132">SumByColor(DX133:DX205,REFERENCE!$G$2)</f>
        <v>0</v>
      </c>
      <c r="DY132" s="31" cm="1">
        <f t="array" ref="DY132">SumByColor(DY133:DY205,REFERENCE!$G$2)</f>
        <v>0</v>
      </c>
      <c r="DZ132" s="218"/>
      <c r="EA132" s="232"/>
      <c r="EB132" s="232"/>
      <c r="EC132" s="232"/>
      <c r="ED132" s="232"/>
      <c r="EE132" s="232"/>
      <c r="EF132" s="232"/>
      <c r="EG132" s="232"/>
      <c r="EH132" s="232"/>
      <c r="EI132" s="232"/>
      <c r="EJ132" s="232"/>
      <c r="EK132" s="232"/>
      <c r="EL132" s="232"/>
      <c r="EM132" s="232"/>
      <c r="EN132" s="232"/>
      <c r="EO132" s="232"/>
      <c r="EP132" s="232"/>
      <c r="EQ132" s="232"/>
    </row>
    <row r="133" spans="1:147" s="40" customFormat="1" ht="22.9" customHeight="1" outlineLevel="1" x14ac:dyDescent="0.2">
      <c r="A133" s="149" t="s">
        <v>614</v>
      </c>
      <c r="B133" s="34" t="s">
        <v>143</v>
      </c>
      <c r="C133" s="30" t="s">
        <v>100</v>
      </c>
      <c r="D133" s="164"/>
      <c r="E133" s="164"/>
      <c r="F133" s="45">
        <f>SUM(F134:F135)</f>
        <v>0</v>
      </c>
      <c r="G133" s="45">
        <f>SUM(G134:G135)</f>
        <v>0</v>
      </c>
      <c r="H133" s="45">
        <f>SUMPRODUCT($D$134:$D$135,$E$134:$E$135,H134:H135)</f>
        <v>0</v>
      </c>
      <c r="I133" s="45">
        <f t="shared" ref="I133:BT133" si="47">SUMPRODUCT($D$134:$D$135,$E$134:$E$135,I134:I135)</f>
        <v>0</v>
      </c>
      <c r="J133" s="45">
        <f t="shared" si="47"/>
        <v>0</v>
      </c>
      <c r="K133" s="45">
        <f t="shared" si="47"/>
        <v>0</v>
      </c>
      <c r="L133" s="45">
        <f t="shared" si="47"/>
        <v>0</v>
      </c>
      <c r="M133" s="45">
        <f t="shared" si="47"/>
        <v>0</v>
      </c>
      <c r="N133" s="45">
        <f t="shared" si="47"/>
        <v>0</v>
      </c>
      <c r="O133" s="45">
        <f t="shared" si="47"/>
        <v>0</v>
      </c>
      <c r="P133" s="45">
        <f t="shared" si="47"/>
        <v>0</v>
      </c>
      <c r="Q133" s="45">
        <f t="shared" si="47"/>
        <v>0</v>
      </c>
      <c r="R133" s="45">
        <f t="shared" si="47"/>
        <v>0</v>
      </c>
      <c r="S133" s="45">
        <f t="shared" si="47"/>
        <v>0</v>
      </c>
      <c r="T133" s="45">
        <f t="shared" si="47"/>
        <v>0</v>
      </c>
      <c r="U133" s="45">
        <f t="shared" si="47"/>
        <v>0</v>
      </c>
      <c r="V133" s="45">
        <f t="shared" si="47"/>
        <v>0</v>
      </c>
      <c r="W133" s="45">
        <f t="shared" si="47"/>
        <v>0</v>
      </c>
      <c r="X133" s="45">
        <f t="shared" si="47"/>
        <v>0</v>
      </c>
      <c r="Y133" s="45">
        <f t="shared" si="47"/>
        <v>0</v>
      </c>
      <c r="Z133" s="45">
        <f t="shared" si="47"/>
        <v>0</v>
      </c>
      <c r="AA133" s="45">
        <f t="shared" si="47"/>
        <v>0</v>
      </c>
      <c r="AB133" s="45">
        <f t="shared" si="47"/>
        <v>0</v>
      </c>
      <c r="AC133" s="45">
        <f t="shared" si="47"/>
        <v>0</v>
      </c>
      <c r="AD133" s="45">
        <f t="shared" si="47"/>
        <v>0</v>
      </c>
      <c r="AE133" s="45">
        <f t="shared" si="47"/>
        <v>0</v>
      </c>
      <c r="AF133" s="45">
        <f t="shared" si="47"/>
        <v>0</v>
      </c>
      <c r="AG133" s="45">
        <f t="shared" si="47"/>
        <v>0</v>
      </c>
      <c r="AH133" s="45">
        <f t="shared" si="47"/>
        <v>0</v>
      </c>
      <c r="AI133" s="45">
        <f t="shared" si="47"/>
        <v>0</v>
      </c>
      <c r="AJ133" s="45">
        <f t="shared" si="47"/>
        <v>0</v>
      </c>
      <c r="AK133" s="45">
        <f t="shared" si="47"/>
        <v>0</v>
      </c>
      <c r="AL133" s="45">
        <f t="shared" si="47"/>
        <v>0</v>
      </c>
      <c r="AM133" s="45">
        <f t="shared" si="47"/>
        <v>0</v>
      </c>
      <c r="AN133" s="45">
        <f t="shared" si="47"/>
        <v>0</v>
      </c>
      <c r="AO133" s="45">
        <f t="shared" si="47"/>
        <v>0</v>
      </c>
      <c r="AP133" s="45">
        <f t="shared" si="47"/>
        <v>0</v>
      </c>
      <c r="AQ133" s="45">
        <f t="shared" si="47"/>
        <v>0</v>
      </c>
      <c r="AR133" s="45">
        <f t="shared" si="47"/>
        <v>0</v>
      </c>
      <c r="AS133" s="45">
        <f t="shared" si="47"/>
        <v>0</v>
      </c>
      <c r="AT133" s="45">
        <f t="shared" si="47"/>
        <v>0</v>
      </c>
      <c r="AU133" s="45">
        <f t="shared" si="47"/>
        <v>0</v>
      </c>
      <c r="AV133" s="45">
        <f t="shared" si="47"/>
        <v>0</v>
      </c>
      <c r="AW133" s="45">
        <f t="shared" si="47"/>
        <v>0</v>
      </c>
      <c r="AX133" s="45">
        <f t="shared" si="47"/>
        <v>0</v>
      </c>
      <c r="AY133" s="45">
        <f t="shared" si="47"/>
        <v>0</v>
      </c>
      <c r="AZ133" s="45">
        <f t="shared" si="47"/>
        <v>0</v>
      </c>
      <c r="BA133" s="45">
        <f t="shared" si="47"/>
        <v>0</v>
      </c>
      <c r="BB133" s="45">
        <f t="shared" si="47"/>
        <v>0</v>
      </c>
      <c r="BC133" s="45">
        <f t="shared" si="47"/>
        <v>0</v>
      </c>
      <c r="BD133" s="45">
        <f t="shared" si="47"/>
        <v>0</v>
      </c>
      <c r="BE133" s="45">
        <f t="shared" si="47"/>
        <v>0</v>
      </c>
      <c r="BF133" s="45">
        <f t="shared" si="47"/>
        <v>0</v>
      </c>
      <c r="BG133" s="45">
        <f t="shared" si="47"/>
        <v>0</v>
      </c>
      <c r="BH133" s="45">
        <f t="shared" si="47"/>
        <v>0</v>
      </c>
      <c r="BI133" s="45">
        <f t="shared" si="47"/>
        <v>0</v>
      </c>
      <c r="BJ133" s="45">
        <f t="shared" si="47"/>
        <v>0</v>
      </c>
      <c r="BK133" s="45">
        <f t="shared" si="47"/>
        <v>0</v>
      </c>
      <c r="BL133" s="45">
        <f t="shared" si="47"/>
        <v>0</v>
      </c>
      <c r="BM133" s="45">
        <f t="shared" si="47"/>
        <v>0</v>
      </c>
      <c r="BN133" s="45">
        <f t="shared" si="47"/>
        <v>0</v>
      </c>
      <c r="BO133" s="45">
        <f t="shared" si="47"/>
        <v>0</v>
      </c>
      <c r="BP133" s="45">
        <f t="shared" si="47"/>
        <v>0</v>
      </c>
      <c r="BQ133" s="45">
        <f t="shared" si="47"/>
        <v>0</v>
      </c>
      <c r="BR133" s="45">
        <f t="shared" si="47"/>
        <v>0</v>
      </c>
      <c r="BS133" s="45">
        <f t="shared" si="47"/>
        <v>0</v>
      </c>
      <c r="BT133" s="45">
        <f t="shared" si="47"/>
        <v>0</v>
      </c>
      <c r="BU133" s="45">
        <f t="shared" ref="BU133:DY133" si="48">SUMPRODUCT($D$134:$D$135,$E$134:$E$135,BU134:BU135)</f>
        <v>0</v>
      </c>
      <c r="BV133" s="45">
        <f t="shared" si="48"/>
        <v>0</v>
      </c>
      <c r="BW133" s="45">
        <f t="shared" si="48"/>
        <v>0</v>
      </c>
      <c r="BX133" s="45">
        <f t="shared" si="48"/>
        <v>0</v>
      </c>
      <c r="BY133" s="45">
        <f t="shared" si="48"/>
        <v>0</v>
      </c>
      <c r="BZ133" s="45">
        <f t="shared" si="48"/>
        <v>0</v>
      </c>
      <c r="CA133" s="45">
        <f t="shared" si="48"/>
        <v>0</v>
      </c>
      <c r="CB133" s="45">
        <f t="shared" si="48"/>
        <v>0</v>
      </c>
      <c r="CC133" s="45">
        <f t="shared" si="48"/>
        <v>0</v>
      </c>
      <c r="CD133" s="45">
        <f t="shared" si="48"/>
        <v>0</v>
      </c>
      <c r="CE133" s="45">
        <f t="shared" si="48"/>
        <v>0</v>
      </c>
      <c r="CF133" s="45">
        <f t="shared" si="48"/>
        <v>0</v>
      </c>
      <c r="CG133" s="45">
        <f t="shared" si="48"/>
        <v>0</v>
      </c>
      <c r="CH133" s="45">
        <f t="shared" si="48"/>
        <v>0</v>
      </c>
      <c r="CI133" s="45">
        <f t="shared" si="48"/>
        <v>0</v>
      </c>
      <c r="CJ133" s="45">
        <f t="shared" si="48"/>
        <v>0</v>
      </c>
      <c r="CK133" s="45">
        <f t="shared" si="48"/>
        <v>0</v>
      </c>
      <c r="CL133" s="45">
        <f t="shared" si="48"/>
        <v>0</v>
      </c>
      <c r="CM133" s="45">
        <f t="shared" si="48"/>
        <v>0</v>
      </c>
      <c r="CN133" s="45">
        <f t="shared" si="48"/>
        <v>0</v>
      </c>
      <c r="CO133" s="45">
        <f t="shared" si="48"/>
        <v>0</v>
      </c>
      <c r="CP133" s="45">
        <f t="shared" si="48"/>
        <v>0</v>
      </c>
      <c r="CQ133" s="45">
        <f t="shared" si="48"/>
        <v>0</v>
      </c>
      <c r="CR133" s="45">
        <f t="shared" si="48"/>
        <v>0</v>
      </c>
      <c r="CS133" s="45">
        <f t="shared" si="48"/>
        <v>0</v>
      </c>
      <c r="CT133" s="45">
        <f t="shared" si="48"/>
        <v>0</v>
      </c>
      <c r="CU133" s="45">
        <f t="shared" si="48"/>
        <v>0</v>
      </c>
      <c r="CV133" s="45">
        <f t="shared" si="48"/>
        <v>0</v>
      </c>
      <c r="CW133" s="45">
        <f t="shared" si="48"/>
        <v>0</v>
      </c>
      <c r="CX133" s="45">
        <f t="shared" si="48"/>
        <v>0</v>
      </c>
      <c r="CY133" s="45">
        <f t="shared" si="48"/>
        <v>0</v>
      </c>
      <c r="CZ133" s="45">
        <f t="shared" si="48"/>
        <v>0</v>
      </c>
      <c r="DA133" s="45">
        <f t="shared" si="48"/>
        <v>0</v>
      </c>
      <c r="DB133" s="45">
        <f t="shared" si="48"/>
        <v>0</v>
      </c>
      <c r="DC133" s="45">
        <f t="shared" si="48"/>
        <v>0</v>
      </c>
      <c r="DD133" s="45">
        <f t="shared" si="48"/>
        <v>0</v>
      </c>
      <c r="DE133" s="45">
        <f t="shared" si="48"/>
        <v>0</v>
      </c>
      <c r="DF133" s="45">
        <f t="shared" si="48"/>
        <v>0</v>
      </c>
      <c r="DG133" s="45">
        <f t="shared" si="48"/>
        <v>0</v>
      </c>
      <c r="DH133" s="45">
        <f t="shared" si="48"/>
        <v>0</v>
      </c>
      <c r="DI133" s="45">
        <f t="shared" si="48"/>
        <v>0</v>
      </c>
      <c r="DJ133" s="45">
        <f t="shared" si="48"/>
        <v>0</v>
      </c>
      <c r="DK133" s="45">
        <f t="shared" si="48"/>
        <v>0</v>
      </c>
      <c r="DL133" s="45">
        <f t="shared" si="48"/>
        <v>0</v>
      </c>
      <c r="DM133" s="45">
        <f t="shared" si="48"/>
        <v>0</v>
      </c>
      <c r="DN133" s="45">
        <f t="shared" si="48"/>
        <v>0</v>
      </c>
      <c r="DO133" s="45">
        <f t="shared" si="48"/>
        <v>0</v>
      </c>
      <c r="DP133" s="45">
        <f t="shared" si="48"/>
        <v>0</v>
      </c>
      <c r="DQ133" s="45">
        <f t="shared" si="48"/>
        <v>0</v>
      </c>
      <c r="DR133" s="45">
        <f t="shared" si="48"/>
        <v>0</v>
      </c>
      <c r="DS133" s="45">
        <f t="shared" si="48"/>
        <v>0</v>
      </c>
      <c r="DT133" s="45">
        <f t="shared" si="48"/>
        <v>0</v>
      </c>
      <c r="DU133" s="45">
        <f t="shared" si="48"/>
        <v>0</v>
      </c>
      <c r="DV133" s="45">
        <f t="shared" si="48"/>
        <v>0</v>
      </c>
      <c r="DW133" s="45">
        <f t="shared" si="48"/>
        <v>0</v>
      </c>
      <c r="DX133" s="45">
        <f t="shared" si="48"/>
        <v>0</v>
      </c>
      <c r="DY133" s="45">
        <f t="shared" si="48"/>
        <v>0</v>
      </c>
      <c r="DZ133" s="218"/>
      <c r="EA133" s="231"/>
      <c r="EB133" s="231"/>
      <c r="EC133" s="231"/>
      <c r="ED133" s="231"/>
      <c r="EE133" s="231"/>
      <c r="EF133" s="231"/>
      <c r="EG133" s="231"/>
      <c r="EH133" s="231"/>
      <c r="EI133" s="231"/>
      <c r="EJ133" s="231"/>
      <c r="EK133" s="231"/>
      <c r="EL133" s="231"/>
      <c r="EM133" s="231"/>
      <c r="EN133" s="231"/>
      <c r="EO133" s="231"/>
      <c r="EP133" s="231"/>
      <c r="EQ133" s="231"/>
    </row>
    <row r="134" spans="1:147" ht="22.9" customHeight="1" outlineLevel="2" x14ac:dyDescent="0.2">
      <c r="A134" s="146" t="s">
        <v>615</v>
      </c>
      <c r="B134" s="53" t="s">
        <v>271</v>
      </c>
      <c r="C134" s="50" t="s">
        <v>133</v>
      </c>
      <c r="D134" s="165">
        <v>1</v>
      </c>
      <c r="E134" s="158">
        <v>1</v>
      </c>
      <c r="F134" s="52">
        <f>SUM(H134:DY134)*E134*Table1[[#This Row],[Cycles]]</f>
        <v>0</v>
      </c>
      <c r="G134" s="46">
        <f>SUMPRODUCT($H$2:$DY$2,$H134:$DY134)*E134*D134</f>
        <v>0</v>
      </c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7"/>
      <c r="BA134" s="47"/>
      <c r="BB134" s="47"/>
      <c r="BC134" s="47"/>
      <c r="BD134" s="47"/>
      <c r="BE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  <c r="BS134" s="47"/>
      <c r="BT134" s="47"/>
      <c r="BU134" s="47"/>
      <c r="BV134" s="47"/>
      <c r="BW134" s="47"/>
      <c r="BX134" s="47"/>
      <c r="BY134" s="47"/>
      <c r="BZ134" s="47"/>
      <c r="CA134" s="47"/>
      <c r="CB134" s="47"/>
      <c r="CC134" s="47"/>
      <c r="CD134" s="47"/>
      <c r="CE134" s="47"/>
      <c r="CF134" s="47"/>
      <c r="CG134" s="47"/>
      <c r="CH134" s="47"/>
      <c r="CI134" s="47"/>
      <c r="CJ134" s="47"/>
      <c r="CK134" s="47"/>
      <c r="CL134" s="47"/>
      <c r="CM134" s="47"/>
      <c r="CN134" s="47"/>
      <c r="CO134" s="47"/>
      <c r="CP134" s="47"/>
      <c r="CQ134" s="47"/>
      <c r="CR134" s="47"/>
      <c r="CS134" s="47"/>
      <c r="CT134" s="47"/>
      <c r="CU134" s="47"/>
      <c r="CV134" s="47"/>
      <c r="CW134" s="47"/>
      <c r="CX134" s="47"/>
      <c r="CY134" s="47"/>
      <c r="CZ134" s="47"/>
      <c r="DA134" s="47"/>
      <c r="DB134" s="47"/>
      <c r="DC134" s="47"/>
      <c r="DD134" s="47"/>
      <c r="DE134" s="47"/>
      <c r="DF134" s="47"/>
      <c r="DG134" s="47"/>
      <c r="DH134" s="47"/>
      <c r="DI134" s="47"/>
      <c r="DJ134" s="47"/>
      <c r="DK134" s="47"/>
      <c r="DL134" s="47"/>
      <c r="DM134" s="47"/>
      <c r="DN134" s="47"/>
      <c r="DO134" s="47"/>
      <c r="DP134" s="47"/>
      <c r="DQ134" s="47"/>
      <c r="DR134" s="47"/>
      <c r="DS134" s="47"/>
      <c r="DT134" s="47"/>
      <c r="DU134" s="47"/>
      <c r="DV134" s="47"/>
      <c r="DW134" s="47"/>
      <c r="DX134" s="47"/>
      <c r="DY134" s="47"/>
      <c r="DZ134" s="219"/>
      <c r="EA134" s="231"/>
      <c r="EB134" s="231"/>
      <c r="EC134" s="231"/>
      <c r="ED134" s="231"/>
      <c r="EE134" s="231"/>
      <c r="EF134" s="231"/>
      <c r="EG134" s="231"/>
      <c r="EH134" s="231"/>
      <c r="EI134" s="231"/>
      <c r="EJ134" s="231"/>
      <c r="EK134" s="231"/>
      <c r="EL134" s="231"/>
      <c r="EM134" s="231"/>
      <c r="EN134" s="231"/>
      <c r="EO134" s="231"/>
      <c r="EP134" s="231"/>
      <c r="EQ134" s="231"/>
    </row>
    <row r="135" spans="1:147" ht="22.9" customHeight="1" outlineLevel="2" x14ac:dyDescent="0.2">
      <c r="A135" s="146" t="s">
        <v>616</v>
      </c>
      <c r="B135" s="53" t="s">
        <v>275</v>
      </c>
      <c r="C135" s="50" t="s">
        <v>133</v>
      </c>
      <c r="D135" s="165">
        <v>1</v>
      </c>
      <c r="E135" s="158">
        <v>1</v>
      </c>
      <c r="F135" s="52">
        <f>SUM(H135:DY135)*E135*Table1[[#This Row],[Cycles]]</f>
        <v>0</v>
      </c>
      <c r="G135" s="46">
        <f>SUMPRODUCT($H$2:$DY$2,$H135:$DY135)*E135*D135</f>
        <v>0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  <c r="DE135" s="47"/>
      <c r="DF135" s="47"/>
      <c r="DG135" s="47"/>
      <c r="DH135" s="47"/>
      <c r="DI135" s="47"/>
      <c r="DJ135" s="47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219"/>
      <c r="EA135" s="231"/>
      <c r="EB135" s="231"/>
      <c r="EC135" s="231"/>
      <c r="ED135" s="231"/>
      <c r="EE135" s="231"/>
      <c r="EF135" s="231"/>
      <c r="EG135" s="231"/>
      <c r="EH135" s="231"/>
      <c r="EI135" s="231"/>
      <c r="EJ135" s="231"/>
      <c r="EK135" s="231"/>
      <c r="EL135" s="231"/>
      <c r="EM135" s="231"/>
      <c r="EN135" s="231"/>
      <c r="EO135" s="231"/>
      <c r="EP135" s="231"/>
      <c r="EQ135" s="231"/>
    </row>
    <row r="136" spans="1:147" s="40" customFormat="1" ht="22.9" customHeight="1" outlineLevel="1" x14ac:dyDescent="0.2">
      <c r="A136" s="149" t="s">
        <v>617</v>
      </c>
      <c r="B136" s="34" t="s">
        <v>438</v>
      </c>
      <c r="C136" s="30" t="s">
        <v>100</v>
      </c>
      <c r="D136" s="164"/>
      <c r="E136" s="164"/>
      <c r="F136" s="45">
        <f>SUM(F137:F161)</f>
        <v>0</v>
      </c>
      <c r="G136" s="45">
        <f>SUM(G137:G161)</f>
        <v>0</v>
      </c>
      <c r="H136" s="45">
        <f>SUMPRODUCT($D$137:$D$161,$E$137:$E$161,H137:H161)</f>
        <v>0</v>
      </c>
      <c r="I136" s="45">
        <f t="shared" ref="I136:BT136" si="49">SUMPRODUCT($D$137:$D$161,$E$137:$E$161,I137:I161)</f>
        <v>0</v>
      </c>
      <c r="J136" s="45">
        <f t="shared" si="49"/>
        <v>0</v>
      </c>
      <c r="K136" s="45">
        <f t="shared" si="49"/>
        <v>0</v>
      </c>
      <c r="L136" s="45">
        <f t="shared" si="49"/>
        <v>0</v>
      </c>
      <c r="M136" s="45">
        <f t="shared" si="49"/>
        <v>0</v>
      </c>
      <c r="N136" s="45">
        <f t="shared" si="49"/>
        <v>0</v>
      </c>
      <c r="O136" s="45">
        <f t="shared" si="49"/>
        <v>0</v>
      </c>
      <c r="P136" s="45">
        <f t="shared" si="49"/>
        <v>0</v>
      </c>
      <c r="Q136" s="45">
        <f t="shared" si="49"/>
        <v>0</v>
      </c>
      <c r="R136" s="45">
        <f t="shared" si="49"/>
        <v>0</v>
      </c>
      <c r="S136" s="45">
        <f t="shared" si="49"/>
        <v>0</v>
      </c>
      <c r="T136" s="45">
        <f t="shared" si="49"/>
        <v>0</v>
      </c>
      <c r="U136" s="45">
        <f t="shared" si="49"/>
        <v>0</v>
      </c>
      <c r="V136" s="45">
        <f t="shared" si="49"/>
        <v>0</v>
      </c>
      <c r="W136" s="45">
        <f t="shared" si="49"/>
        <v>0</v>
      </c>
      <c r="X136" s="45">
        <f t="shared" si="49"/>
        <v>0</v>
      </c>
      <c r="Y136" s="45">
        <f t="shared" si="49"/>
        <v>0</v>
      </c>
      <c r="Z136" s="45">
        <f t="shared" si="49"/>
        <v>0</v>
      </c>
      <c r="AA136" s="45">
        <f t="shared" si="49"/>
        <v>0</v>
      </c>
      <c r="AB136" s="45">
        <f t="shared" si="49"/>
        <v>0</v>
      </c>
      <c r="AC136" s="45">
        <f t="shared" si="49"/>
        <v>0</v>
      </c>
      <c r="AD136" s="45">
        <f t="shared" si="49"/>
        <v>0</v>
      </c>
      <c r="AE136" s="45">
        <f t="shared" si="49"/>
        <v>0</v>
      </c>
      <c r="AF136" s="45">
        <f t="shared" si="49"/>
        <v>0</v>
      </c>
      <c r="AG136" s="45">
        <f t="shared" si="49"/>
        <v>0</v>
      </c>
      <c r="AH136" s="45">
        <f t="shared" si="49"/>
        <v>0</v>
      </c>
      <c r="AI136" s="45">
        <f t="shared" si="49"/>
        <v>0</v>
      </c>
      <c r="AJ136" s="45">
        <f t="shared" si="49"/>
        <v>0</v>
      </c>
      <c r="AK136" s="45">
        <f t="shared" si="49"/>
        <v>0</v>
      </c>
      <c r="AL136" s="45">
        <f t="shared" si="49"/>
        <v>0</v>
      </c>
      <c r="AM136" s="45">
        <f t="shared" si="49"/>
        <v>0</v>
      </c>
      <c r="AN136" s="45">
        <f t="shared" si="49"/>
        <v>0</v>
      </c>
      <c r="AO136" s="45">
        <f t="shared" si="49"/>
        <v>0</v>
      </c>
      <c r="AP136" s="45">
        <f t="shared" si="49"/>
        <v>0</v>
      </c>
      <c r="AQ136" s="45">
        <f t="shared" si="49"/>
        <v>0</v>
      </c>
      <c r="AR136" s="45">
        <f t="shared" si="49"/>
        <v>0</v>
      </c>
      <c r="AS136" s="45">
        <f t="shared" si="49"/>
        <v>0</v>
      </c>
      <c r="AT136" s="45">
        <f t="shared" si="49"/>
        <v>0</v>
      </c>
      <c r="AU136" s="45">
        <f t="shared" si="49"/>
        <v>0</v>
      </c>
      <c r="AV136" s="45">
        <f t="shared" si="49"/>
        <v>0</v>
      </c>
      <c r="AW136" s="45">
        <f t="shared" si="49"/>
        <v>0</v>
      </c>
      <c r="AX136" s="45">
        <f t="shared" si="49"/>
        <v>0</v>
      </c>
      <c r="AY136" s="45">
        <f t="shared" si="49"/>
        <v>0</v>
      </c>
      <c r="AZ136" s="45">
        <f t="shared" si="49"/>
        <v>0</v>
      </c>
      <c r="BA136" s="45">
        <f t="shared" si="49"/>
        <v>0</v>
      </c>
      <c r="BB136" s="45">
        <f t="shared" si="49"/>
        <v>0</v>
      </c>
      <c r="BC136" s="45">
        <f t="shared" si="49"/>
        <v>0</v>
      </c>
      <c r="BD136" s="45">
        <f t="shared" si="49"/>
        <v>0</v>
      </c>
      <c r="BE136" s="45">
        <f t="shared" si="49"/>
        <v>0</v>
      </c>
      <c r="BF136" s="45">
        <f t="shared" si="49"/>
        <v>0</v>
      </c>
      <c r="BG136" s="45">
        <f t="shared" si="49"/>
        <v>0</v>
      </c>
      <c r="BH136" s="45">
        <f t="shared" si="49"/>
        <v>0</v>
      </c>
      <c r="BI136" s="45">
        <f t="shared" si="49"/>
        <v>0</v>
      </c>
      <c r="BJ136" s="45">
        <f t="shared" si="49"/>
        <v>0</v>
      </c>
      <c r="BK136" s="45">
        <f t="shared" si="49"/>
        <v>0</v>
      </c>
      <c r="BL136" s="45">
        <f t="shared" si="49"/>
        <v>0</v>
      </c>
      <c r="BM136" s="45">
        <f t="shared" si="49"/>
        <v>0</v>
      </c>
      <c r="BN136" s="45">
        <f t="shared" si="49"/>
        <v>0</v>
      </c>
      <c r="BO136" s="45">
        <f t="shared" si="49"/>
        <v>0</v>
      </c>
      <c r="BP136" s="45">
        <f t="shared" si="49"/>
        <v>0</v>
      </c>
      <c r="BQ136" s="45">
        <f t="shared" si="49"/>
        <v>0</v>
      </c>
      <c r="BR136" s="45">
        <f t="shared" si="49"/>
        <v>0</v>
      </c>
      <c r="BS136" s="45">
        <f t="shared" si="49"/>
        <v>0</v>
      </c>
      <c r="BT136" s="45">
        <f t="shared" si="49"/>
        <v>0</v>
      </c>
      <c r="BU136" s="45">
        <f t="shared" ref="BU136:DY136" si="50">SUMPRODUCT($D$137:$D$161,$E$137:$E$161,BU137:BU161)</f>
        <v>0</v>
      </c>
      <c r="BV136" s="45">
        <f t="shared" si="50"/>
        <v>0</v>
      </c>
      <c r="BW136" s="45">
        <f t="shared" si="50"/>
        <v>0</v>
      </c>
      <c r="BX136" s="45">
        <f t="shared" si="50"/>
        <v>0</v>
      </c>
      <c r="BY136" s="45">
        <f t="shared" si="50"/>
        <v>0</v>
      </c>
      <c r="BZ136" s="45">
        <f t="shared" si="50"/>
        <v>0</v>
      </c>
      <c r="CA136" s="45">
        <f t="shared" si="50"/>
        <v>0</v>
      </c>
      <c r="CB136" s="45">
        <f t="shared" si="50"/>
        <v>0</v>
      </c>
      <c r="CC136" s="45">
        <f t="shared" si="50"/>
        <v>0</v>
      </c>
      <c r="CD136" s="45">
        <f t="shared" si="50"/>
        <v>0</v>
      </c>
      <c r="CE136" s="45">
        <f t="shared" si="50"/>
        <v>0</v>
      </c>
      <c r="CF136" s="45">
        <f t="shared" si="50"/>
        <v>0</v>
      </c>
      <c r="CG136" s="45">
        <f t="shared" si="50"/>
        <v>0</v>
      </c>
      <c r="CH136" s="45">
        <f t="shared" si="50"/>
        <v>0</v>
      </c>
      <c r="CI136" s="45">
        <f t="shared" si="50"/>
        <v>0</v>
      </c>
      <c r="CJ136" s="45">
        <f t="shared" si="50"/>
        <v>0</v>
      </c>
      <c r="CK136" s="45">
        <f t="shared" si="50"/>
        <v>0</v>
      </c>
      <c r="CL136" s="45">
        <f t="shared" si="50"/>
        <v>0</v>
      </c>
      <c r="CM136" s="45">
        <f t="shared" si="50"/>
        <v>0</v>
      </c>
      <c r="CN136" s="45">
        <f t="shared" si="50"/>
        <v>0</v>
      </c>
      <c r="CO136" s="45">
        <f t="shared" si="50"/>
        <v>0</v>
      </c>
      <c r="CP136" s="45">
        <f t="shared" si="50"/>
        <v>0</v>
      </c>
      <c r="CQ136" s="45">
        <f t="shared" si="50"/>
        <v>0</v>
      </c>
      <c r="CR136" s="45">
        <f t="shared" si="50"/>
        <v>0</v>
      </c>
      <c r="CS136" s="45">
        <f t="shared" si="50"/>
        <v>0</v>
      </c>
      <c r="CT136" s="45">
        <f t="shared" si="50"/>
        <v>0</v>
      </c>
      <c r="CU136" s="45">
        <f t="shared" si="50"/>
        <v>0</v>
      </c>
      <c r="CV136" s="45">
        <f t="shared" si="50"/>
        <v>0</v>
      </c>
      <c r="CW136" s="45">
        <f t="shared" si="50"/>
        <v>0</v>
      </c>
      <c r="CX136" s="45">
        <f t="shared" si="50"/>
        <v>0</v>
      </c>
      <c r="CY136" s="45">
        <f t="shared" si="50"/>
        <v>0</v>
      </c>
      <c r="CZ136" s="45">
        <f t="shared" si="50"/>
        <v>0</v>
      </c>
      <c r="DA136" s="45">
        <f t="shared" si="50"/>
        <v>0</v>
      </c>
      <c r="DB136" s="45">
        <f t="shared" si="50"/>
        <v>0</v>
      </c>
      <c r="DC136" s="45">
        <f t="shared" si="50"/>
        <v>0</v>
      </c>
      <c r="DD136" s="45">
        <f t="shared" si="50"/>
        <v>0</v>
      </c>
      <c r="DE136" s="45">
        <f t="shared" si="50"/>
        <v>0</v>
      </c>
      <c r="DF136" s="45">
        <f t="shared" si="50"/>
        <v>0</v>
      </c>
      <c r="DG136" s="45">
        <f t="shared" si="50"/>
        <v>0</v>
      </c>
      <c r="DH136" s="45">
        <f t="shared" si="50"/>
        <v>0</v>
      </c>
      <c r="DI136" s="45">
        <f t="shared" si="50"/>
        <v>0</v>
      </c>
      <c r="DJ136" s="45">
        <f t="shared" si="50"/>
        <v>0</v>
      </c>
      <c r="DK136" s="45">
        <f t="shared" si="50"/>
        <v>0</v>
      </c>
      <c r="DL136" s="45">
        <f t="shared" si="50"/>
        <v>0</v>
      </c>
      <c r="DM136" s="45">
        <f t="shared" si="50"/>
        <v>0</v>
      </c>
      <c r="DN136" s="45">
        <f t="shared" si="50"/>
        <v>0</v>
      </c>
      <c r="DO136" s="45">
        <f t="shared" si="50"/>
        <v>0</v>
      </c>
      <c r="DP136" s="45">
        <f t="shared" si="50"/>
        <v>0</v>
      </c>
      <c r="DQ136" s="45">
        <f t="shared" si="50"/>
        <v>0</v>
      </c>
      <c r="DR136" s="45">
        <f t="shared" si="50"/>
        <v>0</v>
      </c>
      <c r="DS136" s="45">
        <f t="shared" si="50"/>
        <v>0</v>
      </c>
      <c r="DT136" s="45">
        <f t="shared" si="50"/>
        <v>0</v>
      </c>
      <c r="DU136" s="45">
        <f t="shared" si="50"/>
        <v>0</v>
      </c>
      <c r="DV136" s="45">
        <f t="shared" si="50"/>
        <v>0</v>
      </c>
      <c r="DW136" s="45">
        <f t="shared" si="50"/>
        <v>0</v>
      </c>
      <c r="DX136" s="45">
        <f t="shared" si="50"/>
        <v>0</v>
      </c>
      <c r="DY136" s="45">
        <f t="shared" si="50"/>
        <v>0</v>
      </c>
      <c r="DZ136" s="218"/>
      <c r="EA136" s="231"/>
      <c r="EB136" s="231"/>
      <c r="EC136" s="231"/>
      <c r="ED136" s="231"/>
      <c r="EE136" s="231"/>
      <c r="EF136" s="231"/>
      <c r="EG136" s="231"/>
      <c r="EH136" s="231"/>
      <c r="EI136" s="231"/>
      <c r="EJ136" s="231"/>
      <c r="EK136" s="231"/>
      <c r="EL136" s="231"/>
      <c r="EM136" s="231"/>
      <c r="EN136" s="231"/>
      <c r="EO136" s="231"/>
      <c r="EP136" s="231"/>
      <c r="EQ136" s="231"/>
    </row>
    <row r="137" spans="1:147" ht="22.9" customHeight="1" outlineLevel="2" x14ac:dyDescent="0.2">
      <c r="A137" s="146" t="s">
        <v>615</v>
      </c>
      <c r="B137" s="53" t="s">
        <v>55</v>
      </c>
      <c r="C137" s="50" t="s">
        <v>133</v>
      </c>
      <c r="D137" s="165">
        <v>1</v>
      </c>
      <c r="E137" s="158">
        <v>1</v>
      </c>
      <c r="F137" s="52">
        <f>SUM(H137:DY137)*E137*Table1[[#This Row],[Cycles]]</f>
        <v>0</v>
      </c>
      <c r="G137" s="46">
        <f>SUMPRODUCT($H$2:$DY$2,$H137:$DY137)*E137*D137</f>
        <v>0</v>
      </c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7"/>
      <c r="BA137" s="47"/>
      <c r="BB137" s="47"/>
      <c r="BC137" s="47"/>
      <c r="BD137" s="47"/>
      <c r="BE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  <c r="BS137" s="47"/>
      <c r="BT137" s="47"/>
      <c r="BU137" s="47"/>
      <c r="BV137" s="47"/>
      <c r="BW137" s="47"/>
      <c r="BX137" s="47"/>
      <c r="BY137" s="47"/>
      <c r="BZ137" s="47"/>
      <c r="CA137" s="47"/>
      <c r="CB137" s="47"/>
      <c r="CC137" s="47"/>
      <c r="CD137" s="47"/>
      <c r="CE137" s="47"/>
      <c r="CF137" s="47"/>
      <c r="CG137" s="47"/>
      <c r="CH137" s="47"/>
      <c r="CI137" s="47"/>
      <c r="CJ137" s="47"/>
      <c r="CK137" s="47"/>
      <c r="CL137" s="47"/>
      <c r="CM137" s="47"/>
      <c r="CN137" s="47"/>
      <c r="CO137" s="47"/>
      <c r="CP137" s="47"/>
      <c r="CQ137" s="47"/>
      <c r="CR137" s="47"/>
      <c r="CS137" s="47"/>
      <c r="CT137" s="47"/>
      <c r="CU137" s="47"/>
      <c r="CV137" s="47"/>
      <c r="CW137" s="47"/>
      <c r="CX137" s="47"/>
      <c r="CY137" s="47"/>
      <c r="CZ137" s="47"/>
      <c r="DA137" s="47"/>
      <c r="DB137" s="47"/>
      <c r="DC137" s="47"/>
      <c r="DD137" s="47"/>
      <c r="DE137" s="47"/>
      <c r="DF137" s="47"/>
      <c r="DG137" s="47"/>
      <c r="DH137" s="47"/>
      <c r="DI137" s="47"/>
      <c r="DJ137" s="47"/>
      <c r="DK137" s="47"/>
      <c r="DL137" s="47"/>
      <c r="DM137" s="47"/>
      <c r="DN137" s="47"/>
      <c r="DO137" s="47"/>
      <c r="DP137" s="47"/>
      <c r="DQ137" s="47"/>
      <c r="DR137" s="47"/>
      <c r="DS137" s="47"/>
      <c r="DT137" s="47"/>
      <c r="DU137" s="47"/>
      <c r="DV137" s="47"/>
      <c r="DW137" s="47"/>
      <c r="DX137" s="47"/>
      <c r="DY137" s="47"/>
      <c r="DZ137" s="219"/>
      <c r="EA137" s="231"/>
      <c r="EB137" s="231"/>
      <c r="EC137" s="231"/>
      <c r="ED137" s="231"/>
      <c r="EE137" s="231"/>
      <c r="EF137" s="231"/>
      <c r="EG137" s="231"/>
      <c r="EH137" s="231"/>
      <c r="EI137" s="231"/>
      <c r="EJ137" s="231"/>
      <c r="EK137" s="231"/>
      <c r="EL137" s="231"/>
      <c r="EM137" s="231"/>
      <c r="EN137" s="231"/>
      <c r="EO137" s="231"/>
      <c r="EP137" s="231"/>
      <c r="EQ137" s="231"/>
    </row>
    <row r="138" spans="1:147" ht="22.9" customHeight="1" outlineLevel="2" x14ac:dyDescent="0.2">
      <c r="A138" s="146" t="s">
        <v>616</v>
      </c>
      <c r="B138" s="53" t="s">
        <v>56</v>
      </c>
      <c r="C138" s="50" t="s">
        <v>133</v>
      </c>
      <c r="D138" s="165">
        <v>1</v>
      </c>
      <c r="E138" s="158">
        <v>1</v>
      </c>
      <c r="F138" s="52">
        <f>SUM(H138:DY138)*E138*Table1[[#This Row],[Cycles]]</f>
        <v>0</v>
      </c>
      <c r="G138" s="46">
        <f>SUMPRODUCT($H$2:$DY$2,$H138:$DY138)*E138*D138</f>
        <v>0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7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47"/>
      <c r="BT138" s="47"/>
      <c r="BU138" s="47"/>
      <c r="BV138" s="47"/>
      <c r="BW138" s="47"/>
      <c r="BX138" s="47"/>
      <c r="BY138" s="47"/>
      <c r="BZ138" s="47"/>
      <c r="CA138" s="47"/>
      <c r="CB138" s="47"/>
      <c r="CC138" s="47"/>
      <c r="CD138" s="47"/>
      <c r="CE138" s="47"/>
      <c r="CF138" s="47"/>
      <c r="CG138" s="47"/>
      <c r="CH138" s="47"/>
      <c r="CI138" s="47"/>
      <c r="CJ138" s="47"/>
      <c r="CK138" s="47"/>
      <c r="CL138" s="47"/>
      <c r="CM138" s="47"/>
      <c r="CN138" s="47"/>
      <c r="CO138" s="47"/>
      <c r="CP138" s="47"/>
      <c r="CQ138" s="47"/>
      <c r="CR138" s="47"/>
      <c r="CS138" s="47"/>
      <c r="CT138" s="47"/>
      <c r="CU138" s="47"/>
      <c r="CV138" s="47"/>
      <c r="CW138" s="47"/>
      <c r="CX138" s="47"/>
      <c r="CY138" s="47"/>
      <c r="CZ138" s="47"/>
      <c r="DA138" s="47"/>
      <c r="DB138" s="47"/>
      <c r="DC138" s="47"/>
      <c r="DD138" s="47"/>
      <c r="DE138" s="47"/>
      <c r="DF138" s="47"/>
      <c r="DG138" s="47"/>
      <c r="DH138" s="47"/>
      <c r="DI138" s="47"/>
      <c r="DJ138" s="47"/>
      <c r="DK138" s="47"/>
      <c r="DL138" s="47"/>
      <c r="DM138" s="47"/>
      <c r="DN138" s="47"/>
      <c r="DO138" s="47"/>
      <c r="DP138" s="47"/>
      <c r="DQ138" s="47"/>
      <c r="DR138" s="47"/>
      <c r="DS138" s="47"/>
      <c r="DT138" s="47"/>
      <c r="DU138" s="47"/>
      <c r="DV138" s="47"/>
      <c r="DW138" s="47"/>
      <c r="DX138" s="47"/>
      <c r="DY138" s="47"/>
      <c r="DZ138" s="219"/>
      <c r="EA138" s="231"/>
      <c r="EB138" s="231"/>
      <c r="EC138" s="231"/>
      <c r="ED138" s="231"/>
      <c r="EE138" s="231"/>
      <c r="EF138" s="231"/>
      <c r="EG138" s="231"/>
      <c r="EH138" s="231"/>
      <c r="EI138" s="231"/>
      <c r="EJ138" s="231"/>
      <c r="EK138" s="231"/>
      <c r="EL138" s="231"/>
      <c r="EM138" s="231"/>
      <c r="EN138" s="231"/>
      <c r="EO138" s="231"/>
      <c r="EP138" s="231"/>
      <c r="EQ138" s="231"/>
    </row>
    <row r="139" spans="1:147" ht="22.9" customHeight="1" outlineLevel="2" x14ac:dyDescent="0.2">
      <c r="A139" s="146" t="s">
        <v>618</v>
      </c>
      <c r="B139" s="53" t="s">
        <v>57</v>
      </c>
      <c r="C139" s="50" t="s">
        <v>133</v>
      </c>
      <c r="D139" s="165">
        <v>1</v>
      </c>
      <c r="E139" s="158">
        <v>1</v>
      </c>
      <c r="F139" s="52">
        <f>SUM(H139:DY139)*E139*Table1[[#This Row],[Cycles]]</f>
        <v>0</v>
      </c>
      <c r="G139" s="46">
        <f t="shared" ref="G139:G151" si="51">SUMPRODUCT($H$2:$DY$2,$H139:$DY139)*E139*D139</f>
        <v>0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7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47"/>
      <c r="BT139" s="47"/>
      <c r="BU139" s="47"/>
      <c r="BV139" s="47"/>
      <c r="BW139" s="47"/>
      <c r="BX139" s="47"/>
      <c r="BY139" s="47"/>
      <c r="BZ139" s="47"/>
      <c r="CA139" s="47"/>
      <c r="CB139" s="47"/>
      <c r="CC139" s="47"/>
      <c r="CD139" s="47"/>
      <c r="CE139" s="47"/>
      <c r="CF139" s="47"/>
      <c r="CG139" s="47"/>
      <c r="CH139" s="47"/>
      <c r="CI139" s="47"/>
      <c r="CJ139" s="47"/>
      <c r="CK139" s="47"/>
      <c r="CL139" s="47"/>
      <c r="CM139" s="47"/>
      <c r="CN139" s="47"/>
      <c r="CO139" s="47"/>
      <c r="CP139" s="47"/>
      <c r="CQ139" s="47"/>
      <c r="CR139" s="47"/>
      <c r="CS139" s="47"/>
      <c r="CT139" s="47"/>
      <c r="CU139" s="47"/>
      <c r="CV139" s="47"/>
      <c r="CW139" s="47"/>
      <c r="CX139" s="47"/>
      <c r="CY139" s="47"/>
      <c r="CZ139" s="47"/>
      <c r="DA139" s="47"/>
      <c r="DB139" s="47"/>
      <c r="DC139" s="47"/>
      <c r="DD139" s="47"/>
      <c r="DE139" s="47"/>
      <c r="DF139" s="47"/>
      <c r="DG139" s="47"/>
      <c r="DH139" s="47"/>
      <c r="DI139" s="47"/>
      <c r="DJ139" s="47"/>
      <c r="DK139" s="47"/>
      <c r="DL139" s="47"/>
      <c r="DM139" s="47"/>
      <c r="DN139" s="47"/>
      <c r="DO139" s="47"/>
      <c r="DP139" s="47"/>
      <c r="DQ139" s="47"/>
      <c r="DR139" s="47"/>
      <c r="DS139" s="47"/>
      <c r="DT139" s="47"/>
      <c r="DU139" s="47"/>
      <c r="DV139" s="47"/>
      <c r="DW139" s="47"/>
      <c r="DX139" s="47"/>
      <c r="DY139" s="47"/>
      <c r="DZ139" s="219"/>
      <c r="EA139" s="231"/>
      <c r="EB139" s="231"/>
      <c r="EC139" s="231"/>
      <c r="ED139" s="231"/>
      <c r="EE139" s="231"/>
      <c r="EF139" s="231"/>
      <c r="EG139" s="231"/>
      <c r="EH139" s="231"/>
      <c r="EI139" s="231"/>
      <c r="EJ139" s="231"/>
      <c r="EK139" s="231"/>
      <c r="EL139" s="231"/>
      <c r="EM139" s="231"/>
      <c r="EN139" s="231"/>
      <c r="EO139" s="231"/>
      <c r="EP139" s="231"/>
      <c r="EQ139" s="231"/>
    </row>
    <row r="140" spans="1:147" ht="22.9" customHeight="1" outlineLevel="2" x14ac:dyDescent="0.2">
      <c r="A140" s="146" t="s">
        <v>619</v>
      </c>
      <c r="B140" s="53" t="s">
        <v>58</v>
      </c>
      <c r="C140" s="50" t="s">
        <v>133</v>
      </c>
      <c r="D140" s="165">
        <v>1</v>
      </c>
      <c r="E140" s="158">
        <v>1</v>
      </c>
      <c r="F140" s="52">
        <f>SUM(H140:DY140)*E140*Table1[[#This Row],[Cycles]]</f>
        <v>0</v>
      </c>
      <c r="G140" s="46">
        <f t="shared" si="51"/>
        <v>0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47"/>
      <c r="BD140" s="47"/>
      <c r="BE140" s="47"/>
      <c r="BF140" s="47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  <c r="BS140" s="47"/>
      <c r="BT140" s="47"/>
      <c r="BU140" s="47"/>
      <c r="BV140" s="47"/>
      <c r="BW140" s="47"/>
      <c r="BX140" s="47"/>
      <c r="BY140" s="47"/>
      <c r="BZ140" s="47"/>
      <c r="CA140" s="47"/>
      <c r="CB140" s="47"/>
      <c r="CC140" s="47"/>
      <c r="CD140" s="47"/>
      <c r="CE140" s="47"/>
      <c r="CF140" s="47"/>
      <c r="CG140" s="47"/>
      <c r="CH140" s="47"/>
      <c r="CI140" s="47"/>
      <c r="CJ140" s="47"/>
      <c r="CK140" s="47"/>
      <c r="CL140" s="47"/>
      <c r="CM140" s="47"/>
      <c r="CN140" s="47"/>
      <c r="CO140" s="47"/>
      <c r="CP140" s="47"/>
      <c r="CQ140" s="47"/>
      <c r="CR140" s="47"/>
      <c r="CS140" s="47"/>
      <c r="CT140" s="47"/>
      <c r="CU140" s="47"/>
      <c r="CV140" s="47"/>
      <c r="CW140" s="47"/>
      <c r="CX140" s="47"/>
      <c r="CY140" s="47"/>
      <c r="CZ140" s="47"/>
      <c r="DA140" s="47"/>
      <c r="DB140" s="47"/>
      <c r="DC140" s="47"/>
      <c r="DD140" s="47"/>
      <c r="DE140" s="47"/>
      <c r="DF140" s="47"/>
      <c r="DG140" s="47"/>
      <c r="DH140" s="47"/>
      <c r="DI140" s="47"/>
      <c r="DJ140" s="47"/>
      <c r="DK140" s="47"/>
      <c r="DL140" s="47"/>
      <c r="DM140" s="47"/>
      <c r="DN140" s="47"/>
      <c r="DO140" s="47"/>
      <c r="DP140" s="47"/>
      <c r="DQ140" s="47"/>
      <c r="DR140" s="47"/>
      <c r="DS140" s="47"/>
      <c r="DT140" s="47"/>
      <c r="DU140" s="47"/>
      <c r="DV140" s="47"/>
      <c r="DW140" s="47"/>
      <c r="DX140" s="47"/>
      <c r="DY140" s="47"/>
      <c r="DZ140" s="219"/>
      <c r="EA140" s="231"/>
      <c r="EB140" s="231"/>
      <c r="EC140" s="231"/>
      <c r="ED140" s="231"/>
      <c r="EE140" s="231"/>
      <c r="EF140" s="231"/>
      <c r="EG140" s="231"/>
      <c r="EH140" s="231"/>
      <c r="EI140" s="231"/>
      <c r="EJ140" s="231"/>
      <c r="EK140" s="231"/>
      <c r="EL140" s="231"/>
      <c r="EM140" s="231"/>
      <c r="EN140" s="231"/>
      <c r="EO140" s="231"/>
      <c r="EP140" s="231"/>
      <c r="EQ140" s="231"/>
    </row>
    <row r="141" spans="1:147" ht="22.9" customHeight="1" outlineLevel="2" x14ac:dyDescent="0.2">
      <c r="A141" s="146" t="s">
        <v>620</v>
      </c>
      <c r="B141" s="53" t="s">
        <v>59</v>
      </c>
      <c r="C141" s="50" t="s">
        <v>133</v>
      </c>
      <c r="D141" s="165">
        <v>1</v>
      </c>
      <c r="E141" s="158">
        <v>1</v>
      </c>
      <c r="F141" s="52">
        <f>SUM(H141:DY141)*E141*Table1[[#This Row],[Cycles]]</f>
        <v>0</v>
      </c>
      <c r="G141" s="46">
        <f t="shared" si="51"/>
        <v>0</v>
      </c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  <c r="DE141" s="47"/>
      <c r="DF141" s="47"/>
      <c r="DG141" s="47"/>
      <c r="DH141" s="47"/>
      <c r="DI141" s="47"/>
      <c r="DJ141" s="47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219"/>
      <c r="EA141" s="231"/>
      <c r="EB141" s="231"/>
      <c r="EC141" s="231"/>
      <c r="ED141" s="231"/>
      <c r="EE141" s="231"/>
      <c r="EF141" s="231"/>
      <c r="EG141" s="231"/>
      <c r="EH141" s="231"/>
      <c r="EI141" s="231"/>
      <c r="EJ141" s="231"/>
      <c r="EK141" s="231"/>
      <c r="EL141" s="231"/>
      <c r="EM141" s="231"/>
      <c r="EN141" s="231"/>
      <c r="EO141" s="231"/>
      <c r="EP141" s="231"/>
      <c r="EQ141" s="231"/>
    </row>
    <row r="142" spans="1:147" ht="22.9" customHeight="1" outlineLevel="2" x14ac:dyDescent="0.2">
      <c r="A142" s="146" t="s">
        <v>621</v>
      </c>
      <c r="B142" s="53" t="s">
        <v>115</v>
      </c>
      <c r="C142" s="50" t="s">
        <v>133</v>
      </c>
      <c r="D142" s="165">
        <v>1</v>
      </c>
      <c r="E142" s="158">
        <v>1</v>
      </c>
      <c r="F142" s="52">
        <f>SUM(H142:DY142)*E142*Table1[[#This Row],[Cycles]]</f>
        <v>0</v>
      </c>
      <c r="G142" s="46">
        <f t="shared" si="51"/>
        <v>0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  <c r="DE142" s="47"/>
      <c r="DF142" s="47"/>
      <c r="DG142" s="47"/>
      <c r="DH142" s="47"/>
      <c r="DI142" s="47"/>
      <c r="DJ142" s="47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219"/>
      <c r="EA142" s="231"/>
      <c r="EB142" s="231"/>
      <c r="EC142" s="231"/>
      <c r="ED142" s="231"/>
      <c r="EE142" s="231"/>
      <c r="EF142" s="231"/>
      <c r="EG142" s="231"/>
      <c r="EH142" s="231"/>
      <c r="EI142" s="231"/>
      <c r="EJ142" s="231"/>
      <c r="EK142" s="231"/>
      <c r="EL142" s="231"/>
      <c r="EM142" s="231"/>
      <c r="EN142" s="231"/>
      <c r="EO142" s="231"/>
      <c r="EP142" s="231"/>
      <c r="EQ142" s="231"/>
    </row>
    <row r="143" spans="1:147" ht="22.9" customHeight="1" outlineLevel="2" x14ac:dyDescent="0.2">
      <c r="A143" s="146" t="s">
        <v>622</v>
      </c>
      <c r="B143" s="53" t="s">
        <v>64</v>
      </c>
      <c r="C143" s="50" t="s">
        <v>133</v>
      </c>
      <c r="D143" s="165">
        <v>1</v>
      </c>
      <c r="E143" s="158">
        <v>1</v>
      </c>
      <c r="F143" s="52">
        <f>SUM(H143:DY143)*E143*Table1[[#This Row],[Cycles]]</f>
        <v>0</v>
      </c>
      <c r="G143" s="46">
        <f t="shared" si="51"/>
        <v>0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  <c r="DE143" s="47"/>
      <c r="DF143" s="47"/>
      <c r="DG143" s="47"/>
      <c r="DH143" s="47"/>
      <c r="DI143" s="47"/>
      <c r="DJ143" s="47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219"/>
      <c r="EA143" s="231"/>
      <c r="EB143" s="231"/>
      <c r="EC143" s="231"/>
      <c r="ED143" s="231"/>
      <c r="EE143" s="231"/>
      <c r="EF143" s="231"/>
      <c r="EG143" s="231"/>
      <c r="EH143" s="231"/>
      <c r="EI143" s="231"/>
      <c r="EJ143" s="231"/>
      <c r="EK143" s="231"/>
      <c r="EL143" s="231"/>
      <c r="EM143" s="231"/>
      <c r="EN143" s="231"/>
      <c r="EO143" s="231"/>
      <c r="EP143" s="231"/>
      <c r="EQ143" s="231"/>
    </row>
    <row r="144" spans="1:147" ht="22.9" customHeight="1" outlineLevel="2" x14ac:dyDescent="0.2">
      <c r="A144" s="146" t="s">
        <v>623</v>
      </c>
      <c r="B144" s="53" t="s">
        <v>60</v>
      </c>
      <c r="C144" s="50" t="s">
        <v>133</v>
      </c>
      <c r="D144" s="165">
        <v>1</v>
      </c>
      <c r="E144" s="158">
        <v>1</v>
      </c>
      <c r="F144" s="52">
        <f>SUM(H144:DY144)*E144*Table1[[#This Row],[Cycles]]</f>
        <v>0</v>
      </c>
      <c r="G144" s="46">
        <f t="shared" si="51"/>
        <v>0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219"/>
      <c r="EA144" s="231"/>
      <c r="EB144" s="231"/>
      <c r="EC144" s="231"/>
      <c r="ED144" s="231"/>
      <c r="EE144" s="231"/>
      <c r="EF144" s="231"/>
      <c r="EG144" s="231"/>
      <c r="EH144" s="231"/>
      <c r="EI144" s="231"/>
      <c r="EJ144" s="231"/>
      <c r="EK144" s="231"/>
      <c r="EL144" s="231"/>
      <c r="EM144" s="231"/>
      <c r="EN144" s="231"/>
      <c r="EO144" s="231"/>
      <c r="EP144" s="231"/>
      <c r="EQ144" s="231"/>
    </row>
    <row r="145" spans="1:147" ht="22.9" customHeight="1" outlineLevel="2" x14ac:dyDescent="0.2">
      <c r="A145" s="146" t="s">
        <v>624</v>
      </c>
      <c r="B145" s="53" t="s">
        <v>62</v>
      </c>
      <c r="C145" s="50" t="s">
        <v>133</v>
      </c>
      <c r="D145" s="165">
        <v>1</v>
      </c>
      <c r="E145" s="158">
        <v>1</v>
      </c>
      <c r="F145" s="52">
        <f>SUM(H145:DY145)*E145*Table1[[#This Row],[Cycles]]</f>
        <v>0</v>
      </c>
      <c r="G145" s="46">
        <f t="shared" si="51"/>
        <v>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  <c r="DE145" s="47"/>
      <c r="DF145" s="47"/>
      <c r="DG145" s="47"/>
      <c r="DH145" s="47"/>
      <c r="DI145" s="47"/>
      <c r="DJ145" s="47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219"/>
      <c r="EA145" s="231"/>
      <c r="EB145" s="231"/>
      <c r="EC145" s="231"/>
      <c r="ED145" s="231"/>
      <c r="EE145" s="231"/>
      <c r="EF145" s="231"/>
      <c r="EG145" s="231"/>
      <c r="EH145" s="231"/>
      <c r="EI145" s="231"/>
      <c r="EJ145" s="231"/>
      <c r="EK145" s="231"/>
      <c r="EL145" s="231"/>
      <c r="EM145" s="231"/>
      <c r="EN145" s="231"/>
      <c r="EO145" s="231"/>
      <c r="EP145" s="231"/>
      <c r="EQ145" s="231"/>
    </row>
    <row r="146" spans="1:147" ht="22.9" customHeight="1" outlineLevel="2" x14ac:dyDescent="0.2">
      <c r="A146" s="146" t="s">
        <v>625</v>
      </c>
      <c r="B146" s="53" t="s">
        <v>66</v>
      </c>
      <c r="C146" s="50" t="s">
        <v>133</v>
      </c>
      <c r="D146" s="165">
        <v>1</v>
      </c>
      <c r="E146" s="158">
        <v>1</v>
      </c>
      <c r="F146" s="52">
        <f>SUM(H146:DY146)*E146*Table1[[#This Row],[Cycles]]</f>
        <v>0</v>
      </c>
      <c r="G146" s="46">
        <f t="shared" si="51"/>
        <v>0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219"/>
      <c r="EA146" s="231"/>
      <c r="EB146" s="231"/>
      <c r="EC146" s="231"/>
      <c r="ED146" s="231"/>
      <c r="EE146" s="231"/>
      <c r="EF146" s="231"/>
      <c r="EG146" s="231"/>
      <c r="EH146" s="231"/>
      <c r="EI146" s="231"/>
      <c r="EJ146" s="231"/>
      <c r="EK146" s="231"/>
      <c r="EL146" s="231"/>
      <c r="EM146" s="231"/>
      <c r="EN146" s="231"/>
      <c r="EO146" s="231"/>
      <c r="EP146" s="231"/>
      <c r="EQ146" s="231"/>
    </row>
    <row r="147" spans="1:147" ht="22.9" customHeight="1" outlineLevel="2" x14ac:dyDescent="0.2">
      <c r="A147" s="146" t="s">
        <v>626</v>
      </c>
      <c r="B147" s="53" t="s">
        <v>116</v>
      </c>
      <c r="C147" s="50" t="s">
        <v>133</v>
      </c>
      <c r="D147" s="165">
        <v>1</v>
      </c>
      <c r="E147" s="158">
        <v>1</v>
      </c>
      <c r="F147" s="52">
        <f>SUM(H147:DY147)*E147*Table1[[#This Row],[Cycles]]</f>
        <v>0</v>
      </c>
      <c r="G147" s="46">
        <f t="shared" si="51"/>
        <v>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219"/>
      <c r="EA147" s="231"/>
      <c r="EB147" s="231"/>
      <c r="EC147" s="231"/>
      <c r="ED147" s="231"/>
      <c r="EE147" s="231"/>
      <c r="EF147" s="231"/>
      <c r="EG147" s="231"/>
      <c r="EH147" s="231"/>
      <c r="EI147" s="231"/>
      <c r="EJ147" s="231"/>
      <c r="EK147" s="231"/>
      <c r="EL147" s="231"/>
      <c r="EM147" s="231"/>
      <c r="EN147" s="231"/>
      <c r="EO147" s="231"/>
      <c r="EP147" s="231"/>
      <c r="EQ147" s="231"/>
    </row>
    <row r="148" spans="1:147" ht="22.9" customHeight="1" outlineLevel="2" x14ac:dyDescent="0.2">
      <c r="A148" s="146" t="s">
        <v>627</v>
      </c>
      <c r="B148" s="53" t="s">
        <v>117</v>
      </c>
      <c r="C148" s="50" t="s">
        <v>133</v>
      </c>
      <c r="D148" s="165">
        <v>1</v>
      </c>
      <c r="E148" s="158">
        <v>1</v>
      </c>
      <c r="F148" s="52">
        <f>SUM(H148:DY148)*E148*Table1[[#This Row],[Cycles]]</f>
        <v>0</v>
      </c>
      <c r="G148" s="46">
        <f t="shared" si="51"/>
        <v>0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219"/>
      <c r="EA148" s="231"/>
      <c r="EB148" s="231"/>
      <c r="EC148" s="231"/>
      <c r="ED148" s="231"/>
      <c r="EE148" s="231"/>
      <c r="EF148" s="231"/>
      <c r="EG148" s="231"/>
      <c r="EH148" s="231"/>
      <c r="EI148" s="231"/>
      <c r="EJ148" s="231"/>
      <c r="EK148" s="231"/>
      <c r="EL148" s="231"/>
      <c r="EM148" s="231"/>
      <c r="EN148" s="231"/>
      <c r="EO148" s="231"/>
      <c r="EP148" s="231"/>
      <c r="EQ148" s="231"/>
    </row>
    <row r="149" spans="1:147" ht="22.9" customHeight="1" outlineLevel="2" x14ac:dyDescent="0.2">
      <c r="A149" s="146" t="s">
        <v>628</v>
      </c>
      <c r="B149" s="53" t="s">
        <v>118</v>
      </c>
      <c r="C149" s="50" t="s">
        <v>133</v>
      </c>
      <c r="D149" s="165">
        <v>1</v>
      </c>
      <c r="E149" s="158">
        <v>1</v>
      </c>
      <c r="F149" s="52">
        <f>SUM(H149:DY149)*E149*Table1[[#This Row],[Cycles]]</f>
        <v>0</v>
      </c>
      <c r="G149" s="46">
        <f t="shared" si="51"/>
        <v>0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219"/>
      <c r="EA149" s="231"/>
      <c r="EB149" s="231"/>
      <c r="EC149" s="231"/>
      <c r="ED149" s="231"/>
      <c r="EE149" s="231"/>
      <c r="EF149" s="231"/>
      <c r="EG149" s="231"/>
      <c r="EH149" s="231"/>
      <c r="EI149" s="231"/>
      <c r="EJ149" s="231"/>
      <c r="EK149" s="231"/>
      <c r="EL149" s="231"/>
      <c r="EM149" s="231"/>
      <c r="EN149" s="231"/>
      <c r="EO149" s="231"/>
      <c r="EP149" s="231"/>
      <c r="EQ149" s="231"/>
    </row>
    <row r="150" spans="1:147" ht="22.9" customHeight="1" outlineLevel="2" x14ac:dyDescent="0.2">
      <c r="A150" s="146" t="s">
        <v>629</v>
      </c>
      <c r="B150" s="53" t="s">
        <v>119</v>
      </c>
      <c r="C150" s="50" t="s">
        <v>133</v>
      </c>
      <c r="D150" s="165">
        <v>1</v>
      </c>
      <c r="E150" s="158">
        <v>1</v>
      </c>
      <c r="F150" s="52">
        <f>SUM(H150:DY150)*E150*Table1[[#This Row],[Cycles]]</f>
        <v>0</v>
      </c>
      <c r="G150" s="46">
        <f t="shared" si="51"/>
        <v>0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219"/>
      <c r="EA150" s="231"/>
      <c r="EB150" s="231"/>
      <c r="EC150" s="231"/>
      <c r="ED150" s="231"/>
      <c r="EE150" s="231"/>
      <c r="EF150" s="231"/>
      <c r="EG150" s="231"/>
      <c r="EH150" s="231"/>
      <c r="EI150" s="231"/>
      <c r="EJ150" s="231"/>
      <c r="EK150" s="231"/>
      <c r="EL150" s="231"/>
      <c r="EM150" s="231"/>
      <c r="EN150" s="231"/>
      <c r="EO150" s="231"/>
      <c r="EP150" s="231"/>
      <c r="EQ150" s="231"/>
    </row>
    <row r="151" spans="1:147" ht="22.9" customHeight="1" outlineLevel="2" x14ac:dyDescent="0.2">
      <c r="A151" s="146" t="s">
        <v>630</v>
      </c>
      <c r="B151" s="53" t="s">
        <v>61</v>
      </c>
      <c r="C151" s="50" t="s">
        <v>133</v>
      </c>
      <c r="D151" s="165">
        <v>1</v>
      </c>
      <c r="E151" s="158">
        <v>1</v>
      </c>
      <c r="F151" s="52">
        <f>SUM(H151:DY151)*E151*Table1[[#This Row],[Cycles]]</f>
        <v>0</v>
      </c>
      <c r="G151" s="46">
        <f t="shared" si="51"/>
        <v>0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7"/>
      <c r="BA151" s="47"/>
      <c r="BB151" s="47"/>
      <c r="BC151" s="47"/>
      <c r="BD151" s="47"/>
      <c r="BE151" s="47"/>
      <c r="BF151" s="47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219"/>
      <c r="EA151" s="231"/>
      <c r="EB151" s="231"/>
      <c r="EC151" s="231"/>
      <c r="ED151" s="231"/>
      <c r="EE151" s="231"/>
      <c r="EF151" s="231"/>
      <c r="EG151" s="231"/>
      <c r="EH151" s="231"/>
      <c r="EI151" s="231"/>
      <c r="EJ151" s="231"/>
      <c r="EK151" s="231"/>
      <c r="EL151" s="231"/>
      <c r="EM151" s="231"/>
      <c r="EN151" s="231"/>
      <c r="EO151" s="231"/>
      <c r="EP151" s="231"/>
      <c r="EQ151" s="231"/>
    </row>
    <row r="152" spans="1:147" ht="22.9" customHeight="1" outlineLevel="2" x14ac:dyDescent="0.2">
      <c r="A152" s="146" t="s">
        <v>631</v>
      </c>
      <c r="B152" s="53" t="s">
        <v>65</v>
      </c>
      <c r="C152" s="50" t="s">
        <v>133</v>
      </c>
      <c r="D152" s="165">
        <v>1</v>
      </c>
      <c r="E152" s="158">
        <v>1</v>
      </c>
      <c r="F152" s="52">
        <f>SUM(H152:DY152)*E152*Table1[[#This Row],[Cycles]]</f>
        <v>0</v>
      </c>
      <c r="G152" s="46">
        <f t="shared" ref="G152:G161" si="52">SUMPRODUCT($H$2:$DY$2,$H152:$DY152)*E152*D152</f>
        <v>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7"/>
      <c r="BA152" s="47"/>
      <c r="BB152" s="47"/>
      <c r="BC152" s="47"/>
      <c r="BD152" s="47"/>
      <c r="BE152" s="47"/>
      <c r="BF152" s="47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  <c r="DE152" s="47"/>
      <c r="DF152" s="47"/>
      <c r="DG152" s="47"/>
      <c r="DH152" s="47"/>
      <c r="DI152" s="47"/>
      <c r="DJ152" s="47"/>
      <c r="DK152" s="47"/>
      <c r="DL152" s="47"/>
      <c r="DM152" s="47"/>
      <c r="DN152" s="47"/>
      <c r="DO152" s="47"/>
      <c r="DP152" s="47"/>
      <c r="DQ152" s="47"/>
      <c r="DR152" s="47"/>
      <c r="DS152" s="47"/>
      <c r="DT152" s="47"/>
      <c r="DU152" s="47"/>
      <c r="DV152" s="47"/>
      <c r="DW152" s="47"/>
      <c r="DX152" s="47"/>
      <c r="DY152" s="47"/>
      <c r="DZ152" s="219"/>
      <c r="EA152" s="231"/>
      <c r="EB152" s="231"/>
      <c r="EC152" s="231"/>
      <c r="ED152" s="231"/>
      <c r="EE152" s="231"/>
      <c r="EF152" s="231"/>
      <c r="EG152" s="231"/>
      <c r="EH152" s="231"/>
      <c r="EI152" s="231"/>
      <c r="EJ152" s="231"/>
      <c r="EK152" s="231"/>
      <c r="EL152" s="231"/>
      <c r="EM152" s="231"/>
      <c r="EN152" s="231"/>
      <c r="EO152" s="231"/>
      <c r="EP152" s="231"/>
      <c r="EQ152" s="231"/>
    </row>
    <row r="153" spans="1:147" ht="22.9" customHeight="1" outlineLevel="2" x14ac:dyDescent="0.2">
      <c r="A153" s="146" t="s">
        <v>632</v>
      </c>
      <c r="B153" s="53" t="s">
        <v>67</v>
      </c>
      <c r="C153" s="50" t="s">
        <v>133</v>
      </c>
      <c r="D153" s="165">
        <v>1</v>
      </c>
      <c r="E153" s="158">
        <v>1</v>
      </c>
      <c r="F153" s="52">
        <f>SUM(H153:DY153)*E153*Table1[[#This Row],[Cycles]]</f>
        <v>0</v>
      </c>
      <c r="G153" s="46">
        <f t="shared" si="52"/>
        <v>0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7"/>
      <c r="BA153" s="47"/>
      <c r="BB153" s="47"/>
      <c r="BC153" s="47"/>
      <c r="BD153" s="47"/>
      <c r="BE153" s="47"/>
      <c r="BF153" s="47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  <c r="DE153" s="47"/>
      <c r="DF153" s="47"/>
      <c r="DG153" s="47"/>
      <c r="DH153" s="47"/>
      <c r="DI153" s="47"/>
      <c r="DJ153" s="47"/>
      <c r="DK153" s="47"/>
      <c r="DL153" s="47"/>
      <c r="DM153" s="47"/>
      <c r="DN153" s="47"/>
      <c r="DO153" s="47"/>
      <c r="DP153" s="47"/>
      <c r="DQ153" s="47"/>
      <c r="DR153" s="47"/>
      <c r="DS153" s="47"/>
      <c r="DT153" s="47"/>
      <c r="DU153" s="47"/>
      <c r="DV153" s="47"/>
      <c r="DW153" s="47"/>
      <c r="DX153" s="47"/>
      <c r="DY153" s="47"/>
      <c r="DZ153" s="219"/>
      <c r="EA153" s="231"/>
      <c r="EB153" s="231"/>
      <c r="EC153" s="231"/>
      <c r="ED153" s="231"/>
      <c r="EE153" s="231"/>
      <c r="EF153" s="231"/>
      <c r="EG153" s="231"/>
      <c r="EH153" s="231"/>
      <c r="EI153" s="231"/>
      <c r="EJ153" s="231"/>
      <c r="EK153" s="231"/>
      <c r="EL153" s="231"/>
      <c r="EM153" s="231"/>
      <c r="EN153" s="231"/>
      <c r="EO153" s="231"/>
      <c r="EP153" s="231"/>
      <c r="EQ153" s="231"/>
    </row>
    <row r="154" spans="1:147" ht="22.9" customHeight="1" outlineLevel="2" x14ac:dyDescent="0.2">
      <c r="A154" s="146" t="s">
        <v>633</v>
      </c>
      <c r="B154" s="53" t="s">
        <v>68</v>
      </c>
      <c r="C154" s="50" t="s">
        <v>133</v>
      </c>
      <c r="D154" s="165">
        <v>1</v>
      </c>
      <c r="E154" s="158">
        <v>1</v>
      </c>
      <c r="F154" s="52">
        <f>SUM(H154:DY154)*E154*Table1[[#This Row],[Cycles]]</f>
        <v>0</v>
      </c>
      <c r="G154" s="46">
        <f t="shared" si="52"/>
        <v>0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7"/>
      <c r="BA154" s="47"/>
      <c r="BB154" s="47"/>
      <c r="BC154" s="47"/>
      <c r="BD154" s="47"/>
      <c r="BE154" s="47"/>
      <c r="BF154" s="47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  <c r="DE154" s="47"/>
      <c r="DF154" s="47"/>
      <c r="DG154" s="47"/>
      <c r="DH154" s="47"/>
      <c r="DI154" s="47"/>
      <c r="DJ154" s="47"/>
      <c r="DK154" s="47"/>
      <c r="DL154" s="47"/>
      <c r="DM154" s="47"/>
      <c r="DN154" s="47"/>
      <c r="DO154" s="47"/>
      <c r="DP154" s="47"/>
      <c r="DQ154" s="47"/>
      <c r="DR154" s="47"/>
      <c r="DS154" s="47"/>
      <c r="DT154" s="47"/>
      <c r="DU154" s="47"/>
      <c r="DV154" s="47"/>
      <c r="DW154" s="47"/>
      <c r="DX154" s="47"/>
      <c r="DY154" s="47"/>
      <c r="DZ154" s="219"/>
      <c r="EA154" s="231"/>
      <c r="EB154" s="231"/>
      <c r="EC154" s="231"/>
      <c r="ED154" s="231"/>
      <c r="EE154" s="231"/>
      <c r="EF154" s="231"/>
      <c r="EG154" s="231"/>
      <c r="EH154" s="231"/>
      <c r="EI154" s="231"/>
      <c r="EJ154" s="231"/>
      <c r="EK154" s="231"/>
      <c r="EL154" s="231"/>
      <c r="EM154" s="231"/>
      <c r="EN154" s="231"/>
      <c r="EO154" s="231"/>
      <c r="EP154" s="231"/>
      <c r="EQ154" s="231"/>
    </row>
    <row r="155" spans="1:147" ht="22.9" customHeight="1" outlineLevel="2" x14ac:dyDescent="0.2">
      <c r="A155" s="146" t="s">
        <v>634</v>
      </c>
      <c r="B155" s="53" t="s">
        <v>120</v>
      </c>
      <c r="C155" s="50" t="s">
        <v>133</v>
      </c>
      <c r="D155" s="165">
        <v>1</v>
      </c>
      <c r="E155" s="158">
        <v>1</v>
      </c>
      <c r="F155" s="52">
        <f>SUM(H155:DY155)*E155*Table1[[#This Row],[Cycles]]</f>
        <v>0</v>
      </c>
      <c r="G155" s="46">
        <f t="shared" si="52"/>
        <v>0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7"/>
      <c r="BA155" s="47"/>
      <c r="BB155" s="47"/>
      <c r="BC155" s="47"/>
      <c r="BD155" s="47"/>
      <c r="BE155" s="47"/>
      <c r="BF155" s="47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  <c r="DE155" s="47"/>
      <c r="DF155" s="47"/>
      <c r="DG155" s="47"/>
      <c r="DH155" s="47"/>
      <c r="DI155" s="47"/>
      <c r="DJ155" s="47"/>
      <c r="DK155" s="47"/>
      <c r="DL155" s="47"/>
      <c r="DM155" s="47"/>
      <c r="DN155" s="47"/>
      <c r="DO155" s="47"/>
      <c r="DP155" s="47"/>
      <c r="DQ155" s="47"/>
      <c r="DR155" s="47"/>
      <c r="DS155" s="47"/>
      <c r="DT155" s="47"/>
      <c r="DU155" s="47"/>
      <c r="DV155" s="47"/>
      <c r="DW155" s="47"/>
      <c r="DX155" s="47"/>
      <c r="DY155" s="47"/>
      <c r="DZ155" s="219"/>
      <c r="EA155" s="231"/>
      <c r="EB155" s="231"/>
      <c r="EC155" s="231"/>
      <c r="ED155" s="231"/>
      <c r="EE155" s="231"/>
      <c r="EF155" s="231"/>
      <c r="EG155" s="231"/>
      <c r="EH155" s="231"/>
      <c r="EI155" s="231"/>
      <c r="EJ155" s="231"/>
      <c r="EK155" s="231"/>
      <c r="EL155" s="231"/>
      <c r="EM155" s="231"/>
      <c r="EN155" s="231"/>
      <c r="EO155" s="231"/>
      <c r="EP155" s="231"/>
      <c r="EQ155" s="231"/>
    </row>
    <row r="156" spans="1:147" ht="22.9" customHeight="1" outlineLevel="2" x14ac:dyDescent="0.2">
      <c r="A156" s="146" t="s">
        <v>635</v>
      </c>
      <c r="B156" s="53" t="s">
        <v>214</v>
      </c>
      <c r="C156" s="50" t="s">
        <v>133</v>
      </c>
      <c r="D156" s="165">
        <v>1</v>
      </c>
      <c r="E156" s="158">
        <v>1</v>
      </c>
      <c r="F156" s="52">
        <f>SUM(H156:DY156)*E156*Table1[[#This Row],[Cycles]]</f>
        <v>0</v>
      </c>
      <c r="G156" s="46">
        <f t="shared" si="52"/>
        <v>0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7"/>
      <c r="BA156" s="47"/>
      <c r="BB156" s="47"/>
      <c r="BC156" s="47"/>
      <c r="BD156" s="47"/>
      <c r="BE156" s="47"/>
      <c r="BF156" s="47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  <c r="BS156" s="47"/>
      <c r="BT156" s="47"/>
      <c r="BU156" s="47"/>
      <c r="BV156" s="47"/>
      <c r="BW156" s="47"/>
      <c r="BX156" s="47"/>
      <c r="BY156" s="47"/>
      <c r="BZ156" s="47"/>
      <c r="CA156" s="47"/>
      <c r="CB156" s="47"/>
      <c r="CC156" s="47"/>
      <c r="CD156" s="47"/>
      <c r="CE156" s="47"/>
      <c r="CF156" s="47"/>
      <c r="CG156" s="47"/>
      <c r="CH156" s="47"/>
      <c r="CI156" s="47"/>
      <c r="CJ156" s="47"/>
      <c r="CK156" s="47"/>
      <c r="CL156" s="47"/>
      <c r="CM156" s="47"/>
      <c r="CN156" s="47"/>
      <c r="CO156" s="47"/>
      <c r="CP156" s="47"/>
      <c r="CQ156" s="47"/>
      <c r="CR156" s="47"/>
      <c r="CS156" s="47"/>
      <c r="CT156" s="47"/>
      <c r="CU156" s="47"/>
      <c r="CV156" s="47"/>
      <c r="CW156" s="47"/>
      <c r="CX156" s="47"/>
      <c r="CY156" s="47"/>
      <c r="CZ156" s="47"/>
      <c r="DA156" s="47"/>
      <c r="DB156" s="47"/>
      <c r="DC156" s="47"/>
      <c r="DD156" s="47"/>
      <c r="DE156" s="47"/>
      <c r="DF156" s="47"/>
      <c r="DG156" s="47"/>
      <c r="DH156" s="47"/>
      <c r="DI156" s="47"/>
      <c r="DJ156" s="47"/>
      <c r="DK156" s="47"/>
      <c r="DL156" s="47"/>
      <c r="DM156" s="47"/>
      <c r="DN156" s="47"/>
      <c r="DO156" s="47"/>
      <c r="DP156" s="47"/>
      <c r="DQ156" s="47"/>
      <c r="DR156" s="47"/>
      <c r="DS156" s="47"/>
      <c r="DT156" s="47"/>
      <c r="DU156" s="47"/>
      <c r="DV156" s="47"/>
      <c r="DW156" s="47"/>
      <c r="DX156" s="47"/>
      <c r="DY156" s="47"/>
      <c r="DZ156" s="219"/>
      <c r="EA156" s="231"/>
      <c r="EB156" s="231"/>
      <c r="EC156" s="231"/>
      <c r="ED156" s="231"/>
      <c r="EE156" s="231"/>
      <c r="EF156" s="231"/>
      <c r="EG156" s="231"/>
      <c r="EH156" s="231"/>
      <c r="EI156" s="231"/>
      <c r="EJ156" s="231"/>
      <c r="EK156" s="231"/>
      <c r="EL156" s="231"/>
      <c r="EM156" s="231"/>
      <c r="EN156" s="231"/>
      <c r="EO156" s="231"/>
      <c r="EP156" s="231"/>
      <c r="EQ156" s="231"/>
    </row>
    <row r="157" spans="1:147" ht="22.9" customHeight="1" outlineLevel="2" x14ac:dyDescent="0.2">
      <c r="A157" s="146" t="s">
        <v>636</v>
      </c>
      <c r="B157" s="53" t="s">
        <v>69</v>
      </c>
      <c r="C157" s="50" t="s">
        <v>133</v>
      </c>
      <c r="D157" s="165">
        <v>1</v>
      </c>
      <c r="E157" s="158">
        <v>1</v>
      </c>
      <c r="F157" s="52">
        <f>SUM(H157:DY157)*E157*Table1[[#This Row],[Cycles]]</f>
        <v>0</v>
      </c>
      <c r="G157" s="46">
        <f t="shared" si="52"/>
        <v>0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7"/>
      <c r="BA157" s="47"/>
      <c r="BB157" s="47"/>
      <c r="BC157" s="47"/>
      <c r="BD157" s="47"/>
      <c r="BE157" s="47"/>
      <c r="BF157" s="47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  <c r="BS157" s="47"/>
      <c r="BT157" s="47"/>
      <c r="BU157" s="47"/>
      <c r="BV157" s="47"/>
      <c r="BW157" s="47"/>
      <c r="BX157" s="47"/>
      <c r="BY157" s="47"/>
      <c r="BZ157" s="47"/>
      <c r="CA157" s="47"/>
      <c r="CB157" s="47"/>
      <c r="CC157" s="47"/>
      <c r="CD157" s="47"/>
      <c r="CE157" s="47"/>
      <c r="CF157" s="47"/>
      <c r="CG157" s="47"/>
      <c r="CH157" s="47"/>
      <c r="CI157" s="47"/>
      <c r="CJ157" s="47"/>
      <c r="CK157" s="47"/>
      <c r="CL157" s="47"/>
      <c r="CM157" s="47"/>
      <c r="CN157" s="47"/>
      <c r="CO157" s="47"/>
      <c r="CP157" s="47"/>
      <c r="CQ157" s="47"/>
      <c r="CR157" s="47"/>
      <c r="CS157" s="47"/>
      <c r="CT157" s="47"/>
      <c r="CU157" s="47"/>
      <c r="CV157" s="47"/>
      <c r="CW157" s="47"/>
      <c r="CX157" s="47"/>
      <c r="CY157" s="47"/>
      <c r="CZ157" s="47"/>
      <c r="DA157" s="47"/>
      <c r="DB157" s="47"/>
      <c r="DC157" s="47"/>
      <c r="DD157" s="47"/>
      <c r="DE157" s="47"/>
      <c r="DF157" s="47"/>
      <c r="DG157" s="47"/>
      <c r="DH157" s="47"/>
      <c r="DI157" s="47"/>
      <c r="DJ157" s="47"/>
      <c r="DK157" s="47"/>
      <c r="DL157" s="47"/>
      <c r="DM157" s="47"/>
      <c r="DN157" s="47"/>
      <c r="DO157" s="47"/>
      <c r="DP157" s="47"/>
      <c r="DQ157" s="47"/>
      <c r="DR157" s="47"/>
      <c r="DS157" s="47"/>
      <c r="DT157" s="47"/>
      <c r="DU157" s="47"/>
      <c r="DV157" s="47"/>
      <c r="DW157" s="47"/>
      <c r="DX157" s="47"/>
      <c r="DY157" s="47"/>
      <c r="DZ157" s="219"/>
      <c r="EA157" s="231"/>
      <c r="EB157" s="231"/>
      <c r="EC157" s="231"/>
      <c r="ED157" s="231"/>
      <c r="EE157" s="231"/>
      <c r="EF157" s="231"/>
      <c r="EG157" s="231"/>
      <c r="EH157" s="231"/>
      <c r="EI157" s="231"/>
      <c r="EJ157" s="231"/>
      <c r="EK157" s="231"/>
      <c r="EL157" s="231"/>
      <c r="EM157" s="231"/>
      <c r="EN157" s="231"/>
      <c r="EO157" s="231"/>
      <c r="EP157" s="231"/>
      <c r="EQ157" s="231"/>
    </row>
    <row r="158" spans="1:147" ht="22.9" customHeight="1" outlineLevel="2" x14ac:dyDescent="0.2">
      <c r="A158" s="146" t="s">
        <v>637</v>
      </c>
      <c r="B158" s="53" t="s">
        <v>215</v>
      </c>
      <c r="C158" s="50" t="s">
        <v>133</v>
      </c>
      <c r="D158" s="165">
        <v>1</v>
      </c>
      <c r="E158" s="158">
        <v>1</v>
      </c>
      <c r="F158" s="52">
        <f>SUM(H158:DY158)*E158*Table1[[#This Row],[Cycles]]</f>
        <v>0</v>
      </c>
      <c r="G158" s="46">
        <f t="shared" si="52"/>
        <v>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  <c r="DE158" s="47"/>
      <c r="DF158" s="47"/>
      <c r="DG158" s="47"/>
      <c r="DH158" s="47"/>
      <c r="DI158" s="47"/>
      <c r="DJ158" s="47"/>
      <c r="DK158" s="47"/>
      <c r="DL158" s="47"/>
      <c r="DM158" s="47"/>
      <c r="DN158" s="47"/>
      <c r="DO158" s="47"/>
      <c r="DP158" s="47"/>
      <c r="DQ158" s="47"/>
      <c r="DR158" s="47"/>
      <c r="DS158" s="47"/>
      <c r="DT158" s="47"/>
      <c r="DU158" s="47"/>
      <c r="DV158" s="47"/>
      <c r="DW158" s="47"/>
      <c r="DX158" s="47"/>
      <c r="DY158" s="47"/>
      <c r="DZ158" s="219"/>
      <c r="EA158" s="231"/>
      <c r="EB158" s="231"/>
      <c r="EC158" s="231"/>
      <c r="ED158" s="231"/>
      <c r="EE158" s="231"/>
      <c r="EF158" s="231"/>
      <c r="EG158" s="231"/>
      <c r="EH158" s="231"/>
      <c r="EI158" s="231"/>
      <c r="EJ158" s="231"/>
      <c r="EK158" s="231"/>
      <c r="EL158" s="231"/>
      <c r="EM158" s="231"/>
      <c r="EN158" s="231"/>
      <c r="EO158" s="231"/>
      <c r="EP158" s="231"/>
      <c r="EQ158" s="231"/>
    </row>
    <row r="159" spans="1:147" ht="22.9" customHeight="1" outlineLevel="2" x14ac:dyDescent="0.2">
      <c r="A159" s="146" t="s">
        <v>638</v>
      </c>
      <c r="B159" s="53" t="s">
        <v>121</v>
      </c>
      <c r="C159" s="50" t="s">
        <v>133</v>
      </c>
      <c r="D159" s="165">
        <v>1</v>
      </c>
      <c r="E159" s="158">
        <v>1</v>
      </c>
      <c r="F159" s="52">
        <f>SUM(H159:DY159)*E159*Table1[[#This Row],[Cycles]]</f>
        <v>0</v>
      </c>
      <c r="G159" s="46">
        <f t="shared" si="52"/>
        <v>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  <c r="BS159" s="47"/>
      <c r="BT159" s="47"/>
      <c r="BU159" s="47"/>
      <c r="BV159" s="47"/>
      <c r="BW159" s="47"/>
      <c r="BX159" s="47"/>
      <c r="BY159" s="47"/>
      <c r="BZ159" s="47"/>
      <c r="CA159" s="47"/>
      <c r="CB159" s="47"/>
      <c r="CC159" s="47"/>
      <c r="CD159" s="47"/>
      <c r="CE159" s="47"/>
      <c r="CF159" s="47"/>
      <c r="CG159" s="47"/>
      <c r="CH159" s="47"/>
      <c r="CI159" s="47"/>
      <c r="CJ159" s="47"/>
      <c r="CK159" s="47"/>
      <c r="CL159" s="47"/>
      <c r="CM159" s="47"/>
      <c r="CN159" s="47"/>
      <c r="CO159" s="47"/>
      <c r="CP159" s="47"/>
      <c r="CQ159" s="47"/>
      <c r="CR159" s="47"/>
      <c r="CS159" s="47"/>
      <c r="CT159" s="47"/>
      <c r="CU159" s="47"/>
      <c r="CV159" s="47"/>
      <c r="CW159" s="47"/>
      <c r="CX159" s="47"/>
      <c r="CY159" s="47"/>
      <c r="CZ159" s="47"/>
      <c r="DA159" s="47"/>
      <c r="DB159" s="47"/>
      <c r="DC159" s="47"/>
      <c r="DD159" s="47"/>
      <c r="DE159" s="47"/>
      <c r="DF159" s="47"/>
      <c r="DG159" s="47"/>
      <c r="DH159" s="47"/>
      <c r="DI159" s="47"/>
      <c r="DJ159" s="47"/>
      <c r="DK159" s="47"/>
      <c r="DL159" s="47"/>
      <c r="DM159" s="47"/>
      <c r="DN159" s="47"/>
      <c r="DO159" s="47"/>
      <c r="DP159" s="47"/>
      <c r="DQ159" s="47"/>
      <c r="DR159" s="47"/>
      <c r="DS159" s="47"/>
      <c r="DT159" s="47"/>
      <c r="DU159" s="47"/>
      <c r="DV159" s="47"/>
      <c r="DW159" s="47"/>
      <c r="DX159" s="47"/>
      <c r="DY159" s="47"/>
      <c r="DZ159" s="219"/>
      <c r="EA159" s="231"/>
      <c r="EB159" s="231"/>
      <c r="EC159" s="231"/>
      <c r="ED159" s="231"/>
      <c r="EE159" s="231"/>
      <c r="EF159" s="231"/>
      <c r="EG159" s="231"/>
      <c r="EH159" s="231"/>
      <c r="EI159" s="231"/>
      <c r="EJ159" s="231"/>
      <c r="EK159" s="231"/>
      <c r="EL159" s="231"/>
      <c r="EM159" s="231"/>
      <c r="EN159" s="231"/>
      <c r="EO159" s="231"/>
      <c r="EP159" s="231"/>
      <c r="EQ159" s="231"/>
    </row>
    <row r="160" spans="1:147" ht="22.9" customHeight="1" outlineLevel="2" x14ac:dyDescent="0.2">
      <c r="A160" s="146" t="s">
        <v>639</v>
      </c>
      <c r="B160" s="53" t="s">
        <v>145</v>
      </c>
      <c r="C160" s="50" t="s">
        <v>133</v>
      </c>
      <c r="D160" s="165">
        <v>1</v>
      </c>
      <c r="E160" s="158">
        <v>1</v>
      </c>
      <c r="F160" s="52">
        <f>SUM(H160:DY160)*E160*Table1[[#This Row],[Cycles]]</f>
        <v>0</v>
      </c>
      <c r="G160" s="46">
        <f t="shared" si="52"/>
        <v>0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  <c r="BS160" s="47"/>
      <c r="BT160" s="47"/>
      <c r="BU160" s="47"/>
      <c r="BV160" s="47"/>
      <c r="BW160" s="47"/>
      <c r="BX160" s="47"/>
      <c r="BY160" s="47"/>
      <c r="BZ160" s="47"/>
      <c r="CA160" s="47"/>
      <c r="CB160" s="47"/>
      <c r="CC160" s="47"/>
      <c r="CD160" s="47"/>
      <c r="CE160" s="47"/>
      <c r="CF160" s="47"/>
      <c r="CG160" s="47"/>
      <c r="CH160" s="47"/>
      <c r="CI160" s="47"/>
      <c r="CJ160" s="47"/>
      <c r="CK160" s="47"/>
      <c r="CL160" s="47"/>
      <c r="CM160" s="47"/>
      <c r="CN160" s="47"/>
      <c r="CO160" s="47"/>
      <c r="CP160" s="47"/>
      <c r="CQ160" s="47"/>
      <c r="CR160" s="47"/>
      <c r="CS160" s="47"/>
      <c r="CT160" s="47"/>
      <c r="CU160" s="47"/>
      <c r="CV160" s="47"/>
      <c r="CW160" s="47"/>
      <c r="CX160" s="47"/>
      <c r="CY160" s="47"/>
      <c r="CZ160" s="47"/>
      <c r="DA160" s="47"/>
      <c r="DB160" s="47"/>
      <c r="DC160" s="47"/>
      <c r="DD160" s="47"/>
      <c r="DE160" s="47"/>
      <c r="DF160" s="47"/>
      <c r="DG160" s="47"/>
      <c r="DH160" s="47"/>
      <c r="DI160" s="47"/>
      <c r="DJ160" s="47"/>
      <c r="DK160" s="47"/>
      <c r="DL160" s="47"/>
      <c r="DM160" s="47"/>
      <c r="DN160" s="47"/>
      <c r="DO160" s="47"/>
      <c r="DP160" s="47"/>
      <c r="DQ160" s="47"/>
      <c r="DR160" s="47"/>
      <c r="DS160" s="47"/>
      <c r="DT160" s="47"/>
      <c r="DU160" s="47"/>
      <c r="DV160" s="47"/>
      <c r="DW160" s="47"/>
      <c r="DX160" s="47"/>
      <c r="DY160" s="47"/>
      <c r="DZ160" s="219"/>
      <c r="EA160" s="231"/>
      <c r="EB160" s="231"/>
      <c r="EC160" s="231"/>
      <c r="ED160" s="231"/>
      <c r="EE160" s="231"/>
      <c r="EF160" s="231"/>
      <c r="EG160" s="231"/>
      <c r="EH160" s="231"/>
      <c r="EI160" s="231"/>
      <c r="EJ160" s="231"/>
      <c r="EK160" s="231"/>
      <c r="EL160" s="231"/>
      <c r="EM160" s="231"/>
      <c r="EN160" s="231"/>
      <c r="EO160" s="231"/>
      <c r="EP160" s="231"/>
      <c r="EQ160" s="231"/>
    </row>
    <row r="161" spans="1:147" ht="22.9" customHeight="1" outlineLevel="2" x14ac:dyDescent="0.2">
      <c r="A161" s="146" t="s">
        <v>640</v>
      </c>
      <c r="B161" s="53" t="s">
        <v>443</v>
      </c>
      <c r="C161" s="50" t="s">
        <v>133</v>
      </c>
      <c r="D161" s="165">
        <v>1</v>
      </c>
      <c r="E161" s="158">
        <v>1</v>
      </c>
      <c r="F161" s="52">
        <f>SUM(H161:DY161)*E161*Table1[[#This Row],[Cycles]]</f>
        <v>0</v>
      </c>
      <c r="G161" s="46">
        <f t="shared" si="52"/>
        <v>0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7"/>
      <c r="BA161" s="47"/>
      <c r="BB161" s="47"/>
      <c r="BC161" s="47"/>
      <c r="BD161" s="47"/>
      <c r="BE161" s="47"/>
      <c r="BF161" s="47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7"/>
      <c r="CF161" s="47"/>
      <c r="CG161" s="47"/>
      <c r="CH161" s="47"/>
      <c r="CI161" s="47"/>
      <c r="CJ161" s="47"/>
      <c r="CK161" s="47"/>
      <c r="CL161" s="47"/>
      <c r="CM161" s="47"/>
      <c r="CN161" s="47"/>
      <c r="CO161" s="47"/>
      <c r="CP161" s="47"/>
      <c r="CQ161" s="47"/>
      <c r="CR161" s="47"/>
      <c r="CS161" s="47"/>
      <c r="CT161" s="47"/>
      <c r="CU161" s="47"/>
      <c r="CV161" s="47"/>
      <c r="CW161" s="47"/>
      <c r="CX161" s="47"/>
      <c r="CY161" s="47"/>
      <c r="CZ161" s="47"/>
      <c r="DA161" s="47"/>
      <c r="DB161" s="47"/>
      <c r="DC161" s="47"/>
      <c r="DD161" s="47"/>
      <c r="DE161" s="47"/>
      <c r="DF161" s="47"/>
      <c r="DG161" s="47"/>
      <c r="DH161" s="47"/>
      <c r="DI161" s="47"/>
      <c r="DJ161" s="47"/>
      <c r="DK161" s="47"/>
      <c r="DL161" s="47"/>
      <c r="DM161" s="47"/>
      <c r="DN161" s="47"/>
      <c r="DO161" s="47"/>
      <c r="DP161" s="47"/>
      <c r="DQ161" s="47"/>
      <c r="DR161" s="47"/>
      <c r="DS161" s="47"/>
      <c r="DT161" s="47"/>
      <c r="DU161" s="47"/>
      <c r="DV161" s="47"/>
      <c r="DW161" s="47"/>
      <c r="DX161" s="47"/>
      <c r="DY161" s="47"/>
      <c r="DZ161" s="219"/>
      <c r="EA161" s="231"/>
      <c r="EB161" s="231"/>
      <c r="EC161" s="231"/>
      <c r="ED161" s="231"/>
      <c r="EE161" s="231"/>
      <c r="EF161" s="231"/>
      <c r="EG161" s="231"/>
      <c r="EH161" s="231"/>
      <c r="EI161" s="231"/>
      <c r="EJ161" s="231"/>
      <c r="EK161" s="231"/>
      <c r="EL161" s="231"/>
      <c r="EM161" s="231"/>
      <c r="EN161" s="231"/>
      <c r="EO161" s="231"/>
      <c r="EP161" s="231"/>
      <c r="EQ161" s="231"/>
    </row>
    <row r="162" spans="1:147" s="40" customFormat="1" ht="22.9" customHeight="1" outlineLevel="1" x14ac:dyDescent="0.2">
      <c r="A162" s="149" t="s">
        <v>641</v>
      </c>
      <c r="B162" s="34" t="s">
        <v>437</v>
      </c>
      <c r="C162" s="30" t="s">
        <v>100</v>
      </c>
      <c r="D162" s="164"/>
      <c r="E162" s="164"/>
      <c r="F162" s="45">
        <f>SUM(F163:F194)</f>
        <v>0</v>
      </c>
      <c r="G162" s="45">
        <f>SUM(G163:G194)</f>
        <v>0</v>
      </c>
      <c r="H162" s="45">
        <f>SUMPRODUCT($D$163:$D$194,$E$163:$E$194,H163:H194)</f>
        <v>0</v>
      </c>
      <c r="I162" s="45">
        <f t="shared" ref="I162:BT162" si="53">SUMPRODUCT($D$163:$D$194,$E$163:$E$194,I163:I194)</f>
        <v>0</v>
      </c>
      <c r="J162" s="45">
        <f t="shared" si="53"/>
        <v>0</v>
      </c>
      <c r="K162" s="45">
        <f t="shared" si="53"/>
        <v>0</v>
      </c>
      <c r="L162" s="45">
        <f>SUMPRODUCT($D$163:$D$194,$E$163:$E$194,L163:L194)</f>
        <v>0</v>
      </c>
      <c r="M162" s="45">
        <f t="shared" si="53"/>
        <v>0</v>
      </c>
      <c r="N162" s="45">
        <f t="shared" si="53"/>
        <v>0</v>
      </c>
      <c r="O162" s="45">
        <f t="shared" si="53"/>
        <v>0</v>
      </c>
      <c r="P162" s="45">
        <f t="shared" si="53"/>
        <v>0</v>
      </c>
      <c r="Q162" s="45">
        <f t="shared" si="53"/>
        <v>0</v>
      </c>
      <c r="R162" s="45">
        <f t="shared" si="53"/>
        <v>0</v>
      </c>
      <c r="S162" s="45">
        <f t="shared" si="53"/>
        <v>0</v>
      </c>
      <c r="T162" s="45">
        <f t="shared" si="53"/>
        <v>0</v>
      </c>
      <c r="U162" s="45">
        <f t="shared" si="53"/>
        <v>0</v>
      </c>
      <c r="V162" s="45">
        <f t="shared" si="53"/>
        <v>0</v>
      </c>
      <c r="W162" s="45">
        <f t="shared" si="53"/>
        <v>0</v>
      </c>
      <c r="X162" s="45">
        <f t="shared" si="53"/>
        <v>0</v>
      </c>
      <c r="Y162" s="45">
        <f t="shared" si="53"/>
        <v>0</v>
      </c>
      <c r="Z162" s="45">
        <f t="shared" si="53"/>
        <v>0</v>
      </c>
      <c r="AA162" s="45">
        <f t="shared" si="53"/>
        <v>0</v>
      </c>
      <c r="AB162" s="45">
        <f t="shared" si="53"/>
        <v>0</v>
      </c>
      <c r="AC162" s="45">
        <f t="shared" si="53"/>
        <v>0</v>
      </c>
      <c r="AD162" s="45">
        <f t="shared" si="53"/>
        <v>0</v>
      </c>
      <c r="AE162" s="45">
        <f t="shared" si="53"/>
        <v>0</v>
      </c>
      <c r="AF162" s="45">
        <f t="shared" si="53"/>
        <v>0</v>
      </c>
      <c r="AG162" s="45">
        <f t="shared" si="53"/>
        <v>0</v>
      </c>
      <c r="AH162" s="45">
        <f t="shared" si="53"/>
        <v>0</v>
      </c>
      <c r="AI162" s="45">
        <f t="shared" si="53"/>
        <v>0</v>
      </c>
      <c r="AJ162" s="45">
        <f t="shared" si="53"/>
        <v>0</v>
      </c>
      <c r="AK162" s="45">
        <f t="shared" si="53"/>
        <v>0</v>
      </c>
      <c r="AL162" s="45">
        <f t="shared" si="53"/>
        <v>0</v>
      </c>
      <c r="AM162" s="45">
        <f t="shared" si="53"/>
        <v>0</v>
      </c>
      <c r="AN162" s="45">
        <f t="shared" si="53"/>
        <v>0</v>
      </c>
      <c r="AO162" s="45">
        <f t="shared" si="53"/>
        <v>0</v>
      </c>
      <c r="AP162" s="45">
        <f t="shared" si="53"/>
        <v>0</v>
      </c>
      <c r="AQ162" s="45">
        <f t="shared" si="53"/>
        <v>0</v>
      </c>
      <c r="AR162" s="45">
        <f t="shared" si="53"/>
        <v>0</v>
      </c>
      <c r="AS162" s="45">
        <f t="shared" si="53"/>
        <v>0</v>
      </c>
      <c r="AT162" s="45">
        <f t="shared" si="53"/>
        <v>0</v>
      </c>
      <c r="AU162" s="45">
        <f t="shared" si="53"/>
        <v>0</v>
      </c>
      <c r="AV162" s="45">
        <f t="shared" si="53"/>
        <v>0</v>
      </c>
      <c r="AW162" s="45">
        <f t="shared" si="53"/>
        <v>0</v>
      </c>
      <c r="AX162" s="45">
        <f t="shared" si="53"/>
        <v>0</v>
      </c>
      <c r="AY162" s="45">
        <f t="shared" si="53"/>
        <v>0</v>
      </c>
      <c r="AZ162" s="45">
        <f t="shared" si="53"/>
        <v>0</v>
      </c>
      <c r="BA162" s="45">
        <f t="shared" si="53"/>
        <v>0</v>
      </c>
      <c r="BB162" s="45">
        <f t="shared" si="53"/>
        <v>0</v>
      </c>
      <c r="BC162" s="45">
        <f t="shared" si="53"/>
        <v>0</v>
      </c>
      <c r="BD162" s="45">
        <f t="shared" si="53"/>
        <v>0</v>
      </c>
      <c r="BE162" s="45">
        <f t="shared" si="53"/>
        <v>0</v>
      </c>
      <c r="BF162" s="45">
        <f t="shared" si="53"/>
        <v>0</v>
      </c>
      <c r="BG162" s="45">
        <f t="shared" si="53"/>
        <v>0</v>
      </c>
      <c r="BH162" s="45">
        <f t="shared" si="53"/>
        <v>0</v>
      </c>
      <c r="BI162" s="45">
        <f t="shared" si="53"/>
        <v>0</v>
      </c>
      <c r="BJ162" s="45">
        <f t="shared" si="53"/>
        <v>0</v>
      </c>
      <c r="BK162" s="45">
        <f t="shared" si="53"/>
        <v>0</v>
      </c>
      <c r="BL162" s="45">
        <f t="shared" si="53"/>
        <v>0</v>
      </c>
      <c r="BM162" s="45">
        <f t="shared" si="53"/>
        <v>0</v>
      </c>
      <c r="BN162" s="45">
        <f t="shared" si="53"/>
        <v>0</v>
      </c>
      <c r="BO162" s="45">
        <f t="shared" si="53"/>
        <v>0</v>
      </c>
      <c r="BP162" s="45">
        <f t="shared" si="53"/>
        <v>0</v>
      </c>
      <c r="BQ162" s="45">
        <f t="shared" si="53"/>
        <v>0</v>
      </c>
      <c r="BR162" s="45">
        <f t="shared" si="53"/>
        <v>0</v>
      </c>
      <c r="BS162" s="45">
        <f t="shared" si="53"/>
        <v>0</v>
      </c>
      <c r="BT162" s="45">
        <f t="shared" si="53"/>
        <v>0</v>
      </c>
      <c r="BU162" s="45">
        <f t="shared" ref="BU162:DY162" si="54">SUMPRODUCT($D$163:$D$194,$E$163:$E$194,BU163:BU194)</f>
        <v>0</v>
      </c>
      <c r="BV162" s="45">
        <f t="shared" si="54"/>
        <v>0</v>
      </c>
      <c r="BW162" s="45">
        <f t="shared" si="54"/>
        <v>0</v>
      </c>
      <c r="BX162" s="45">
        <f t="shared" si="54"/>
        <v>0</v>
      </c>
      <c r="BY162" s="45">
        <f t="shared" si="54"/>
        <v>0</v>
      </c>
      <c r="BZ162" s="45">
        <f t="shared" si="54"/>
        <v>0</v>
      </c>
      <c r="CA162" s="45">
        <f t="shared" si="54"/>
        <v>0</v>
      </c>
      <c r="CB162" s="45">
        <f t="shared" si="54"/>
        <v>0</v>
      </c>
      <c r="CC162" s="45">
        <f t="shared" si="54"/>
        <v>0</v>
      </c>
      <c r="CD162" s="45">
        <f t="shared" si="54"/>
        <v>0</v>
      </c>
      <c r="CE162" s="45">
        <f t="shared" si="54"/>
        <v>0</v>
      </c>
      <c r="CF162" s="45">
        <f t="shared" si="54"/>
        <v>0</v>
      </c>
      <c r="CG162" s="45">
        <f t="shared" si="54"/>
        <v>0</v>
      </c>
      <c r="CH162" s="45">
        <f t="shared" si="54"/>
        <v>0</v>
      </c>
      <c r="CI162" s="45">
        <f t="shared" si="54"/>
        <v>0</v>
      </c>
      <c r="CJ162" s="45">
        <f t="shared" si="54"/>
        <v>0</v>
      </c>
      <c r="CK162" s="45">
        <f t="shared" si="54"/>
        <v>0</v>
      </c>
      <c r="CL162" s="45">
        <f t="shared" si="54"/>
        <v>0</v>
      </c>
      <c r="CM162" s="45">
        <f t="shared" si="54"/>
        <v>0</v>
      </c>
      <c r="CN162" s="45">
        <f t="shared" si="54"/>
        <v>0</v>
      </c>
      <c r="CO162" s="45">
        <f t="shared" si="54"/>
        <v>0</v>
      </c>
      <c r="CP162" s="45">
        <f t="shared" si="54"/>
        <v>0</v>
      </c>
      <c r="CQ162" s="45">
        <f t="shared" si="54"/>
        <v>0</v>
      </c>
      <c r="CR162" s="45">
        <f t="shared" si="54"/>
        <v>0</v>
      </c>
      <c r="CS162" s="45">
        <f t="shared" si="54"/>
        <v>0</v>
      </c>
      <c r="CT162" s="45">
        <f t="shared" si="54"/>
        <v>0</v>
      </c>
      <c r="CU162" s="45">
        <f t="shared" si="54"/>
        <v>0</v>
      </c>
      <c r="CV162" s="45">
        <f t="shared" si="54"/>
        <v>0</v>
      </c>
      <c r="CW162" s="45">
        <f t="shared" si="54"/>
        <v>0</v>
      </c>
      <c r="CX162" s="45">
        <f t="shared" si="54"/>
        <v>0</v>
      </c>
      <c r="CY162" s="45">
        <f t="shared" si="54"/>
        <v>0</v>
      </c>
      <c r="CZ162" s="45">
        <f t="shared" si="54"/>
        <v>0</v>
      </c>
      <c r="DA162" s="45">
        <f t="shared" si="54"/>
        <v>0</v>
      </c>
      <c r="DB162" s="45">
        <f t="shared" si="54"/>
        <v>0</v>
      </c>
      <c r="DC162" s="45">
        <f t="shared" si="54"/>
        <v>0</v>
      </c>
      <c r="DD162" s="45">
        <f t="shared" si="54"/>
        <v>0</v>
      </c>
      <c r="DE162" s="45">
        <f t="shared" si="54"/>
        <v>0</v>
      </c>
      <c r="DF162" s="45">
        <f t="shared" si="54"/>
        <v>0</v>
      </c>
      <c r="DG162" s="45">
        <f t="shared" si="54"/>
        <v>0</v>
      </c>
      <c r="DH162" s="45">
        <f t="shared" si="54"/>
        <v>0</v>
      </c>
      <c r="DI162" s="45">
        <f t="shared" si="54"/>
        <v>0</v>
      </c>
      <c r="DJ162" s="45">
        <f t="shared" si="54"/>
        <v>0</v>
      </c>
      <c r="DK162" s="45">
        <f t="shared" si="54"/>
        <v>0</v>
      </c>
      <c r="DL162" s="45">
        <f t="shared" si="54"/>
        <v>0</v>
      </c>
      <c r="DM162" s="45">
        <f t="shared" si="54"/>
        <v>0</v>
      </c>
      <c r="DN162" s="45">
        <f t="shared" si="54"/>
        <v>0</v>
      </c>
      <c r="DO162" s="45">
        <f t="shared" si="54"/>
        <v>0</v>
      </c>
      <c r="DP162" s="45">
        <f t="shared" si="54"/>
        <v>0</v>
      </c>
      <c r="DQ162" s="45">
        <f t="shared" si="54"/>
        <v>0</v>
      </c>
      <c r="DR162" s="45">
        <f t="shared" si="54"/>
        <v>0</v>
      </c>
      <c r="DS162" s="45">
        <f t="shared" si="54"/>
        <v>0</v>
      </c>
      <c r="DT162" s="45">
        <f t="shared" si="54"/>
        <v>0</v>
      </c>
      <c r="DU162" s="45">
        <f t="shared" si="54"/>
        <v>0</v>
      </c>
      <c r="DV162" s="45">
        <f t="shared" si="54"/>
        <v>0</v>
      </c>
      <c r="DW162" s="45">
        <f t="shared" si="54"/>
        <v>0</v>
      </c>
      <c r="DX162" s="45">
        <f t="shared" si="54"/>
        <v>0</v>
      </c>
      <c r="DY162" s="45">
        <f t="shared" si="54"/>
        <v>0</v>
      </c>
      <c r="DZ162" s="218"/>
      <c r="EA162" s="231"/>
      <c r="EB162" s="231"/>
      <c r="EC162" s="231"/>
      <c r="ED162" s="231"/>
      <c r="EE162" s="231"/>
      <c r="EF162" s="231"/>
      <c r="EG162" s="231"/>
      <c r="EH162" s="231"/>
      <c r="EI162" s="231"/>
      <c r="EJ162" s="231"/>
      <c r="EK162" s="231"/>
      <c r="EL162" s="231"/>
      <c r="EM162" s="231"/>
      <c r="EN162" s="231"/>
      <c r="EO162" s="231"/>
      <c r="EP162" s="231"/>
      <c r="EQ162" s="231"/>
    </row>
    <row r="163" spans="1:147" ht="22.9" customHeight="1" outlineLevel="2" x14ac:dyDescent="0.2">
      <c r="A163" s="146" t="s">
        <v>642</v>
      </c>
      <c r="B163" s="53" t="s">
        <v>70</v>
      </c>
      <c r="C163" s="50" t="s">
        <v>133</v>
      </c>
      <c r="D163" s="165">
        <v>1</v>
      </c>
      <c r="E163" s="158">
        <v>1</v>
      </c>
      <c r="F163" s="52">
        <f>SUM(H163:DY163)*E163*Table1[[#This Row],[Cycles]]</f>
        <v>0</v>
      </c>
      <c r="G163" s="46">
        <f>SUMPRODUCT($H$2:$DY$2,$H163:$DY163)*E163*D163</f>
        <v>0</v>
      </c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7"/>
      <c r="BA163" s="47"/>
      <c r="BB163" s="47"/>
      <c r="BC163" s="47"/>
      <c r="BD163" s="47"/>
      <c r="BE163" s="47"/>
      <c r="BF163" s="47"/>
      <c r="BG163" s="47"/>
      <c r="BH163" s="47"/>
      <c r="BI163" s="47"/>
      <c r="BJ163" s="47"/>
      <c r="BK163" s="47"/>
      <c r="BL163" s="47"/>
      <c r="BM163" s="47"/>
      <c r="BN163" s="47"/>
      <c r="BO163" s="47"/>
      <c r="BP163" s="47"/>
      <c r="BQ163" s="47"/>
      <c r="BR163" s="47"/>
      <c r="BS163" s="47"/>
      <c r="BT163" s="47"/>
      <c r="BU163" s="47"/>
      <c r="BV163" s="47"/>
      <c r="BW163" s="47"/>
      <c r="BX163" s="47"/>
      <c r="BY163" s="47"/>
      <c r="BZ163" s="47"/>
      <c r="CA163" s="47"/>
      <c r="CB163" s="47"/>
      <c r="CC163" s="47"/>
      <c r="CD163" s="47"/>
      <c r="CE163" s="47"/>
      <c r="CF163" s="47"/>
      <c r="CG163" s="47"/>
      <c r="CH163" s="47"/>
      <c r="CI163" s="47"/>
      <c r="CJ163" s="47"/>
      <c r="CK163" s="47"/>
      <c r="CL163" s="47"/>
      <c r="CM163" s="47"/>
      <c r="CN163" s="47"/>
      <c r="CO163" s="47"/>
      <c r="CP163" s="47"/>
      <c r="CQ163" s="47"/>
      <c r="CR163" s="47"/>
      <c r="CS163" s="47"/>
      <c r="CT163" s="47"/>
      <c r="CU163" s="47"/>
      <c r="CV163" s="47"/>
      <c r="CW163" s="47"/>
      <c r="CX163" s="47"/>
      <c r="CY163" s="47"/>
      <c r="CZ163" s="47"/>
      <c r="DA163" s="47"/>
      <c r="DB163" s="47"/>
      <c r="DC163" s="47"/>
      <c r="DD163" s="47"/>
      <c r="DE163" s="47"/>
      <c r="DF163" s="47"/>
      <c r="DG163" s="47"/>
      <c r="DH163" s="47"/>
      <c r="DI163" s="47"/>
      <c r="DJ163" s="47"/>
      <c r="DK163" s="47"/>
      <c r="DL163" s="47"/>
      <c r="DM163" s="47"/>
      <c r="DN163" s="47"/>
      <c r="DO163" s="47"/>
      <c r="DP163" s="47"/>
      <c r="DQ163" s="47"/>
      <c r="DR163" s="47"/>
      <c r="DS163" s="47"/>
      <c r="DT163" s="47"/>
      <c r="DU163" s="47"/>
      <c r="DV163" s="47"/>
      <c r="DW163" s="47"/>
      <c r="DX163" s="47"/>
      <c r="DY163" s="47"/>
      <c r="DZ163" s="219"/>
      <c r="EA163" s="231"/>
      <c r="EB163" s="231"/>
      <c r="EC163" s="231"/>
      <c r="ED163" s="231"/>
      <c r="EE163" s="231"/>
      <c r="EF163" s="231"/>
      <c r="EG163" s="231"/>
      <c r="EH163" s="231"/>
      <c r="EI163" s="231"/>
      <c r="EJ163" s="231"/>
      <c r="EK163" s="231"/>
      <c r="EL163" s="231"/>
      <c r="EM163" s="231"/>
      <c r="EN163" s="231"/>
      <c r="EO163" s="231"/>
      <c r="EP163" s="231"/>
      <c r="EQ163" s="231"/>
    </row>
    <row r="164" spans="1:147" ht="22.9" customHeight="1" outlineLevel="2" x14ac:dyDescent="0.2">
      <c r="A164" s="146" t="s">
        <v>643</v>
      </c>
      <c r="B164" s="53" t="s">
        <v>71</v>
      </c>
      <c r="C164" s="50" t="s">
        <v>133</v>
      </c>
      <c r="D164" s="165">
        <v>1</v>
      </c>
      <c r="E164" s="158">
        <v>1</v>
      </c>
      <c r="F164" s="52">
        <f>SUM(H164:DY164)*E164*Table1[[#This Row],[Cycles]]</f>
        <v>0</v>
      </c>
      <c r="G164" s="46">
        <f t="shared" ref="G164:G181" si="55">SUMPRODUCT($H$2:$DY$2,$H164:$DY164)*E164*D164</f>
        <v>0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7"/>
      <c r="BA164" s="47"/>
      <c r="BB164" s="47"/>
      <c r="BC164" s="47"/>
      <c r="BD164" s="47"/>
      <c r="BE164" s="47"/>
      <c r="BF164" s="47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  <c r="BS164" s="47"/>
      <c r="BT164" s="47"/>
      <c r="BU164" s="47"/>
      <c r="BV164" s="47"/>
      <c r="BW164" s="47"/>
      <c r="BX164" s="47"/>
      <c r="BY164" s="47"/>
      <c r="BZ164" s="47"/>
      <c r="CA164" s="47"/>
      <c r="CB164" s="47"/>
      <c r="CC164" s="47"/>
      <c r="CD164" s="47"/>
      <c r="CE164" s="47"/>
      <c r="CF164" s="47"/>
      <c r="CG164" s="47"/>
      <c r="CH164" s="47"/>
      <c r="CI164" s="47"/>
      <c r="CJ164" s="47"/>
      <c r="CK164" s="47"/>
      <c r="CL164" s="47"/>
      <c r="CM164" s="47"/>
      <c r="CN164" s="47"/>
      <c r="CO164" s="47"/>
      <c r="CP164" s="47"/>
      <c r="CQ164" s="47"/>
      <c r="CR164" s="47"/>
      <c r="CS164" s="47"/>
      <c r="CT164" s="47"/>
      <c r="CU164" s="47"/>
      <c r="CV164" s="47"/>
      <c r="CW164" s="47"/>
      <c r="CX164" s="47"/>
      <c r="CY164" s="47"/>
      <c r="CZ164" s="47"/>
      <c r="DA164" s="47"/>
      <c r="DB164" s="47"/>
      <c r="DC164" s="47"/>
      <c r="DD164" s="47"/>
      <c r="DE164" s="47"/>
      <c r="DF164" s="47"/>
      <c r="DG164" s="47"/>
      <c r="DH164" s="47"/>
      <c r="DI164" s="47"/>
      <c r="DJ164" s="47"/>
      <c r="DK164" s="47"/>
      <c r="DL164" s="47"/>
      <c r="DM164" s="47"/>
      <c r="DN164" s="47"/>
      <c r="DO164" s="47"/>
      <c r="DP164" s="47"/>
      <c r="DQ164" s="47"/>
      <c r="DR164" s="47"/>
      <c r="DS164" s="47"/>
      <c r="DT164" s="47"/>
      <c r="DU164" s="47"/>
      <c r="DV164" s="47"/>
      <c r="DW164" s="47"/>
      <c r="DX164" s="47"/>
      <c r="DY164" s="47"/>
      <c r="DZ164" s="219"/>
      <c r="EA164" s="231"/>
      <c r="EB164" s="231"/>
      <c r="EC164" s="231"/>
      <c r="ED164" s="231"/>
      <c r="EE164" s="231"/>
      <c r="EF164" s="231"/>
      <c r="EG164" s="231"/>
      <c r="EH164" s="231"/>
      <c r="EI164" s="231"/>
      <c r="EJ164" s="231"/>
      <c r="EK164" s="231"/>
      <c r="EL164" s="231"/>
      <c r="EM164" s="231"/>
      <c r="EN164" s="231"/>
      <c r="EO164" s="231"/>
      <c r="EP164" s="231"/>
      <c r="EQ164" s="231"/>
    </row>
    <row r="165" spans="1:147" ht="22.9" customHeight="1" outlineLevel="2" x14ac:dyDescent="0.2">
      <c r="A165" s="146" t="s">
        <v>644</v>
      </c>
      <c r="B165" s="53" t="s">
        <v>72</v>
      </c>
      <c r="C165" s="50" t="s">
        <v>133</v>
      </c>
      <c r="D165" s="165">
        <v>1</v>
      </c>
      <c r="E165" s="158">
        <v>1</v>
      </c>
      <c r="F165" s="52">
        <f>SUM(H165:DY165)*E165*Table1[[#This Row],[Cycles]]</f>
        <v>0</v>
      </c>
      <c r="G165" s="46">
        <f t="shared" si="55"/>
        <v>0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7"/>
      <c r="BA165" s="47"/>
      <c r="BB165" s="47"/>
      <c r="BC165" s="47"/>
      <c r="BD165" s="47"/>
      <c r="BE165" s="47"/>
      <c r="BF165" s="47"/>
      <c r="BG165" s="47"/>
      <c r="BH165" s="47"/>
      <c r="BI165" s="47"/>
      <c r="BJ165" s="47"/>
      <c r="BK165" s="47"/>
      <c r="BL165" s="47"/>
      <c r="BM165" s="47"/>
      <c r="BN165" s="47"/>
      <c r="BO165" s="47"/>
      <c r="BP165" s="47"/>
      <c r="BQ165" s="47"/>
      <c r="BR165" s="47"/>
      <c r="BS165" s="47"/>
      <c r="BT165" s="47"/>
      <c r="BU165" s="47"/>
      <c r="BV165" s="47"/>
      <c r="BW165" s="47"/>
      <c r="BX165" s="47"/>
      <c r="BY165" s="47"/>
      <c r="BZ165" s="47"/>
      <c r="CA165" s="47"/>
      <c r="CB165" s="47"/>
      <c r="CC165" s="47"/>
      <c r="CD165" s="47"/>
      <c r="CE165" s="47"/>
      <c r="CF165" s="47"/>
      <c r="CG165" s="47"/>
      <c r="CH165" s="47"/>
      <c r="CI165" s="47"/>
      <c r="CJ165" s="47"/>
      <c r="CK165" s="47"/>
      <c r="CL165" s="47"/>
      <c r="CM165" s="47"/>
      <c r="CN165" s="47"/>
      <c r="CO165" s="47"/>
      <c r="CP165" s="47"/>
      <c r="CQ165" s="47"/>
      <c r="CR165" s="47"/>
      <c r="CS165" s="47"/>
      <c r="CT165" s="47"/>
      <c r="CU165" s="47"/>
      <c r="CV165" s="47"/>
      <c r="CW165" s="47"/>
      <c r="CX165" s="47"/>
      <c r="CY165" s="47"/>
      <c r="CZ165" s="47"/>
      <c r="DA165" s="47"/>
      <c r="DB165" s="47"/>
      <c r="DC165" s="47"/>
      <c r="DD165" s="47"/>
      <c r="DE165" s="47"/>
      <c r="DF165" s="47"/>
      <c r="DG165" s="47"/>
      <c r="DH165" s="47"/>
      <c r="DI165" s="47"/>
      <c r="DJ165" s="47"/>
      <c r="DK165" s="47"/>
      <c r="DL165" s="47"/>
      <c r="DM165" s="47"/>
      <c r="DN165" s="47"/>
      <c r="DO165" s="47"/>
      <c r="DP165" s="47"/>
      <c r="DQ165" s="47"/>
      <c r="DR165" s="47"/>
      <c r="DS165" s="47"/>
      <c r="DT165" s="47"/>
      <c r="DU165" s="47"/>
      <c r="DV165" s="47"/>
      <c r="DW165" s="47"/>
      <c r="DX165" s="47"/>
      <c r="DY165" s="47"/>
      <c r="DZ165" s="219"/>
      <c r="EA165" s="231"/>
      <c r="EB165" s="231"/>
      <c r="EC165" s="231"/>
      <c r="ED165" s="231"/>
      <c r="EE165" s="231"/>
      <c r="EF165" s="231"/>
      <c r="EG165" s="231"/>
      <c r="EH165" s="231"/>
      <c r="EI165" s="231"/>
      <c r="EJ165" s="231"/>
      <c r="EK165" s="231"/>
      <c r="EL165" s="231"/>
      <c r="EM165" s="231"/>
      <c r="EN165" s="231"/>
      <c r="EO165" s="231"/>
      <c r="EP165" s="231"/>
      <c r="EQ165" s="231"/>
    </row>
    <row r="166" spans="1:147" ht="22.9" customHeight="1" outlineLevel="2" x14ac:dyDescent="0.2">
      <c r="A166" s="146" t="s">
        <v>645</v>
      </c>
      <c r="B166" s="53" t="s">
        <v>73</v>
      </c>
      <c r="C166" s="50" t="s">
        <v>133</v>
      </c>
      <c r="D166" s="165">
        <v>1</v>
      </c>
      <c r="E166" s="158">
        <v>1</v>
      </c>
      <c r="F166" s="52">
        <f>SUM(H166:DY166)*E166*Table1[[#This Row],[Cycles]]</f>
        <v>0</v>
      </c>
      <c r="G166" s="46">
        <f t="shared" si="55"/>
        <v>0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7"/>
      <c r="BA166" s="47"/>
      <c r="BB166" s="47"/>
      <c r="BC166" s="47"/>
      <c r="BD166" s="47"/>
      <c r="BE166" s="47"/>
      <c r="BF166" s="47"/>
      <c r="BG166" s="47"/>
      <c r="BH166" s="47"/>
      <c r="BI166" s="47"/>
      <c r="BJ166" s="47"/>
      <c r="BK166" s="47"/>
      <c r="BL166" s="47"/>
      <c r="BM166" s="47"/>
      <c r="BN166" s="47"/>
      <c r="BO166" s="47"/>
      <c r="BP166" s="47"/>
      <c r="BQ166" s="47"/>
      <c r="BR166" s="47"/>
      <c r="BS166" s="47"/>
      <c r="BT166" s="47"/>
      <c r="BU166" s="47"/>
      <c r="BV166" s="47"/>
      <c r="BW166" s="47"/>
      <c r="BX166" s="47"/>
      <c r="BY166" s="47"/>
      <c r="BZ166" s="47"/>
      <c r="CA166" s="47"/>
      <c r="CB166" s="47"/>
      <c r="CC166" s="47"/>
      <c r="CD166" s="47"/>
      <c r="CE166" s="47"/>
      <c r="CF166" s="47"/>
      <c r="CG166" s="47"/>
      <c r="CH166" s="47"/>
      <c r="CI166" s="47"/>
      <c r="CJ166" s="47"/>
      <c r="CK166" s="47"/>
      <c r="CL166" s="47"/>
      <c r="CM166" s="47"/>
      <c r="CN166" s="47"/>
      <c r="CO166" s="47"/>
      <c r="CP166" s="47"/>
      <c r="CQ166" s="47"/>
      <c r="CR166" s="47"/>
      <c r="CS166" s="47"/>
      <c r="CT166" s="47"/>
      <c r="CU166" s="47"/>
      <c r="CV166" s="47"/>
      <c r="CW166" s="47"/>
      <c r="CX166" s="47"/>
      <c r="CY166" s="47"/>
      <c r="CZ166" s="47"/>
      <c r="DA166" s="47"/>
      <c r="DB166" s="47"/>
      <c r="DC166" s="47"/>
      <c r="DD166" s="47"/>
      <c r="DE166" s="47"/>
      <c r="DF166" s="47"/>
      <c r="DG166" s="47"/>
      <c r="DH166" s="47"/>
      <c r="DI166" s="47"/>
      <c r="DJ166" s="47"/>
      <c r="DK166" s="47"/>
      <c r="DL166" s="47"/>
      <c r="DM166" s="47"/>
      <c r="DN166" s="47"/>
      <c r="DO166" s="47"/>
      <c r="DP166" s="47"/>
      <c r="DQ166" s="47"/>
      <c r="DR166" s="47"/>
      <c r="DS166" s="47"/>
      <c r="DT166" s="47"/>
      <c r="DU166" s="47"/>
      <c r="DV166" s="47"/>
      <c r="DW166" s="47"/>
      <c r="DX166" s="47"/>
      <c r="DY166" s="47"/>
      <c r="DZ166" s="219"/>
      <c r="EA166" s="231"/>
      <c r="EB166" s="231"/>
      <c r="EC166" s="231"/>
      <c r="ED166" s="231"/>
      <c r="EE166" s="231"/>
      <c r="EF166" s="231"/>
      <c r="EG166" s="231"/>
      <c r="EH166" s="231"/>
      <c r="EI166" s="231"/>
      <c r="EJ166" s="231"/>
      <c r="EK166" s="231"/>
      <c r="EL166" s="231"/>
      <c r="EM166" s="231"/>
      <c r="EN166" s="231"/>
      <c r="EO166" s="231"/>
      <c r="EP166" s="231"/>
      <c r="EQ166" s="231"/>
    </row>
    <row r="167" spans="1:147" ht="22.9" customHeight="1" outlineLevel="2" x14ac:dyDescent="0.2">
      <c r="A167" s="146" t="s">
        <v>646</v>
      </c>
      <c r="B167" s="53" t="s">
        <v>74</v>
      </c>
      <c r="C167" s="50" t="s">
        <v>133</v>
      </c>
      <c r="D167" s="165">
        <v>1</v>
      </c>
      <c r="E167" s="158">
        <v>1</v>
      </c>
      <c r="F167" s="52">
        <f>SUM(H167:DY167)*E167*Table1[[#This Row],[Cycles]]</f>
        <v>0</v>
      </c>
      <c r="G167" s="46">
        <f t="shared" si="55"/>
        <v>0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7"/>
      <c r="BA167" s="47"/>
      <c r="BB167" s="47"/>
      <c r="BC167" s="47"/>
      <c r="BD167" s="47"/>
      <c r="BE167" s="47"/>
      <c r="BF167" s="47"/>
      <c r="BG167" s="47"/>
      <c r="BH167" s="47"/>
      <c r="BI167" s="47"/>
      <c r="BJ167" s="47"/>
      <c r="BK167" s="47"/>
      <c r="BL167" s="47"/>
      <c r="BM167" s="47"/>
      <c r="BN167" s="47"/>
      <c r="BO167" s="47"/>
      <c r="BP167" s="47"/>
      <c r="BQ167" s="47"/>
      <c r="BR167" s="47"/>
      <c r="BS167" s="47"/>
      <c r="BT167" s="47"/>
      <c r="BU167" s="47"/>
      <c r="BV167" s="47"/>
      <c r="BW167" s="47"/>
      <c r="BX167" s="47"/>
      <c r="BY167" s="47"/>
      <c r="BZ167" s="47"/>
      <c r="CA167" s="47"/>
      <c r="CB167" s="47"/>
      <c r="CC167" s="47"/>
      <c r="CD167" s="47"/>
      <c r="CE167" s="47"/>
      <c r="CF167" s="47"/>
      <c r="CG167" s="47"/>
      <c r="CH167" s="47"/>
      <c r="CI167" s="47"/>
      <c r="CJ167" s="47"/>
      <c r="CK167" s="47"/>
      <c r="CL167" s="47"/>
      <c r="CM167" s="47"/>
      <c r="CN167" s="47"/>
      <c r="CO167" s="47"/>
      <c r="CP167" s="47"/>
      <c r="CQ167" s="47"/>
      <c r="CR167" s="47"/>
      <c r="CS167" s="47"/>
      <c r="CT167" s="47"/>
      <c r="CU167" s="47"/>
      <c r="CV167" s="47"/>
      <c r="CW167" s="47"/>
      <c r="CX167" s="47"/>
      <c r="CY167" s="47"/>
      <c r="CZ167" s="47"/>
      <c r="DA167" s="47"/>
      <c r="DB167" s="47"/>
      <c r="DC167" s="47"/>
      <c r="DD167" s="47"/>
      <c r="DE167" s="47"/>
      <c r="DF167" s="47"/>
      <c r="DG167" s="47"/>
      <c r="DH167" s="47"/>
      <c r="DI167" s="47"/>
      <c r="DJ167" s="47"/>
      <c r="DK167" s="47"/>
      <c r="DL167" s="47"/>
      <c r="DM167" s="47"/>
      <c r="DN167" s="47"/>
      <c r="DO167" s="47"/>
      <c r="DP167" s="47"/>
      <c r="DQ167" s="47"/>
      <c r="DR167" s="47"/>
      <c r="DS167" s="47"/>
      <c r="DT167" s="47"/>
      <c r="DU167" s="47"/>
      <c r="DV167" s="47"/>
      <c r="DW167" s="47"/>
      <c r="DX167" s="47"/>
      <c r="DY167" s="47"/>
      <c r="DZ167" s="219"/>
      <c r="EA167" s="231"/>
      <c r="EB167" s="231"/>
      <c r="EC167" s="231"/>
      <c r="ED167" s="231"/>
      <c r="EE167" s="231"/>
      <c r="EF167" s="231"/>
      <c r="EG167" s="231"/>
      <c r="EH167" s="231"/>
      <c r="EI167" s="231"/>
      <c r="EJ167" s="231"/>
      <c r="EK167" s="231"/>
      <c r="EL167" s="231"/>
      <c r="EM167" s="231"/>
      <c r="EN167" s="231"/>
      <c r="EO167" s="231"/>
      <c r="EP167" s="231"/>
      <c r="EQ167" s="231"/>
    </row>
    <row r="168" spans="1:147" ht="22.9" customHeight="1" outlineLevel="2" x14ac:dyDescent="0.2">
      <c r="A168" s="146" t="s">
        <v>647</v>
      </c>
      <c r="B168" s="53" t="s">
        <v>444</v>
      </c>
      <c r="C168" s="50" t="s">
        <v>133</v>
      </c>
      <c r="D168" s="165">
        <v>1</v>
      </c>
      <c r="E168" s="158">
        <v>1</v>
      </c>
      <c r="F168" s="52">
        <f>SUM(H168:DY168)*E168*Table1[[#This Row],[Cycles]]</f>
        <v>0</v>
      </c>
      <c r="G168" s="46">
        <f t="shared" si="55"/>
        <v>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7"/>
      <c r="BA168" s="47"/>
      <c r="BB168" s="47"/>
      <c r="BC168" s="47"/>
      <c r="BD168" s="47"/>
      <c r="BE168" s="47"/>
      <c r="BF168" s="47"/>
      <c r="BG168" s="47"/>
      <c r="BH168" s="47"/>
      <c r="BI168" s="47"/>
      <c r="BJ168" s="47"/>
      <c r="BK168" s="47"/>
      <c r="BL168" s="47"/>
      <c r="BM168" s="47"/>
      <c r="BN168" s="47"/>
      <c r="BO168" s="47"/>
      <c r="BP168" s="47"/>
      <c r="BQ168" s="47"/>
      <c r="BR168" s="47"/>
      <c r="BS168" s="47"/>
      <c r="BT168" s="47"/>
      <c r="BU168" s="47"/>
      <c r="BV168" s="47"/>
      <c r="BW168" s="47"/>
      <c r="BX168" s="47"/>
      <c r="BY168" s="47"/>
      <c r="BZ168" s="47"/>
      <c r="CA168" s="47"/>
      <c r="CB168" s="47"/>
      <c r="CC168" s="47"/>
      <c r="CD168" s="47"/>
      <c r="CE168" s="47"/>
      <c r="CF168" s="47"/>
      <c r="CG168" s="47"/>
      <c r="CH168" s="47"/>
      <c r="CI168" s="47"/>
      <c r="CJ168" s="47"/>
      <c r="CK168" s="47"/>
      <c r="CL168" s="47"/>
      <c r="CM168" s="47"/>
      <c r="CN168" s="47"/>
      <c r="CO168" s="47"/>
      <c r="CP168" s="47"/>
      <c r="CQ168" s="47"/>
      <c r="CR168" s="47"/>
      <c r="CS168" s="47"/>
      <c r="CT168" s="47"/>
      <c r="CU168" s="47"/>
      <c r="CV168" s="47"/>
      <c r="CW168" s="47"/>
      <c r="CX168" s="47"/>
      <c r="CY168" s="47"/>
      <c r="CZ168" s="47"/>
      <c r="DA168" s="47"/>
      <c r="DB168" s="47"/>
      <c r="DC168" s="47"/>
      <c r="DD168" s="47"/>
      <c r="DE168" s="47"/>
      <c r="DF168" s="47"/>
      <c r="DG168" s="47"/>
      <c r="DH168" s="47"/>
      <c r="DI168" s="47"/>
      <c r="DJ168" s="47"/>
      <c r="DK168" s="47"/>
      <c r="DL168" s="47"/>
      <c r="DM168" s="47"/>
      <c r="DN168" s="47"/>
      <c r="DO168" s="47"/>
      <c r="DP168" s="47"/>
      <c r="DQ168" s="47"/>
      <c r="DR168" s="47"/>
      <c r="DS168" s="47"/>
      <c r="DT168" s="47"/>
      <c r="DU168" s="47"/>
      <c r="DV168" s="47"/>
      <c r="DW168" s="47"/>
      <c r="DX168" s="47"/>
      <c r="DY168" s="47"/>
      <c r="DZ168" s="219"/>
      <c r="EA168" s="231"/>
      <c r="EB168" s="231"/>
      <c r="EC168" s="231"/>
      <c r="ED168" s="231"/>
      <c r="EE168" s="231"/>
      <c r="EF168" s="231"/>
      <c r="EG168" s="231"/>
      <c r="EH168" s="231"/>
      <c r="EI168" s="231"/>
      <c r="EJ168" s="231"/>
      <c r="EK168" s="231"/>
      <c r="EL168" s="231"/>
      <c r="EM168" s="231"/>
      <c r="EN168" s="231"/>
      <c r="EO168" s="231"/>
      <c r="EP168" s="231"/>
      <c r="EQ168" s="231"/>
    </row>
    <row r="169" spans="1:147" ht="22.9" customHeight="1" outlineLevel="2" x14ac:dyDescent="0.2">
      <c r="A169" s="146" t="s">
        <v>648</v>
      </c>
      <c r="B169" s="53" t="s">
        <v>75</v>
      </c>
      <c r="C169" s="50" t="s">
        <v>133</v>
      </c>
      <c r="D169" s="165">
        <v>1</v>
      </c>
      <c r="E169" s="158">
        <v>1</v>
      </c>
      <c r="F169" s="52">
        <f>SUM(H169:DY169)*E169*Table1[[#This Row],[Cycles]]</f>
        <v>0</v>
      </c>
      <c r="G169" s="46">
        <f t="shared" si="55"/>
        <v>0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7"/>
      <c r="BA169" s="47"/>
      <c r="BB169" s="47"/>
      <c r="BC169" s="47"/>
      <c r="BD169" s="47"/>
      <c r="BE169" s="47"/>
      <c r="BF169" s="47"/>
      <c r="BG169" s="47"/>
      <c r="BH169" s="47"/>
      <c r="BI169" s="47"/>
      <c r="BJ169" s="47"/>
      <c r="BK169" s="47"/>
      <c r="BL169" s="47"/>
      <c r="BM169" s="47"/>
      <c r="BN169" s="47"/>
      <c r="BO169" s="47"/>
      <c r="BP169" s="47"/>
      <c r="BQ169" s="47"/>
      <c r="BR169" s="47"/>
      <c r="BS169" s="47"/>
      <c r="BT169" s="47"/>
      <c r="BU169" s="47"/>
      <c r="BV169" s="47"/>
      <c r="BW169" s="47"/>
      <c r="BX169" s="47"/>
      <c r="BY169" s="47"/>
      <c r="BZ169" s="47"/>
      <c r="CA169" s="47"/>
      <c r="CB169" s="47"/>
      <c r="CC169" s="47"/>
      <c r="CD169" s="47"/>
      <c r="CE169" s="47"/>
      <c r="CF169" s="47"/>
      <c r="CG169" s="47"/>
      <c r="CH169" s="47"/>
      <c r="CI169" s="47"/>
      <c r="CJ169" s="47"/>
      <c r="CK169" s="47"/>
      <c r="CL169" s="47"/>
      <c r="CM169" s="47"/>
      <c r="CN169" s="47"/>
      <c r="CO169" s="47"/>
      <c r="CP169" s="47"/>
      <c r="CQ169" s="47"/>
      <c r="CR169" s="47"/>
      <c r="CS169" s="47"/>
      <c r="CT169" s="47"/>
      <c r="CU169" s="47"/>
      <c r="CV169" s="47"/>
      <c r="CW169" s="47"/>
      <c r="CX169" s="47"/>
      <c r="CY169" s="47"/>
      <c r="CZ169" s="47"/>
      <c r="DA169" s="47"/>
      <c r="DB169" s="47"/>
      <c r="DC169" s="47"/>
      <c r="DD169" s="47"/>
      <c r="DE169" s="47"/>
      <c r="DF169" s="47"/>
      <c r="DG169" s="47"/>
      <c r="DH169" s="47"/>
      <c r="DI169" s="47"/>
      <c r="DJ169" s="47"/>
      <c r="DK169" s="47"/>
      <c r="DL169" s="47"/>
      <c r="DM169" s="47"/>
      <c r="DN169" s="47"/>
      <c r="DO169" s="47"/>
      <c r="DP169" s="47"/>
      <c r="DQ169" s="47"/>
      <c r="DR169" s="47"/>
      <c r="DS169" s="47"/>
      <c r="DT169" s="47"/>
      <c r="DU169" s="47"/>
      <c r="DV169" s="47"/>
      <c r="DW169" s="47"/>
      <c r="DX169" s="47"/>
      <c r="DY169" s="47"/>
      <c r="DZ169" s="219"/>
      <c r="EA169" s="231"/>
      <c r="EB169" s="231"/>
      <c r="EC169" s="231"/>
      <c r="ED169" s="231"/>
      <c r="EE169" s="231"/>
      <c r="EF169" s="231"/>
      <c r="EG169" s="231"/>
      <c r="EH169" s="231"/>
      <c r="EI169" s="231"/>
      <c r="EJ169" s="231"/>
      <c r="EK169" s="231"/>
      <c r="EL169" s="231"/>
      <c r="EM169" s="231"/>
      <c r="EN169" s="231"/>
      <c r="EO169" s="231"/>
      <c r="EP169" s="231"/>
      <c r="EQ169" s="231"/>
    </row>
    <row r="170" spans="1:147" ht="22.9" customHeight="1" outlineLevel="2" x14ac:dyDescent="0.2">
      <c r="A170" s="146" t="s">
        <v>649</v>
      </c>
      <c r="B170" s="53" t="s">
        <v>76</v>
      </c>
      <c r="C170" s="50" t="s">
        <v>133</v>
      </c>
      <c r="D170" s="165">
        <v>1</v>
      </c>
      <c r="E170" s="158">
        <v>1</v>
      </c>
      <c r="F170" s="52">
        <f>SUM(H170:DY170)*E170*Table1[[#This Row],[Cycles]]</f>
        <v>0</v>
      </c>
      <c r="G170" s="46">
        <f t="shared" si="55"/>
        <v>0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7"/>
      <c r="BA170" s="47"/>
      <c r="BB170" s="47"/>
      <c r="BC170" s="47"/>
      <c r="BD170" s="47"/>
      <c r="BE170" s="47"/>
      <c r="BF170" s="47"/>
      <c r="BG170" s="47"/>
      <c r="BH170" s="47"/>
      <c r="BI170" s="47"/>
      <c r="BJ170" s="47"/>
      <c r="BK170" s="47"/>
      <c r="BL170" s="47"/>
      <c r="BM170" s="47"/>
      <c r="BN170" s="47"/>
      <c r="BO170" s="47"/>
      <c r="BP170" s="47"/>
      <c r="BQ170" s="47"/>
      <c r="BR170" s="47"/>
      <c r="BS170" s="47"/>
      <c r="BT170" s="47"/>
      <c r="BU170" s="47"/>
      <c r="BV170" s="47"/>
      <c r="BW170" s="47"/>
      <c r="BX170" s="47"/>
      <c r="BY170" s="47"/>
      <c r="BZ170" s="47"/>
      <c r="CA170" s="47"/>
      <c r="CB170" s="47"/>
      <c r="CC170" s="47"/>
      <c r="CD170" s="47"/>
      <c r="CE170" s="47"/>
      <c r="CF170" s="47"/>
      <c r="CG170" s="47"/>
      <c r="CH170" s="47"/>
      <c r="CI170" s="47"/>
      <c r="CJ170" s="47"/>
      <c r="CK170" s="47"/>
      <c r="CL170" s="47"/>
      <c r="CM170" s="47"/>
      <c r="CN170" s="47"/>
      <c r="CO170" s="47"/>
      <c r="CP170" s="47"/>
      <c r="CQ170" s="47"/>
      <c r="CR170" s="47"/>
      <c r="CS170" s="47"/>
      <c r="CT170" s="47"/>
      <c r="CU170" s="47"/>
      <c r="CV170" s="47"/>
      <c r="CW170" s="47"/>
      <c r="CX170" s="47"/>
      <c r="CY170" s="47"/>
      <c r="CZ170" s="47"/>
      <c r="DA170" s="47"/>
      <c r="DB170" s="47"/>
      <c r="DC170" s="47"/>
      <c r="DD170" s="47"/>
      <c r="DE170" s="47"/>
      <c r="DF170" s="47"/>
      <c r="DG170" s="47"/>
      <c r="DH170" s="47"/>
      <c r="DI170" s="47"/>
      <c r="DJ170" s="47"/>
      <c r="DK170" s="47"/>
      <c r="DL170" s="47"/>
      <c r="DM170" s="47"/>
      <c r="DN170" s="47"/>
      <c r="DO170" s="47"/>
      <c r="DP170" s="47"/>
      <c r="DQ170" s="47"/>
      <c r="DR170" s="47"/>
      <c r="DS170" s="47"/>
      <c r="DT170" s="47"/>
      <c r="DU170" s="47"/>
      <c r="DV170" s="47"/>
      <c r="DW170" s="47"/>
      <c r="DX170" s="47"/>
      <c r="DY170" s="47"/>
      <c r="DZ170" s="219"/>
      <c r="EA170" s="231"/>
      <c r="EB170" s="231"/>
      <c r="EC170" s="231"/>
      <c r="ED170" s="231"/>
      <c r="EE170" s="231"/>
      <c r="EF170" s="231"/>
      <c r="EG170" s="231"/>
      <c r="EH170" s="231"/>
      <c r="EI170" s="231"/>
      <c r="EJ170" s="231"/>
      <c r="EK170" s="231"/>
      <c r="EL170" s="231"/>
      <c r="EM170" s="231"/>
      <c r="EN170" s="231"/>
      <c r="EO170" s="231"/>
      <c r="EP170" s="231"/>
      <c r="EQ170" s="231"/>
    </row>
    <row r="171" spans="1:147" ht="22.9" customHeight="1" outlineLevel="2" x14ac:dyDescent="0.2">
      <c r="A171" s="146" t="s">
        <v>650</v>
      </c>
      <c r="B171" s="53" t="s">
        <v>77</v>
      </c>
      <c r="C171" s="50" t="s">
        <v>133</v>
      </c>
      <c r="D171" s="165">
        <v>1</v>
      </c>
      <c r="E171" s="158">
        <v>1</v>
      </c>
      <c r="F171" s="52">
        <f>SUM(H171:DY171)*E171*Table1[[#This Row],[Cycles]]</f>
        <v>0</v>
      </c>
      <c r="G171" s="46">
        <f t="shared" si="55"/>
        <v>0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7"/>
      <c r="BA171" s="47"/>
      <c r="BB171" s="47"/>
      <c r="BC171" s="47"/>
      <c r="BD171" s="47"/>
      <c r="BE171" s="47"/>
      <c r="BF171" s="47"/>
      <c r="BG171" s="47"/>
      <c r="BH171" s="47"/>
      <c r="BI171" s="47"/>
      <c r="BJ171" s="47"/>
      <c r="BK171" s="47"/>
      <c r="BL171" s="47"/>
      <c r="BM171" s="47"/>
      <c r="BN171" s="47"/>
      <c r="BO171" s="47"/>
      <c r="BP171" s="47"/>
      <c r="BQ171" s="47"/>
      <c r="BR171" s="47"/>
      <c r="BS171" s="47"/>
      <c r="BT171" s="47"/>
      <c r="BU171" s="47"/>
      <c r="BV171" s="47"/>
      <c r="BW171" s="47"/>
      <c r="BX171" s="47"/>
      <c r="BY171" s="47"/>
      <c r="BZ171" s="47"/>
      <c r="CA171" s="47"/>
      <c r="CB171" s="47"/>
      <c r="CC171" s="47"/>
      <c r="CD171" s="47"/>
      <c r="CE171" s="47"/>
      <c r="CF171" s="47"/>
      <c r="CG171" s="47"/>
      <c r="CH171" s="47"/>
      <c r="CI171" s="47"/>
      <c r="CJ171" s="47"/>
      <c r="CK171" s="47"/>
      <c r="CL171" s="47"/>
      <c r="CM171" s="47"/>
      <c r="CN171" s="47"/>
      <c r="CO171" s="47"/>
      <c r="CP171" s="47"/>
      <c r="CQ171" s="47"/>
      <c r="CR171" s="47"/>
      <c r="CS171" s="47"/>
      <c r="CT171" s="47"/>
      <c r="CU171" s="47"/>
      <c r="CV171" s="47"/>
      <c r="CW171" s="47"/>
      <c r="CX171" s="47"/>
      <c r="CY171" s="47"/>
      <c r="CZ171" s="47"/>
      <c r="DA171" s="47"/>
      <c r="DB171" s="47"/>
      <c r="DC171" s="47"/>
      <c r="DD171" s="47"/>
      <c r="DE171" s="47"/>
      <c r="DF171" s="47"/>
      <c r="DG171" s="47"/>
      <c r="DH171" s="47"/>
      <c r="DI171" s="47"/>
      <c r="DJ171" s="47"/>
      <c r="DK171" s="47"/>
      <c r="DL171" s="47"/>
      <c r="DM171" s="47"/>
      <c r="DN171" s="47"/>
      <c r="DO171" s="47"/>
      <c r="DP171" s="47"/>
      <c r="DQ171" s="47"/>
      <c r="DR171" s="47"/>
      <c r="DS171" s="47"/>
      <c r="DT171" s="47"/>
      <c r="DU171" s="47"/>
      <c r="DV171" s="47"/>
      <c r="DW171" s="47"/>
      <c r="DX171" s="47"/>
      <c r="DY171" s="47"/>
      <c r="DZ171" s="219"/>
      <c r="EA171" s="231"/>
      <c r="EB171" s="231"/>
      <c r="EC171" s="231"/>
      <c r="ED171" s="231"/>
      <c r="EE171" s="231"/>
      <c r="EF171" s="231"/>
      <c r="EG171" s="231"/>
      <c r="EH171" s="231"/>
      <c r="EI171" s="231"/>
      <c r="EJ171" s="231"/>
      <c r="EK171" s="231"/>
      <c r="EL171" s="231"/>
      <c r="EM171" s="231"/>
      <c r="EN171" s="231"/>
      <c r="EO171" s="231"/>
      <c r="EP171" s="231"/>
      <c r="EQ171" s="231"/>
    </row>
    <row r="172" spans="1:147" ht="22.9" customHeight="1" outlineLevel="2" x14ac:dyDescent="0.2">
      <c r="A172" s="146" t="s">
        <v>651</v>
      </c>
      <c r="B172" s="53" t="s">
        <v>78</v>
      </c>
      <c r="C172" s="50" t="s">
        <v>133</v>
      </c>
      <c r="D172" s="165">
        <v>1</v>
      </c>
      <c r="E172" s="158">
        <v>1</v>
      </c>
      <c r="F172" s="52">
        <f>SUM(H172:DY172)*E172*Table1[[#This Row],[Cycles]]</f>
        <v>0</v>
      </c>
      <c r="G172" s="46">
        <f t="shared" si="55"/>
        <v>0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7"/>
      <c r="BA172" s="47"/>
      <c r="BB172" s="47"/>
      <c r="BC172" s="47"/>
      <c r="BD172" s="47"/>
      <c r="BE172" s="47"/>
      <c r="BF172" s="47"/>
      <c r="BG172" s="47"/>
      <c r="BH172" s="47"/>
      <c r="BI172" s="47"/>
      <c r="BJ172" s="47"/>
      <c r="BK172" s="47"/>
      <c r="BL172" s="47"/>
      <c r="BM172" s="47"/>
      <c r="BN172" s="47"/>
      <c r="BO172" s="47"/>
      <c r="BP172" s="47"/>
      <c r="BQ172" s="47"/>
      <c r="BR172" s="47"/>
      <c r="BS172" s="47"/>
      <c r="BT172" s="47"/>
      <c r="BU172" s="47"/>
      <c r="BV172" s="47"/>
      <c r="BW172" s="47"/>
      <c r="BX172" s="47"/>
      <c r="BY172" s="47"/>
      <c r="BZ172" s="47"/>
      <c r="CA172" s="47"/>
      <c r="CB172" s="47"/>
      <c r="CC172" s="47"/>
      <c r="CD172" s="47"/>
      <c r="CE172" s="47"/>
      <c r="CF172" s="47"/>
      <c r="CG172" s="47"/>
      <c r="CH172" s="47"/>
      <c r="CI172" s="47"/>
      <c r="CJ172" s="47"/>
      <c r="CK172" s="47"/>
      <c r="CL172" s="47"/>
      <c r="CM172" s="47"/>
      <c r="CN172" s="47"/>
      <c r="CO172" s="47"/>
      <c r="CP172" s="47"/>
      <c r="CQ172" s="47"/>
      <c r="CR172" s="47"/>
      <c r="CS172" s="47"/>
      <c r="CT172" s="47"/>
      <c r="CU172" s="47"/>
      <c r="CV172" s="47"/>
      <c r="CW172" s="47"/>
      <c r="CX172" s="47"/>
      <c r="CY172" s="47"/>
      <c r="CZ172" s="47"/>
      <c r="DA172" s="47"/>
      <c r="DB172" s="47"/>
      <c r="DC172" s="47"/>
      <c r="DD172" s="47"/>
      <c r="DE172" s="47"/>
      <c r="DF172" s="47"/>
      <c r="DG172" s="47"/>
      <c r="DH172" s="47"/>
      <c r="DI172" s="47"/>
      <c r="DJ172" s="47"/>
      <c r="DK172" s="47"/>
      <c r="DL172" s="47"/>
      <c r="DM172" s="47"/>
      <c r="DN172" s="47"/>
      <c r="DO172" s="47"/>
      <c r="DP172" s="47"/>
      <c r="DQ172" s="47"/>
      <c r="DR172" s="47"/>
      <c r="DS172" s="47"/>
      <c r="DT172" s="47"/>
      <c r="DU172" s="47"/>
      <c r="DV172" s="47"/>
      <c r="DW172" s="47"/>
      <c r="DX172" s="47"/>
      <c r="DY172" s="47"/>
      <c r="DZ172" s="219"/>
      <c r="EA172" s="231"/>
      <c r="EB172" s="231"/>
      <c r="EC172" s="231"/>
      <c r="ED172" s="231"/>
      <c r="EE172" s="231"/>
      <c r="EF172" s="231"/>
      <c r="EG172" s="231"/>
      <c r="EH172" s="231"/>
      <c r="EI172" s="231"/>
      <c r="EJ172" s="231"/>
      <c r="EK172" s="231"/>
      <c r="EL172" s="231"/>
      <c r="EM172" s="231"/>
      <c r="EN172" s="231"/>
      <c r="EO172" s="231"/>
      <c r="EP172" s="231"/>
      <c r="EQ172" s="231"/>
    </row>
    <row r="173" spans="1:147" ht="22.9" customHeight="1" outlineLevel="2" x14ac:dyDescent="0.2">
      <c r="A173" s="146" t="s">
        <v>652</v>
      </c>
      <c r="B173" s="53" t="s">
        <v>79</v>
      </c>
      <c r="C173" s="50" t="s">
        <v>133</v>
      </c>
      <c r="D173" s="165">
        <v>1</v>
      </c>
      <c r="E173" s="158">
        <v>1</v>
      </c>
      <c r="F173" s="52">
        <f>SUM(H173:DY173)*E173*Table1[[#This Row],[Cycles]]</f>
        <v>0</v>
      </c>
      <c r="G173" s="46">
        <f t="shared" si="55"/>
        <v>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7"/>
      <c r="BA173" s="47"/>
      <c r="BB173" s="47"/>
      <c r="BC173" s="47"/>
      <c r="BD173" s="47"/>
      <c r="BE173" s="47"/>
      <c r="BF173" s="47"/>
      <c r="BG173" s="47"/>
      <c r="BH173" s="47"/>
      <c r="BI173" s="47"/>
      <c r="BJ173" s="47"/>
      <c r="BK173" s="47"/>
      <c r="BL173" s="47"/>
      <c r="BM173" s="47"/>
      <c r="BN173" s="47"/>
      <c r="BO173" s="47"/>
      <c r="BP173" s="47"/>
      <c r="BQ173" s="47"/>
      <c r="BR173" s="47"/>
      <c r="BS173" s="47"/>
      <c r="BT173" s="47"/>
      <c r="BU173" s="47"/>
      <c r="BV173" s="47"/>
      <c r="BW173" s="47"/>
      <c r="BX173" s="47"/>
      <c r="BY173" s="47"/>
      <c r="BZ173" s="47"/>
      <c r="CA173" s="47"/>
      <c r="CB173" s="47"/>
      <c r="CC173" s="47"/>
      <c r="CD173" s="47"/>
      <c r="CE173" s="47"/>
      <c r="CF173" s="47"/>
      <c r="CG173" s="47"/>
      <c r="CH173" s="47"/>
      <c r="CI173" s="47"/>
      <c r="CJ173" s="47"/>
      <c r="CK173" s="47"/>
      <c r="CL173" s="47"/>
      <c r="CM173" s="47"/>
      <c r="CN173" s="47"/>
      <c r="CO173" s="47"/>
      <c r="CP173" s="47"/>
      <c r="CQ173" s="47"/>
      <c r="CR173" s="47"/>
      <c r="CS173" s="47"/>
      <c r="CT173" s="47"/>
      <c r="CU173" s="47"/>
      <c r="CV173" s="47"/>
      <c r="CW173" s="47"/>
      <c r="CX173" s="47"/>
      <c r="CY173" s="47"/>
      <c r="CZ173" s="47"/>
      <c r="DA173" s="47"/>
      <c r="DB173" s="47"/>
      <c r="DC173" s="47"/>
      <c r="DD173" s="47"/>
      <c r="DE173" s="47"/>
      <c r="DF173" s="47"/>
      <c r="DG173" s="47"/>
      <c r="DH173" s="47"/>
      <c r="DI173" s="47"/>
      <c r="DJ173" s="47"/>
      <c r="DK173" s="47"/>
      <c r="DL173" s="47"/>
      <c r="DM173" s="47"/>
      <c r="DN173" s="47"/>
      <c r="DO173" s="47"/>
      <c r="DP173" s="47"/>
      <c r="DQ173" s="47"/>
      <c r="DR173" s="47"/>
      <c r="DS173" s="47"/>
      <c r="DT173" s="47"/>
      <c r="DU173" s="47"/>
      <c r="DV173" s="47"/>
      <c r="DW173" s="47"/>
      <c r="DX173" s="47"/>
      <c r="DY173" s="47"/>
      <c r="DZ173" s="219"/>
      <c r="EA173" s="231"/>
      <c r="EB173" s="231"/>
      <c r="EC173" s="231"/>
      <c r="ED173" s="231"/>
      <c r="EE173" s="231"/>
      <c r="EF173" s="231"/>
      <c r="EG173" s="231"/>
      <c r="EH173" s="231"/>
      <c r="EI173" s="231"/>
      <c r="EJ173" s="231"/>
      <c r="EK173" s="231"/>
      <c r="EL173" s="231"/>
      <c r="EM173" s="231"/>
      <c r="EN173" s="231"/>
      <c r="EO173" s="231"/>
      <c r="EP173" s="231"/>
      <c r="EQ173" s="231"/>
    </row>
    <row r="174" spans="1:147" ht="22.9" customHeight="1" outlineLevel="2" x14ac:dyDescent="0.2">
      <c r="A174" s="146" t="s">
        <v>653</v>
      </c>
      <c r="B174" s="53" t="s">
        <v>80</v>
      </c>
      <c r="C174" s="50" t="s">
        <v>133</v>
      </c>
      <c r="D174" s="165">
        <v>1</v>
      </c>
      <c r="E174" s="158">
        <v>1</v>
      </c>
      <c r="F174" s="52">
        <f>SUM(H174:DY174)*E174*Table1[[#This Row],[Cycles]]</f>
        <v>0</v>
      </c>
      <c r="G174" s="46">
        <f t="shared" si="55"/>
        <v>0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  <c r="BA174" s="47"/>
      <c r="BB174" s="47"/>
      <c r="BC174" s="47"/>
      <c r="BD174" s="47"/>
      <c r="BE174" s="47"/>
      <c r="BF174" s="47"/>
      <c r="BG174" s="47"/>
      <c r="BH174" s="47"/>
      <c r="BI174" s="47"/>
      <c r="BJ174" s="47"/>
      <c r="BK174" s="47"/>
      <c r="BL174" s="47"/>
      <c r="BM174" s="47"/>
      <c r="BN174" s="47"/>
      <c r="BO174" s="47"/>
      <c r="BP174" s="47"/>
      <c r="BQ174" s="47"/>
      <c r="BR174" s="47"/>
      <c r="BS174" s="47"/>
      <c r="BT174" s="47"/>
      <c r="BU174" s="47"/>
      <c r="BV174" s="47"/>
      <c r="BW174" s="47"/>
      <c r="BX174" s="47"/>
      <c r="BY174" s="47"/>
      <c r="BZ174" s="47"/>
      <c r="CA174" s="47"/>
      <c r="CB174" s="47"/>
      <c r="CC174" s="47"/>
      <c r="CD174" s="47"/>
      <c r="CE174" s="47"/>
      <c r="CF174" s="47"/>
      <c r="CG174" s="47"/>
      <c r="CH174" s="47"/>
      <c r="CI174" s="47"/>
      <c r="CJ174" s="47"/>
      <c r="CK174" s="47"/>
      <c r="CL174" s="47"/>
      <c r="CM174" s="47"/>
      <c r="CN174" s="47"/>
      <c r="CO174" s="47"/>
      <c r="CP174" s="47"/>
      <c r="CQ174" s="47"/>
      <c r="CR174" s="47"/>
      <c r="CS174" s="47"/>
      <c r="CT174" s="47"/>
      <c r="CU174" s="47"/>
      <c r="CV174" s="47"/>
      <c r="CW174" s="47"/>
      <c r="CX174" s="47"/>
      <c r="CY174" s="47"/>
      <c r="CZ174" s="47"/>
      <c r="DA174" s="47"/>
      <c r="DB174" s="47"/>
      <c r="DC174" s="47"/>
      <c r="DD174" s="47"/>
      <c r="DE174" s="47"/>
      <c r="DF174" s="47"/>
      <c r="DG174" s="47"/>
      <c r="DH174" s="47"/>
      <c r="DI174" s="47"/>
      <c r="DJ174" s="47"/>
      <c r="DK174" s="47"/>
      <c r="DL174" s="47"/>
      <c r="DM174" s="47"/>
      <c r="DN174" s="47"/>
      <c r="DO174" s="47"/>
      <c r="DP174" s="47"/>
      <c r="DQ174" s="47"/>
      <c r="DR174" s="47"/>
      <c r="DS174" s="47"/>
      <c r="DT174" s="47"/>
      <c r="DU174" s="47"/>
      <c r="DV174" s="47"/>
      <c r="DW174" s="47"/>
      <c r="DX174" s="47"/>
      <c r="DY174" s="47"/>
      <c r="DZ174" s="219"/>
      <c r="EA174" s="231"/>
      <c r="EB174" s="231"/>
      <c r="EC174" s="231"/>
      <c r="ED174" s="231"/>
      <c r="EE174" s="231"/>
      <c r="EF174" s="231"/>
      <c r="EG174" s="231"/>
      <c r="EH174" s="231"/>
      <c r="EI174" s="231"/>
      <c r="EJ174" s="231"/>
      <c r="EK174" s="231"/>
      <c r="EL174" s="231"/>
      <c r="EM174" s="231"/>
      <c r="EN174" s="231"/>
      <c r="EO174" s="231"/>
      <c r="EP174" s="231"/>
      <c r="EQ174" s="231"/>
    </row>
    <row r="175" spans="1:147" ht="22.9" customHeight="1" outlineLevel="2" x14ac:dyDescent="0.2">
      <c r="A175" s="146" t="s">
        <v>654</v>
      </c>
      <c r="B175" s="53" t="s">
        <v>446</v>
      </c>
      <c r="C175" s="50" t="s">
        <v>133</v>
      </c>
      <c r="D175" s="165">
        <v>1</v>
      </c>
      <c r="E175" s="158">
        <v>1</v>
      </c>
      <c r="F175" s="52">
        <f>SUM(H175:DY175)*E175*Table1[[#This Row],[Cycles]]</f>
        <v>0</v>
      </c>
      <c r="G175" s="46">
        <f t="shared" si="55"/>
        <v>0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7"/>
      <c r="BA175" s="47"/>
      <c r="BB175" s="47"/>
      <c r="BC175" s="47"/>
      <c r="BD175" s="47"/>
      <c r="BE175" s="47"/>
      <c r="BF175" s="47"/>
      <c r="BG175" s="47"/>
      <c r="BH175" s="47"/>
      <c r="BI175" s="47"/>
      <c r="BJ175" s="47"/>
      <c r="BK175" s="47"/>
      <c r="BL175" s="47"/>
      <c r="BM175" s="47"/>
      <c r="BN175" s="47"/>
      <c r="BO175" s="47"/>
      <c r="BP175" s="47"/>
      <c r="BQ175" s="47"/>
      <c r="BR175" s="47"/>
      <c r="BS175" s="47"/>
      <c r="BT175" s="47"/>
      <c r="BU175" s="47"/>
      <c r="BV175" s="47"/>
      <c r="BW175" s="47"/>
      <c r="BX175" s="47"/>
      <c r="BY175" s="47"/>
      <c r="BZ175" s="47"/>
      <c r="CA175" s="47"/>
      <c r="CB175" s="47"/>
      <c r="CC175" s="47"/>
      <c r="CD175" s="47"/>
      <c r="CE175" s="47"/>
      <c r="CF175" s="47"/>
      <c r="CG175" s="47"/>
      <c r="CH175" s="47"/>
      <c r="CI175" s="47"/>
      <c r="CJ175" s="47"/>
      <c r="CK175" s="47"/>
      <c r="CL175" s="47"/>
      <c r="CM175" s="47"/>
      <c r="CN175" s="47"/>
      <c r="CO175" s="47"/>
      <c r="CP175" s="47"/>
      <c r="CQ175" s="47"/>
      <c r="CR175" s="47"/>
      <c r="CS175" s="47"/>
      <c r="CT175" s="47"/>
      <c r="CU175" s="47"/>
      <c r="CV175" s="47"/>
      <c r="CW175" s="47"/>
      <c r="CX175" s="47"/>
      <c r="CY175" s="47"/>
      <c r="CZ175" s="47"/>
      <c r="DA175" s="47"/>
      <c r="DB175" s="47"/>
      <c r="DC175" s="47"/>
      <c r="DD175" s="47"/>
      <c r="DE175" s="47"/>
      <c r="DF175" s="47"/>
      <c r="DG175" s="47"/>
      <c r="DH175" s="47"/>
      <c r="DI175" s="47"/>
      <c r="DJ175" s="47"/>
      <c r="DK175" s="47"/>
      <c r="DL175" s="47"/>
      <c r="DM175" s="47"/>
      <c r="DN175" s="47"/>
      <c r="DO175" s="47"/>
      <c r="DP175" s="47"/>
      <c r="DQ175" s="47"/>
      <c r="DR175" s="47"/>
      <c r="DS175" s="47"/>
      <c r="DT175" s="47"/>
      <c r="DU175" s="47"/>
      <c r="DV175" s="47"/>
      <c r="DW175" s="47"/>
      <c r="DX175" s="47"/>
      <c r="DY175" s="47"/>
      <c r="DZ175" s="219"/>
      <c r="EA175" s="231"/>
      <c r="EB175" s="231"/>
      <c r="EC175" s="231"/>
      <c r="ED175" s="231"/>
      <c r="EE175" s="231"/>
      <c r="EF175" s="231"/>
      <c r="EG175" s="231"/>
      <c r="EH175" s="231"/>
      <c r="EI175" s="231"/>
      <c r="EJ175" s="231"/>
      <c r="EK175" s="231"/>
      <c r="EL175" s="231"/>
      <c r="EM175" s="231"/>
      <c r="EN175" s="231"/>
      <c r="EO175" s="231"/>
      <c r="EP175" s="231"/>
      <c r="EQ175" s="231"/>
    </row>
    <row r="176" spans="1:147" ht="22.9" customHeight="1" outlineLevel="2" x14ac:dyDescent="0.2">
      <c r="A176" s="146" t="s">
        <v>655</v>
      </c>
      <c r="B176" s="53" t="s">
        <v>276</v>
      </c>
      <c r="C176" s="50" t="s">
        <v>133</v>
      </c>
      <c r="D176" s="165">
        <v>1</v>
      </c>
      <c r="E176" s="158">
        <v>1</v>
      </c>
      <c r="F176" s="52">
        <f>SUM(H176:DY176)*E176*Table1[[#This Row],[Cycles]]</f>
        <v>0</v>
      </c>
      <c r="G176" s="46">
        <f t="shared" si="55"/>
        <v>0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7"/>
      <c r="BA176" s="47"/>
      <c r="BB176" s="47"/>
      <c r="BC176" s="47"/>
      <c r="BD176" s="47"/>
      <c r="BE176" s="47"/>
      <c r="BF176" s="47"/>
      <c r="BG176" s="47"/>
      <c r="BH176" s="47"/>
      <c r="BI176" s="47"/>
      <c r="BJ176" s="47"/>
      <c r="BK176" s="47"/>
      <c r="BL176" s="47"/>
      <c r="BM176" s="47"/>
      <c r="BN176" s="47"/>
      <c r="BO176" s="47"/>
      <c r="BP176" s="47"/>
      <c r="BQ176" s="47"/>
      <c r="BR176" s="47"/>
      <c r="BS176" s="47"/>
      <c r="BT176" s="47"/>
      <c r="BU176" s="47"/>
      <c r="BV176" s="47"/>
      <c r="BW176" s="47"/>
      <c r="BX176" s="47"/>
      <c r="BY176" s="47"/>
      <c r="BZ176" s="47"/>
      <c r="CA176" s="47"/>
      <c r="CB176" s="47"/>
      <c r="CC176" s="47"/>
      <c r="CD176" s="47"/>
      <c r="CE176" s="47"/>
      <c r="CF176" s="47"/>
      <c r="CG176" s="47"/>
      <c r="CH176" s="47"/>
      <c r="CI176" s="47"/>
      <c r="CJ176" s="47"/>
      <c r="CK176" s="47"/>
      <c r="CL176" s="47"/>
      <c r="CM176" s="47"/>
      <c r="CN176" s="47"/>
      <c r="CO176" s="47"/>
      <c r="CP176" s="47"/>
      <c r="CQ176" s="47"/>
      <c r="CR176" s="47"/>
      <c r="CS176" s="47"/>
      <c r="CT176" s="47"/>
      <c r="CU176" s="47"/>
      <c r="CV176" s="47"/>
      <c r="CW176" s="47"/>
      <c r="CX176" s="47"/>
      <c r="CY176" s="47"/>
      <c r="CZ176" s="47"/>
      <c r="DA176" s="47"/>
      <c r="DB176" s="47"/>
      <c r="DC176" s="47"/>
      <c r="DD176" s="47"/>
      <c r="DE176" s="47"/>
      <c r="DF176" s="47"/>
      <c r="DG176" s="47"/>
      <c r="DH176" s="47"/>
      <c r="DI176" s="47"/>
      <c r="DJ176" s="47"/>
      <c r="DK176" s="47"/>
      <c r="DL176" s="47"/>
      <c r="DM176" s="47"/>
      <c r="DN176" s="47"/>
      <c r="DO176" s="47"/>
      <c r="DP176" s="47"/>
      <c r="DQ176" s="47"/>
      <c r="DR176" s="47"/>
      <c r="DS176" s="47"/>
      <c r="DT176" s="47"/>
      <c r="DU176" s="47"/>
      <c r="DV176" s="47"/>
      <c r="DW176" s="47"/>
      <c r="DX176" s="47"/>
      <c r="DY176" s="47"/>
      <c r="DZ176" s="219"/>
      <c r="EA176" s="231"/>
      <c r="EB176" s="231"/>
      <c r="EC176" s="231"/>
      <c r="ED176" s="231"/>
      <c r="EE176" s="231"/>
      <c r="EF176" s="231"/>
      <c r="EG176" s="231"/>
      <c r="EH176" s="231"/>
      <c r="EI176" s="231"/>
      <c r="EJ176" s="231"/>
      <c r="EK176" s="231"/>
      <c r="EL176" s="231"/>
      <c r="EM176" s="231"/>
      <c r="EN176" s="231"/>
      <c r="EO176" s="231"/>
      <c r="EP176" s="231"/>
      <c r="EQ176" s="231"/>
    </row>
    <row r="177" spans="1:147" ht="22.9" customHeight="1" outlineLevel="2" x14ac:dyDescent="0.2">
      <c r="A177" s="146" t="s">
        <v>656</v>
      </c>
      <c r="B177" s="53" t="s">
        <v>216</v>
      </c>
      <c r="C177" s="50" t="s">
        <v>133</v>
      </c>
      <c r="D177" s="165">
        <v>1</v>
      </c>
      <c r="E177" s="158">
        <v>1</v>
      </c>
      <c r="F177" s="52">
        <f>SUM(H177:DY177)*E177*Table1[[#This Row],[Cycles]]</f>
        <v>0</v>
      </c>
      <c r="G177" s="46">
        <f t="shared" si="55"/>
        <v>0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7"/>
      <c r="BA177" s="47"/>
      <c r="BB177" s="47"/>
      <c r="BC177" s="47"/>
      <c r="BD177" s="47"/>
      <c r="BE177" s="47"/>
      <c r="BF177" s="47"/>
      <c r="BG177" s="47"/>
      <c r="BH177" s="47"/>
      <c r="BI177" s="47"/>
      <c r="BJ177" s="47"/>
      <c r="BK177" s="47"/>
      <c r="BL177" s="47"/>
      <c r="BM177" s="47"/>
      <c r="BN177" s="47"/>
      <c r="BO177" s="47"/>
      <c r="BP177" s="47"/>
      <c r="BQ177" s="47"/>
      <c r="BR177" s="47"/>
      <c r="BS177" s="47"/>
      <c r="BT177" s="47"/>
      <c r="BU177" s="47"/>
      <c r="BV177" s="47"/>
      <c r="BW177" s="47"/>
      <c r="BX177" s="47"/>
      <c r="BY177" s="47"/>
      <c r="BZ177" s="47"/>
      <c r="CA177" s="47"/>
      <c r="CB177" s="47"/>
      <c r="CC177" s="47"/>
      <c r="CD177" s="47"/>
      <c r="CE177" s="47"/>
      <c r="CF177" s="47"/>
      <c r="CG177" s="47"/>
      <c r="CH177" s="47"/>
      <c r="CI177" s="47"/>
      <c r="CJ177" s="47"/>
      <c r="CK177" s="47"/>
      <c r="CL177" s="47"/>
      <c r="CM177" s="47"/>
      <c r="CN177" s="47"/>
      <c r="CO177" s="47"/>
      <c r="CP177" s="47"/>
      <c r="CQ177" s="47"/>
      <c r="CR177" s="47"/>
      <c r="CS177" s="47"/>
      <c r="CT177" s="47"/>
      <c r="CU177" s="47"/>
      <c r="CV177" s="47"/>
      <c r="CW177" s="47"/>
      <c r="CX177" s="47"/>
      <c r="CY177" s="47"/>
      <c r="CZ177" s="47"/>
      <c r="DA177" s="47"/>
      <c r="DB177" s="47"/>
      <c r="DC177" s="47"/>
      <c r="DD177" s="47"/>
      <c r="DE177" s="47"/>
      <c r="DF177" s="47"/>
      <c r="DG177" s="47"/>
      <c r="DH177" s="47"/>
      <c r="DI177" s="47"/>
      <c r="DJ177" s="47"/>
      <c r="DK177" s="47"/>
      <c r="DL177" s="47"/>
      <c r="DM177" s="47"/>
      <c r="DN177" s="47"/>
      <c r="DO177" s="47"/>
      <c r="DP177" s="47"/>
      <c r="DQ177" s="47"/>
      <c r="DR177" s="47"/>
      <c r="DS177" s="47"/>
      <c r="DT177" s="47"/>
      <c r="DU177" s="47"/>
      <c r="DV177" s="47"/>
      <c r="DW177" s="47"/>
      <c r="DX177" s="47"/>
      <c r="DY177" s="47"/>
      <c r="DZ177" s="219"/>
      <c r="EA177" s="231"/>
      <c r="EB177" s="231"/>
      <c r="EC177" s="231"/>
      <c r="ED177" s="231"/>
      <c r="EE177" s="231"/>
      <c r="EF177" s="231"/>
      <c r="EG177" s="231"/>
      <c r="EH177" s="231"/>
      <c r="EI177" s="231"/>
      <c r="EJ177" s="231"/>
      <c r="EK177" s="231"/>
      <c r="EL177" s="231"/>
      <c r="EM177" s="231"/>
      <c r="EN177" s="231"/>
      <c r="EO177" s="231"/>
      <c r="EP177" s="231"/>
      <c r="EQ177" s="231"/>
    </row>
    <row r="178" spans="1:147" ht="22.9" customHeight="1" outlineLevel="2" x14ac:dyDescent="0.2">
      <c r="A178" s="146" t="s">
        <v>657</v>
      </c>
      <c r="B178" s="53" t="s">
        <v>447</v>
      </c>
      <c r="C178" s="50" t="s">
        <v>133</v>
      </c>
      <c r="D178" s="165">
        <v>1</v>
      </c>
      <c r="E178" s="158">
        <v>1</v>
      </c>
      <c r="F178" s="52">
        <f>SUM(H178:DY178)*E178*Table1[[#This Row],[Cycles]]</f>
        <v>0</v>
      </c>
      <c r="G178" s="46">
        <f t="shared" si="55"/>
        <v>0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7"/>
      <c r="BA178" s="47"/>
      <c r="BB178" s="47"/>
      <c r="BC178" s="47"/>
      <c r="BD178" s="47"/>
      <c r="BE178" s="47"/>
      <c r="BF178" s="47"/>
      <c r="BG178" s="47"/>
      <c r="BH178" s="47"/>
      <c r="BI178" s="47"/>
      <c r="BJ178" s="47"/>
      <c r="BK178" s="47"/>
      <c r="BL178" s="47"/>
      <c r="BM178" s="47"/>
      <c r="BN178" s="47"/>
      <c r="BO178" s="47"/>
      <c r="BP178" s="47"/>
      <c r="BQ178" s="47"/>
      <c r="BR178" s="47"/>
      <c r="BS178" s="47"/>
      <c r="BT178" s="47"/>
      <c r="BU178" s="47"/>
      <c r="BV178" s="47"/>
      <c r="BW178" s="47"/>
      <c r="BX178" s="47"/>
      <c r="BY178" s="47"/>
      <c r="BZ178" s="47"/>
      <c r="CA178" s="47"/>
      <c r="CB178" s="47"/>
      <c r="CC178" s="47"/>
      <c r="CD178" s="47"/>
      <c r="CE178" s="47"/>
      <c r="CF178" s="47"/>
      <c r="CG178" s="47"/>
      <c r="CH178" s="47"/>
      <c r="CI178" s="47"/>
      <c r="CJ178" s="47"/>
      <c r="CK178" s="47"/>
      <c r="CL178" s="47"/>
      <c r="CM178" s="47"/>
      <c r="CN178" s="47"/>
      <c r="CO178" s="47"/>
      <c r="CP178" s="47"/>
      <c r="CQ178" s="47"/>
      <c r="CR178" s="47"/>
      <c r="CS178" s="47"/>
      <c r="CT178" s="47"/>
      <c r="CU178" s="47"/>
      <c r="CV178" s="47"/>
      <c r="CW178" s="47"/>
      <c r="CX178" s="47"/>
      <c r="CY178" s="47"/>
      <c r="CZ178" s="47"/>
      <c r="DA178" s="47"/>
      <c r="DB178" s="47"/>
      <c r="DC178" s="47"/>
      <c r="DD178" s="47"/>
      <c r="DE178" s="47"/>
      <c r="DF178" s="47"/>
      <c r="DG178" s="47"/>
      <c r="DH178" s="47"/>
      <c r="DI178" s="47"/>
      <c r="DJ178" s="47"/>
      <c r="DK178" s="47"/>
      <c r="DL178" s="47"/>
      <c r="DM178" s="47"/>
      <c r="DN178" s="47"/>
      <c r="DO178" s="47"/>
      <c r="DP178" s="47"/>
      <c r="DQ178" s="47"/>
      <c r="DR178" s="47"/>
      <c r="DS178" s="47"/>
      <c r="DT178" s="47"/>
      <c r="DU178" s="47"/>
      <c r="DV178" s="47"/>
      <c r="DW178" s="47"/>
      <c r="DX178" s="47"/>
      <c r="DY178" s="47"/>
      <c r="DZ178" s="219"/>
      <c r="EA178" s="231"/>
      <c r="EB178" s="231"/>
      <c r="EC178" s="231"/>
      <c r="ED178" s="231"/>
      <c r="EE178" s="231"/>
      <c r="EF178" s="231"/>
      <c r="EG178" s="231"/>
      <c r="EH178" s="231"/>
      <c r="EI178" s="231"/>
      <c r="EJ178" s="231"/>
      <c r="EK178" s="231"/>
      <c r="EL178" s="231"/>
      <c r="EM178" s="231"/>
      <c r="EN178" s="231"/>
      <c r="EO178" s="231"/>
      <c r="EP178" s="231"/>
      <c r="EQ178" s="231"/>
    </row>
    <row r="179" spans="1:147" ht="22.9" customHeight="1" outlineLevel="2" x14ac:dyDescent="0.2">
      <c r="A179" s="146" t="s">
        <v>658</v>
      </c>
      <c r="B179" s="53" t="s">
        <v>282</v>
      </c>
      <c r="C179" s="50" t="s">
        <v>133</v>
      </c>
      <c r="D179" s="165">
        <v>1</v>
      </c>
      <c r="E179" s="158">
        <v>2</v>
      </c>
      <c r="F179" s="52">
        <f>SUM(H179:DY179)*E179*Table1[[#This Row],[Cycles]]</f>
        <v>0</v>
      </c>
      <c r="G179" s="46">
        <f t="shared" si="55"/>
        <v>0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7"/>
      <c r="BA179" s="47"/>
      <c r="BB179" s="47"/>
      <c r="BC179" s="47"/>
      <c r="BD179" s="47"/>
      <c r="BE179" s="47"/>
      <c r="BF179" s="47"/>
      <c r="BG179" s="47"/>
      <c r="BH179" s="47"/>
      <c r="BI179" s="47"/>
      <c r="BJ179" s="47"/>
      <c r="BK179" s="47"/>
      <c r="BL179" s="47"/>
      <c r="BM179" s="47"/>
      <c r="BN179" s="47"/>
      <c r="BO179" s="47"/>
      <c r="BP179" s="47"/>
      <c r="BQ179" s="47"/>
      <c r="BR179" s="47"/>
      <c r="BS179" s="47"/>
      <c r="BT179" s="47"/>
      <c r="BU179" s="47"/>
      <c r="BV179" s="47"/>
      <c r="BW179" s="47"/>
      <c r="BX179" s="47"/>
      <c r="BY179" s="47"/>
      <c r="BZ179" s="47"/>
      <c r="CA179" s="47"/>
      <c r="CB179" s="47"/>
      <c r="CC179" s="47"/>
      <c r="CD179" s="47"/>
      <c r="CE179" s="47"/>
      <c r="CF179" s="47"/>
      <c r="CG179" s="47"/>
      <c r="CH179" s="47"/>
      <c r="CI179" s="47"/>
      <c r="CJ179" s="47"/>
      <c r="CK179" s="47"/>
      <c r="CL179" s="47"/>
      <c r="CM179" s="47"/>
      <c r="CN179" s="47"/>
      <c r="CO179" s="47"/>
      <c r="CP179" s="47"/>
      <c r="CQ179" s="47"/>
      <c r="CR179" s="47"/>
      <c r="CS179" s="47"/>
      <c r="CT179" s="47"/>
      <c r="CU179" s="47"/>
      <c r="CV179" s="47"/>
      <c r="CW179" s="47"/>
      <c r="CX179" s="47"/>
      <c r="CY179" s="47"/>
      <c r="CZ179" s="47"/>
      <c r="DA179" s="47"/>
      <c r="DB179" s="47"/>
      <c r="DC179" s="47"/>
      <c r="DD179" s="47"/>
      <c r="DE179" s="47"/>
      <c r="DF179" s="47"/>
      <c r="DG179" s="47"/>
      <c r="DH179" s="47"/>
      <c r="DI179" s="47"/>
      <c r="DJ179" s="47"/>
      <c r="DK179" s="47"/>
      <c r="DL179" s="47"/>
      <c r="DM179" s="47"/>
      <c r="DN179" s="47"/>
      <c r="DO179" s="47"/>
      <c r="DP179" s="47"/>
      <c r="DQ179" s="47"/>
      <c r="DR179" s="47"/>
      <c r="DS179" s="47"/>
      <c r="DT179" s="47"/>
      <c r="DU179" s="47"/>
      <c r="DV179" s="47"/>
      <c r="DW179" s="47"/>
      <c r="DX179" s="47"/>
      <c r="DY179" s="47"/>
      <c r="DZ179" s="219"/>
      <c r="EA179" s="231"/>
      <c r="EB179" s="231"/>
      <c r="EC179" s="231"/>
      <c r="ED179" s="231"/>
      <c r="EE179" s="231"/>
      <c r="EF179" s="231"/>
      <c r="EG179" s="231"/>
      <c r="EH179" s="231"/>
      <c r="EI179" s="231"/>
      <c r="EJ179" s="231"/>
      <c r="EK179" s="231"/>
      <c r="EL179" s="231"/>
      <c r="EM179" s="231"/>
      <c r="EN179" s="231"/>
      <c r="EO179" s="231"/>
      <c r="EP179" s="231"/>
      <c r="EQ179" s="231"/>
    </row>
    <row r="180" spans="1:147" ht="22.9" customHeight="1" outlineLevel="2" x14ac:dyDescent="0.2">
      <c r="A180" s="146" t="s">
        <v>659</v>
      </c>
      <c r="B180" s="53" t="s">
        <v>81</v>
      </c>
      <c r="C180" s="50" t="s">
        <v>133</v>
      </c>
      <c r="D180" s="165">
        <v>1</v>
      </c>
      <c r="E180" s="158">
        <v>1</v>
      </c>
      <c r="F180" s="52">
        <f>SUM(H180:DY180)*E180*Table1[[#This Row],[Cycles]]</f>
        <v>0</v>
      </c>
      <c r="G180" s="46">
        <f t="shared" si="55"/>
        <v>0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  <c r="CQ180" s="47"/>
      <c r="CR180" s="47"/>
      <c r="CS180" s="47"/>
      <c r="CT180" s="47"/>
      <c r="CU180" s="47"/>
      <c r="CV180" s="47"/>
      <c r="CW180" s="47"/>
      <c r="CX180" s="47"/>
      <c r="CY180" s="47"/>
      <c r="CZ180" s="47"/>
      <c r="DA180" s="47"/>
      <c r="DB180" s="47"/>
      <c r="DC180" s="47"/>
      <c r="DD180" s="47"/>
      <c r="DE180" s="47"/>
      <c r="DF180" s="47"/>
      <c r="DG180" s="47"/>
      <c r="DH180" s="47"/>
      <c r="DI180" s="47"/>
      <c r="DJ180" s="47"/>
      <c r="DK180" s="47"/>
      <c r="DL180" s="47"/>
      <c r="DM180" s="47"/>
      <c r="DN180" s="47"/>
      <c r="DO180" s="47"/>
      <c r="DP180" s="47"/>
      <c r="DQ180" s="47"/>
      <c r="DR180" s="47"/>
      <c r="DS180" s="47"/>
      <c r="DT180" s="47"/>
      <c r="DU180" s="47"/>
      <c r="DV180" s="47"/>
      <c r="DW180" s="47"/>
      <c r="DX180" s="47"/>
      <c r="DY180" s="47"/>
      <c r="DZ180" s="219"/>
      <c r="EA180" s="231"/>
      <c r="EB180" s="231"/>
      <c r="EC180" s="231"/>
      <c r="ED180" s="231"/>
      <c r="EE180" s="231"/>
      <c r="EF180" s="231"/>
      <c r="EG180" s="231"/>
      <c r="EH180" s="231"/>
      <c r="EI180" s="231"/>
      <c r="EJ180" s="231"/>
      <c r="EK180" s="231"/>
      <c r="EL180" s="231"/>
      <c r="EM180" s="231"/>
      <c r="EN180" s="231"/>
      <c r="EO180" s="231"/>
      <c r="EP180" s="231"/>
      <c r="EQ180" s="231"/>
    </row>
    <row r="181" spans="1:147" ht="22.9" customHeight="1" outlineLevel="2" x14ac:dyDescent="0.2">
      <c r="A181" s="146" t="s">
        <v>660</v>
      </c>
      <c r="B181" s="53" t="s">
        <v>82</v>
      </c>
      <c r="C181" s="50" t="s">
        <v>133</v>
      </c>
      <c r="D181" s="165">
        <v>1</v>
      </c>
      <c r="E181" s="158">
        <v>1</v>
      </c>
      <c r="F181" s="52">
        <f>SUM(H181:DY181)*E181*Table1[[#This Row],[Cycles]]</f>
        <v>0</v>
      </c>
      <c r="G181" s="46">
        <f t="shared" si="55"/>
        <v>0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  <c r="CQ181" s="47"/>
      <c r="CR181" s="47"/>
      <c r="CS181" s="47"/>
      <c r="CT181" s="47"/>
      <c r="CU181" s="47"/>
      <c r="CV181" s="47"/>
      <c r="CW181" s="47"/>
      <c r="CX181" s="47"/>
      <c r="CY181" s="47"/>
      <c r="CZ181" s="47"/>
      <c r="DA181" s="47"/>
      <c r="DB181" s="47"/>
      <c r="DC181" s="47"/>
      <c r="DD181" s="47"/>
      <c r="DE181" s="47"/>
      <c r="DF181" s="47"/>
      <c r="DG181" s="47"/>
      <c r="DH181" s="47"/>
      <c r="DI181" s="47"/>
      <c r="DJ181" s="47"/>
      <c r="DK181" s="47"/>
      <c r="DL181" s="47"/>
      <c r="DM181" s="47"/>
      <c r="DN181" s="47"/>
      <c r="DO181" s="47"/>
      <c r="DP181" s="47"/>
      <c r="DQ181" s="47"/>
      <c r="DR181" s="47"/>
      <c r="DS181" s="47"/>
      <c r="DT181" s="47"/>
      <c r="DU181" s="47"/>
      <c r="DV181" s="47"/>
      <c r="DW181" s="47"/>
      <c r="DX181" s="47"/>
      <c r="DY181" s="47"/>
      <c r="DZ181" s="219"/>
      <c r="EA181" s="231"/>
      <c r="EB181" s="231"/>
      <c r="EC181" s="231"/>
      <c r="ED181" s="231"/>
      <c r="EE181" s="231"/>
      <c r="EF181" s="231"/>
      <c r="EG181" s="231"/>
      <c r="EH181" s="231"/>
      <c r="EI181" s="231"/>
      <c r="EJ181" s="231"/>
      <c r="EK181" s="231"/>
      <c r="EL181" s="231"/>
      <c r="EM181" s="231"/>
      <c r="EN181" s="231"/>
      <c r="EO181" s="231"/>
      <c r="EP181" s="231"/>
      <c r="EQ181" s="231"/>
    </row>
    <row r="182" spans="1:147" ht="22.9" customHeight="1" outlineLevel="2" x14ac:dyDescent="0.2">
      <c r="A182" s="146" t="s">
        <v>661</v>
      </c>
      <c r="B182" s="53" t="s">
        <v>83</v>
      </c>
      <c r="C182" s="50" t="s">
        <v>133</v>
      </c>
      <c r="D182" s="165">
        <v>1</v>
      </c>
      <c r="E182" s="158">
        <v>1</v>
      </c>
      <c r="F182" s="52">
        <f>SUM(H182:DY182)*E182*Table1[[#This Row],[Cycles]]</f>
        <v>0</v>
      </c>
      <c r="G182" s="46">
        <f t="shared" ref="G182:G194" si="56">SUMPRODUCT($H$2:$DY$2,$H182:$DY182)*E182*D182</f>
        <v>0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7"/>
      <c r="BA182" s="47"/>
      <c r="BB182" s="47"/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  <c r="CU182" s="47"/>
      <c r="CV182" s="47"/>
      <c r="CW182" s="47"/>
      <c r="CX182" s="47"/>
      <c r="CY182" s="47"/>
      <c r="CZ182" s="47"/>
      <c r="DA182" s="47"/>
      <c r="DB182" s="47"/>
      <c r="DC182" s="47"/>
      <c r="DD182" s="47"/>
      <c r="DE182" s="47"/>
      <c r="DF182" s="47"/>
      <c r="DG182" s="47"/>
      <c r="DH182" s="47"/>
      <c r="DI182" s="47"/>
      <c r="DJ182" s="47"/>
      <c r="DK182" s="47"/>
      <c r="DL182" s="47"/>
      <c r="DM182" s="47"/>
      <c r="DN182" s="47"/>
      <c r="DO182" s="47"/>
      <c r="DP182" s="47"/>
      <c r="DQ182" s="47"/>
      <c r="DR182" s="47"/>
      <c r="DS182" s="47"/>
      <c r="DT182" s="47"/>
      <c r="DU182" s="47"/>
      <c r="DV182" s="47"/>
      <c r="DW182" s="47"/>
      <c r="DX182" s="47"/>
      <c r="DY182" s="47"/>
      <c r="DZ182" s="219"/>
      <c r="EA182" s="231"/>
      <c r="EB182" s="231"/>
      <c r="EC182" s="231"/>
      <c r="ED182" s="231"/>
      <c r="EE182" s="231"/>
      <c r="EF182" s="231"/>
      <c r="EG182" s="231"/>
      <c r="EH182" s="231"/>
      <c r="EI182" s="231"/>
      <c r="EJ182" s="231"/>
      <c r="EK182" s="231"/>
      <c r="EL182" s="231"/>
      <c r="EM182" s="231"/>
      <c r="EN182" s="231"/>
      <c r="EO182" s="231"/>
      <c r="EP182" s="231"/>
      <c r="EQ182" s="231"/>
    </row>
    <row r="183" spans="1:147" ht="22.9" customHeight="1" outlineLevel="2" x14ac:dyDescent="0.2">
      <c r="A183" s="146" t="s">
        <v>662</v>
      </c>
      <c r="B183" s="53" t="s">
        <v>448</v>
      </c>
      <c r="C183" s="50" t="s">
        <v>133</v>
      </c>
      <c r="D183" s="165">
        <v>1</v>
      </c>
      <c r="E183" s="158">
        <v>1</v>
      </c>
      <c r="F183" s="52">
        <f>SUM(H183:DY183)*E183*Table1[[#This Row],[Cycles]]</f>
        <v>0</v>
      </c>
      <c r="G183" s="46">
        <f t="shared" si="56"/>
        <v>0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7"/>
      <c r="BA183" s="47"/>
      <c r="BB183" s="47"/>
      <c r="BC183" s="47"/>
      <c r="BD183" s="47"/>
      <c r="BE183" s="47"/>
      <c r="BF183" s="47"/>
      <c r="BG183" s="47"/>
      <c r="BH183" s="47"/>
      <c r="BI183" s="47"/>
      <c r="BJ183" s="47"/>
      <c r="BK183" s="47"/>
      <c r="BL183" s="47"/>
      <c r="BM183" s="47"/>
      <c r="BN183" s="47"/>
      <c r="BO183" s="47"/>
      <c r="BP183" s="47"/>
      <c r="BQ183" s="47"/>
      <c r="BR183" s="47"/>
      <c r="BS183" s="47"/>
      <c r="BT183" s="47"/>
      <c r="BU183" s="47"/>
      <c r="BV183" s="47"/>
      <c r="BW183" s="47"/>
      <c r="BX183" s="47"/>
      <c r="BY183" s="47"/>
      <c r="BZ183" s="47"/>
      <c r="CA183" s="47"/>
      <c r="CB183" s="47"/>
      <c r="CC183" s="47"/>
      <c r="CD183" s="47"/>
      <c r="CE183" s="47"/>
      <c r="CF183" s="47"/>
      <c r="CG183" s="47"/>
      <c r="CH183" s="47"/>
      <c r="CI183" s="47"/>
      <c r="CJ183" s="47"/>
      <c r="CK183" s="47"/>
      <c r="CL183" s="47"/>
      <c r="CM183" s="47"/>
      <c r="CN183" s="47"/>
      <c r="CO183" s="47"/>
      <c r="CP183" s="47"/>
      <c r="CQ183" s="47"/>
      <c r="CR183" s="47"/>
      <c r="CS183" s="47"/>
      <c r="CT183" s="47"/>
      <c r="CU183" s="47"/>
      <c r="CV183" s="47"/>
      <c r="CW183" s="47"/>
      <c r="CX183" s="47"/>
      <c r="CY183" s="47"/>
      <c r="CZ183" s="47"/>
      <c r="DA183" s="47"/>
      <c r="DB183" s="47"/>
      <c r="DC183" s="47"/>
      <c r="DD183" s="47"/>
      <c r="DE183" s="47"/>
      <c r="DF183" s="47"/>
      <c r="DG183" s="47"/>
      <c r="DH183" s="47"/>
      <c r="DI183" s="47"/>
      <c r="DJ183" s="47"/>
      <c r="DK183" s="47"/>
      <c r="DL183" s="47"/>
      <c r="DM183" s="47"/>
      <c r="DN183" s="47"/>
      <c r="DO183" s="47"/>
      <c r="DP183" s="47"/>
      <c r="DQ183" s="47"/>
      <c r="DR183" s="47"/>
      <c r="DS183" s="47"/>
      <c r="DT183" s="47"/>
      <c r="DU183" s="47"/>
      <c r="DV183" s="47"/>
      <c r="DW183" s="47"/>
      <c r="DX183" s="47"/>
      <c r="DY183" s="47"/>
      <c r="DZ183" s="219"/>
      <c r="EA183" s="231"/>
      <c r="EB183" s="231"/>
      <c r="EC183" s="231"/>
      <c r="ED183" s="231"/>
      <c r="EE183" s="231"/>
      <c r="EF183" s="231"/>
      <c r="EG183" s="231"/>
      <c r="EH183" s="231"/>
      <c r="EI183" s="231"/>
      <c r="EJ183" s="231"/>
      <c r="EK183" s="231"/>
      <c r="EL183" s="231"/>
      <c r="EM183" s="231"/>
      <c r="EN183" s="231"/>
      <c r="EO183" s="231"/>
      <c r="EP183" s="231"/>
      <c r="EQ183" s="231"/>
    </row>
    <row r="184" spans="1:147" ht="22.9" customHeight="1" outlineLevel="2" x14ac:dyDescent="0.2">
      <c r="A184" s="146" t="s">
        <v>663</v>
      </c>
      <c r="B184" s="53" t="s">
        <v>449</v>
      </c>
      <c r="C184" s="50" t="s">
        <v>133</v>
      </c>
      <c r="D184" s="165">
        <v>1</v>
      </c>
      <c r="E184" s="158">
        <v>1</v>
      </c>
      <c r="F184" s="52">
        <f>SUM(H184:DY184)*E184*Table1[[#This Row],[Cycles]]</f>
        <v>0</v>
      </c>
      <c r="G184" s="46">
        <f t="shared" si="56"/>
        <v>0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7"/>
      <c r="BA184" s="47"/>
      <c r="BB184" s="47"/>
      <c r="BC184" s="47"/>
      <c r="BD184" s="47"/>
      <c r="BE184" s="47"/>
      <c r="BF184" s="47"/>
      <c r="BG184" s="47"/>
      <c r="BH184" s="47"/>
      <c r="BI184" s="47"/>
      <c r="BJ184" s="47"/>
      <c r="BK184" s="47"/>
      <c r="BL184" s="47"/>
      <c r="BM184" s="47"/>
      <c r="BN184" s="47"/>
      <c r="BO184" s="47"/>
      <c r="BP184" s="47"/>
      <c r="BQ184" s="47"/>
      <c r="BR184" s="47"/>
      <c r="BS184" s="47"/>
      <c r="BT184" s="47"/>
      <c r="BU184" s="47"/>
      <c r="BV184" s="47"/>
      <c r="BW184" s="47"/>
      <c r="BX184" s="47"/>
      <c r="BY184" s="47"/>
      <c r="BZ184" s="47"/>
      <c r="CA184" s="47"/>
      <c r="CB184" s="47"/>
      <c r="CC184" s="47"/>
      <c r="CD184" s="47"/>
      <c r="CE184" s="47"/>
      <c r="CF184" s="47"/>
      <c r="CG184" s="47"/>
      <c r="CH184" s="47"/>
      <c r="CI184" s="47"/>
      <c r="CJ184" s="47"/>
      <c r="CK184" s="47"/>
      <c r="CL184" s="47"/>
      <c r="CM184" s="47"/>
      <c r="CN184" s="47"/>
      <c r="CO184" s="47"/>
      <c r="CP184" s="47"/>
      <c r="CQ184" s="47"/>
      <c r="CR184" s="47"/>
      <c r="CS184" s="47"/>
      <c r="CT184" s="47"/>
      <c r="CU184" s="47"/>
      <c r="CV184" s="47"/>
      <c r="CW184" s="47"/>
      <c r="CX184" s="47"/>
      <c r="CY184" s="47"/>
      <c r="CZ184" s="47"/>
      <c r="DA184" s="47"/>
      <c r="DB184" s="47"/>
      <c r="DC184" s="47"/>
      <c r="DD184" s="47"/>
      <c r="DE184" s="47"/>
      <c r="DF184" s="47"/>
      <c r="DG184" s="47"/>
      <c r="DH184" s="47"/>
      <c r="DI184" s="47"/>
      <c r="DJ184" s="47"/>
      <c r="DK184" s="47"/>
      <c r="DL184" s="47"/>
      <c r="DM184" s="47"/>
      <c r="DN184" s="47"/>
      <c r="DO184" s="47"/>
      <c r="DP184" s="47"/>
      <c r="DQ184" s="47"/>
      <c r="DR184" s="47"/>
      <c r="DS184" s="47"/>
      <c r="DT184" s="47"/>
      <c r="DU184" s="47"/>
      <c r="DV184" s="47"/>
      <c r="DW184" s="47"/>
      <c r="DX184" s="47"/>
      <c r="DY184" s="47"/>
      <c r="DZ184" s="219"/>
      <c r="EA184" s="231"/>
      <c r="EB184" s="231"/>
      <c r="EC184" s="231"/>
      <c r="ED184" s="231"/>
      <c r="EE184" s="231"/>
      <c r="EF184" s="231"/>
      <c r="EG184" s="231"/>
      <c r="EH184" s="231"/>
      <c r="EI184" s="231"/>
      <c r="EJ184" s="231"/>
      <c r="EK184" s="231"/>
      <c r="EL184" s="231"/>
      <c r="EM184" s="231"/>
      <c r="EN184" s="231"/>
      <c r="EO184" s="231"/>
      <c r="EP184" s="231"/>
      <c r="EQ184" s="231"/>
    </row>
    <row r="185" spans="1:147" ht="22.9" customHeight="1" outlineLevel="2" x14ac:dyDescent="0.2">
      <c r="A185" s="146" t="s">
        <v>664</v>
      </c>
      <c r="B185" s="53" t="s">
        <v>84</v>
      </c>
      <c r="C185" s="50" t="s">
        <v>133</v>
      </c>
      <c r="D185" s="165">
        <v>1</v>
      </c>
      <c r="E185" s="158">
        <v>1</v>
      </c>
      <c r="F185" s="52">
        <f>SUM(H185:DY185)*E185*Table1[[#This Row],[Cycles]]</f>
        <v>0</v>
      </c>
      <c r="G185" s="46">
        <f t="shared" si="56"/>
        <v>0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7"/>
      <c r="BA185" s="47"/>
      <c r="BB185" s="47"/>
      <c r="BC185" s="47"/>
      <c r="BD185" s="47"/>
      <c r="BE185" s="47"/>
      <c r="BF185" s="47"/>
      <c r="BG185" s="47"/>
      <c r="BH185" s="47"/>
      <c r="BI185" s="47"/>
      <c r="BJ185" s="47"/>
      <c r="BK185" s="47"/>
      <c r="BL185" s="47"/>
      <c r="BM185" s="47"/>
      <c r="BN185" s="47"/>
      <c r="BO185" s="47"/>
      <c r="BP185" s="47"/>
      <c r="BQ185" s="47"/>
      <c r="BR185" s="47"/>
      <c r="BS185" s="47"/>
      <c r="BT185" s="47"/>
      <c r="BU185" s="47"/>
      <c r="BV185" s="47"/>
      <c r="BW185" s="47"/>
      <c r="BX185" s="47"/>
      <c r="BY185" s="47"/>
      <c r="BZ185" s="47"/>
      <c r="CA185" s="47"/>
      <c r="CB185" s="47"/>
      <c r="CC185" s="47"/>
      <c r="CD185" s="47"/>
      <c r="CE185" s="47"/>
      <c r="CF185" s="47"/>
      <c r="CG185" s="47"/>
      <c r="CH185" s="47"/>
      <c r="CI185" s="47"/>
      <c r="CJ185" s="47"/>
      <c r="CK185" s="47"/>
      <c r="CL185" s="47"/>
      <c r="CM185" s="47"/>
      <c r="CN185" s="47"/>
      <c r="CO185" s="47"/>
      <c r="CP185" s="47"/>
      <c r="CQ185" s="47"/>
      <c r="CR185" s="47"/>
      <c r="CS185" s="47"/>
      <c r="CT185" s="47"/>
      <c r="CU185" s="47"/>
      <c r="CV185" s="47"/>
      <c r="CW185" s="47"/>
      <c r="CX185" s="47"/>
      <c r="CY185" s="47"/>
      <c r="CZ185" s="47"/>
      <c r="DA185" s="47"/>
      <c r="DB185" s="47"/>
      <c r="DC185" s="47"/>
      <c r="DD185" s="47"/>
      <c r="DE185" s="47"/>
      <c r="DF185" s="47"/>
      <c r="DG185" s="47"/>
      <c r="DH185" s="47"/>
      <c r="DI185" s="47"/>
      <c r="DJ185" s="47"/>
      <c r="DK185" s="47"/>
      <c r="DL185" s="47"/>
      <c r="DM185" s="47"/>
      <c r="DN185" s="47"/>
      <c r="DO185" s="47"/>
      <c r="DP185" s="47"/>
      <c r="DQ185" s="47"/>
      <c r="DR185" s="47"/>
      <c r="DS185" s="47"/>
      <c r="DT185" s="47"/>
      <c r="DU185" s="47"/>
      <c r="DV185" s="47"/>
      <c r="DW185" s="47"/>
      <c r="DX185" s="47"/>
      <c r="DY185" s="47"/>
      <c r="DZ185" s="219"/>
      <c r="EA185" s="231"/>
      <c r="EB185" s="231"/>
      <c r="EC185" s="231"/>
      <c r="ED185" s="231"/>
      <c r="EE185" s="231"/>
      <c r="EF185" s="231"/>
      <c r="EG185" s="231"/>
      <c r="EH185" s="231"/>
      <c r="EI185" s="231"/>
      <c r="EJ185" s="231"/>
      <c r="EK185" s="231"/>
      <c r="EL185" s="231"/>
      <c r="EM185" s="231"/>
      <c r="EN185" s="231"/>
      <c r="EO185" s="231"/>
      <c r="EP185" s="231"/>
      <c r="EQ185" s="231"/>
    </row>
    <row r="186" spans="1:147" ht="22.9" customHeight="1" outlineLevel="2" x14ac:dyDescent="0.2">
      <c r="A186" s="146" t="s">
        <v>665</v>
      </c>
      <c r="B186" s="53" t="s">
        <v>140</v>
      </c>
      <c r="C186" s="50" t="s">
        <v>133</v>
      </c>
      <c r="D186" s="165">
        <v>1</v>
      </c>
      <c r="E186" s="158">
        <v>1</v>
      </c>
      <c r="F186" s="52">
        <f>SUM(H186:DY186)*E186*Table1[[#This Row],[Cycles]]</f>
        <v>0</v>
      </c>
      <c r="G186" s="46">
        <f t="shared" si="56"/>
        <v>0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7"/>
      <c r="BA186" s="47"/>
      <c r="BB186" s="47"/>
      <c r="BC186" s="47"/>
      <c r="BD186" s="47"/>
      <c r="BE186" s="47"/>
      <c r="BF186" s="47"/>
      <c r="BG186" s="47"/>
      <c r="BH186" s="47"/>
      <c r="BI186" s="47"/>
      <c r="BJ186" s="47"/>
      <c r="BK186" s="47"/>
      <c r="BL186" s="47"/>
      <c r="BM186" s="47"/>
      <c r="BN186" s="47"/>
      <c r="BO186" s="47"/>
      <c r="BP186" s="47"/>
      <c r="BQ186" s="47"/>
      <c r="BR186" s="47"/>
      <c r="BS186" s="47"/>
      <c r="BT186" s="47"/>
      <c r="BU186" s="47"/>
      <c r="BV186" s="47"/>
      <c r="BW186" s="47"/>
      <c r="BX186" s="47"/>
      <c r="BY186" s="47"/>
      <c r="BZ186" s="47"/>
      <c r="CA186" s="47"/>
      <c r="CB186" s="47"/>
      <c r="CC186" s="47"/>
      <c r="CD186" s="47"/>
      <c r="CE186" s="47"/>
      <c r="CF186" s="47"/>
      <c r="CG186" s="47"/>
      <c r="CH186" s="47"/>
      <c r="CI186" s="47"/>
      <c r="CJ186" s="47"/>
      <c r="CK186" s="47"/>
      <c r="CL186" s="47"/>
      <c r="CM186" s="47"/>
      <c r="CN186" s="47"/>
      <c r="CO186" s="47"/>
      <c r="CP186" s="47"/>
      <c r="CQ186" s="47"/>
      <c r="CR186" s="47"/>
      <c r="CS186" s="47"/>
      <c r="CT186" s="47"/>
      <c r="CU186" s="47"/>
      <c r="CV186" s="47"/>
      <c r="CW186" s="47"/>
      <c r="CX186" s="47"/>
      <c r="CY186" s="47"/>
      <c r="CZ186" s="47"/>
      <c r="DA186" s="47"/>
      <c r="DB186" s="47"/>
      <c r="DC186" s="47"/>
      <c r="DD186" s="47"/>
      <c r="DE186" s="47"/>
      <c r="DF186" s="47"/>
      <c r="DG186" s="47"/>
      <c r="DH186" s="47"/>
      <c r="DI186" s="47"/>
      <c r="DJ186" s="47"/>
      <c r="DK186" s="47"/>
      <c r="DL186" s="47"/>
      <c r="DM186" s="47"/>
      <c r="DN186" s="47"/>
      <c r="DO186" s="47"/>
      <c r="DP186" s="47"/>
      <c r="DQ186" s="47"/>
      <c r="DR186" s="47"/>
      <c r="DS186" s="47"/>
      <c r="DT186" s="47"/>
      <c r="DU186" s="47"/>
      <c r="DV186" s="47"/>
      <c r="DW186" s="47"/>
      <c r="DX186" s="47"/>
      <c r="DY186" s="47"/>
      <c r="DZ186" s="219"/>
      <c r="EA186" s="231"/>
      <c r="EB186" s="231"/>
      <c r="EC186" s="231"/>
      <c r="ED186" s="231"/>
      <c r="EE186" s="231"/>
      <c r="EF186" s="231"/>
      <c r="EG186" s="231"/>
      <c r="EH186" s="231"/>
      <c r="EI186" s="231"/>
      <c r="EJ186" s="231"/>
      <c r="EK186" s="231"/>
      <c r="EL186" s="231"/>
      <c r="EM186" s="231"/>
      <c r="EN186" s="231"/>
      <c r="EO186" s="231"/>
      <c r="EP186" s="231"/>
      <c r="EQ186" s="231"/>
    </row>
    <row r="187" spans="1:147" ht="22.9" customHeight="1" outlineLevel="2" x14ac:dyDescent="0.2">
      <c r="A187" s="146" t="s">
        <v>666</v>
      </c>
      <c r="B187" s="53" t="s">
        <v>91</v>
      </c>
      <c r="C187" s="50" t="s">
        <v>133</v>
      </c>
      <c r="D187" s="165">
        <v>1</v>
      </c>
      <c r="E187" s="158">
        <v>1</v>
      </c>
      <c r="F187" s="52">
        <f>SUM(H187:DY187)*E187*Table1[[#This Row],[Cycles]]</f>
        <v>0</v>
      </c>
      <c r="G187" s="46">
        <f t="shared" si="56"/>
        <v>0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7"/>
      <c r="BA187" s="47"/>
      <c r="BB187" s="47"/>
      <c r="BC187" s="47"/>
      <c r="BD187" s="47"/>
      <c r="BE187" s="47"/>
      <c r="BF187" s="47"/>
      <c r="BG187" s="47"/>
      <c r="BH187" s="47"/>
      <c r="BI187" s="47"/>
      <c r="BJ187" s="47"/>
      <c r="BK187" s="47"/>
      <c r="BL187" s="47"/>
      <c r="BM187" s="47"/>
      <c r="BN187" s="47"/>
      <c r="BO187" s="47"/>
      <c r="BP187" s="47"/>
      <c r="BQ187" s="47"/>
      <c r="BR187" s="47"/>
      <c r="BS187" s="47"/>
      <c r="BT187" s="47"/>
      <c r="BU187" s="47"/>
      <c r="BV187" s="47"/>
      <c r="BW187" s="47"/>
      <c r="BX187" s="47"/>
      <c r="BY187" s="47"/>
      <c r="BZ187" s="47"/>
      <c r="CA187" s="47"/>
      <c r="CB187" s="47"/>
      <c r="CC187" s="47"/>
      <c r="CD187" s="47"/>
      <c r="CE187" s="47"/>
      <c r="CF187" s="47"/>
      <c r="CG187" s="47"/>
      <c r="CH187" s="47"/>
      <c r="CI187" s="47"/>
      <c r="CJ187" s="47"/>
      <c r="CK187" s="47"/>
      <c r="CL187" s="47"/>
      <c r="CM187" s="47"/>
      <c r="CN187" s="47"/>
      <c r="CO187" s="47"/>
      <c r="CP187" s="47"/>
      <c r="CQ187" s="47"/>
      <c r="CR187" s="47"/>
      <c r="CS187" s="47"/>
      <c r="CT187" s="47"/>
      <c r="CU187" s="47"/>
      <c r="CV187" s="47"/>
      <c r="CW187" s="47"/>
      <c r="CX187" s="47"/>
      <c r="CY187" s="47"/>
      <c r="CZ187" s="47"/>
      <c r="DA187" s="47"/>
      <c r="DB187" s="47"/>
      <c r="DC187" s="47"/>
      <c r="DD187" s="47"/>
      <c r="DE187" s="47"/>
      <c r="DF187" s="47"/>
      <c r="DG187" s="47"/>
      <c r="DH187" s="47"/>
      <c r="DI187" s="47"/>
      <c r="DJ187" s="47"/>
      <c r="DK187" s="47"/>
      <c r="DL187" s="47"/>
      <c r="DM187" s="47"/>
      <c r="DN187" s="47"/>
      <c r="DO187" s="47"/>
      <c r="DP187" s="47"/>
      <c r="DQ187" s="47"/>
      <c r="DR187" s="47"/>
      <c r="DS187" s="47"/>
      <c r="DT187" s="47"/>
      <c r="DU187" s="47"/>
      <c r="DV187" s="47"/>
      <c r="DW187" s="47"/>
      <c r="DX187" s="47"/>
      <c r="DY187" s="47"/>
      <c r="DZ187" s="219"/>
      <c r="EA187" s="231"/>
      <c r="EB187" s="231"/>
      <c r="EC187" s="231"/>
      <c r="ED187" s="231"/>
      <c r="EE187" s="231"/>
      <c r="EF187" s="231"/>
      <c r="EG187" s="231"/>
      <c r="EH187" s="231"/>
      <c r="EI187" s="231"/>
      <c r="EJ187" s="231"/>
      <c r="EK187" s="231"/>
      <c r="EL187" s="231"/>
      <c r="EM187" s="231"/>
      <c r="EN187" s="231"/>
      <c r="EO187" s="231"/>
      <c r="EP187" s="231"/>
      <c r="EQ187" s="231"/>
    </row>
    <row r="188" spans="1:147" ht="22.9" customHeight="1" outlineLevel="2" x14ac:dyDescent="0.2">
      <c r="A188" s="146" t="s">
        <v>667</v>
      </c>
      <c r="B188" s="53" t="s">
        <v>92</v>
      </c>
      <c r="C188" s="50" t="s">
        <v>133</v>
      </c>
      <c r="D188" s="165">
        <v>1</v>
      </c>
      <c r="E188" s="158">
        <v>1</v>
      </c>
      <c r="F188" s="52">
        <f>SUM(H188:DY188)*E188*Table1[[#This Row],[Cycles]]</f>
        <v>0</v>
      </c>
      <c r="G188" s="46">
        <f t="shared" si="56"/>
        <v>0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7"/>
      <c r="BA188" s="47"/>
      <c r="BB188" s="47"/>
      <c r="BC188" s="47"/>
      <c r="BD188" s="47"/>
      <c r="BE188" s="47"/>
      <c r="BF188" s="47"/>
      <c r="BG188" s="47"/>
      <c r="BH188" s="47"/>
      <c r="BI188" s="47"/>
      <c r="BJ188" s="47"/>
      <c r="BK188" s="47"/>
      <c r="BL188" s="47"/>
      <c r="BM188" s="47"/>
      <c r="BN188" s="47"/>
      <c r="BO188" s="47"/>
      <c r="BP188" s="47"/>
      <c r="BQ188" s="47"/>
      <c r="BR188" s="47"/>
      <c r="BS188" s="47"/>
      <c r="BT188" s="47"/>
      <c r="BU188" s="47"/>
      <c r="BV188" s="47"/>
      <c r="BW188" s="47"/>
      <c r="BX188" s="47"/>
      <c r="BY188" s="47"/>
      <c r="BZ188" s="47"/>
      <c r="CA188" s="47"/>
      <c r="CB188" s="47"/>
      <c r="CC188" s="47"/>
      <c r="CD188" s="47"/>
      <c r="CE188" s="47"/>
      <c r="CF188" s="47"/>
      <c r="CG188" s="47"/>
      <c r="CH188" s="47"/>
      <c r="CI188" s="47"/>
      <c r="CJ188" s="47"/>
      <c r="CK188" s="47"/>
      <c r="CL188" s="47"/>
      <c r="CM188" s="47"/>
      <c r="CN188" s="47"/>
      <c r="CO188" s="47"/>
      <c r="CP188" s="47"/>
      <c r="CQ188" s="47"/>
      <c r="CR188" s="47"/>
      <c r="CS188" s="47"/>
      <c r="CT188" s="47"/>
      <c r="CU188" s="47"/>
      <c r="CV188" s="47"/>
      <c r="CW188" s="47"/>
      <c r="CX188" s="47"/>
      <c r="CY188" s="47"/>
      <c r="CZ188" s="47"/>
      <c r="DA188" s="47"/>
      <c r="DB188" s="47"/>
      <c r="DC188" s="47"/>
      <c r="DD188" s="47"/>
      <c r="DE188" s="47"/>
      <c r="DF188" s="47"/>
      <c r="DG188" s="47"/>
      <c r="DH188" s="47"/>
      <c r="DI188" s="47"/>
      <c r="DJ188" s="47"/>
      <c r="DK188" s="47"/>
      <c r="DL188" s="47"/>
      <c r="DM188" s="47"/>
      <c r="DN188" s="47"/>
      <c r="DO188" s="47"/>
      <c r="DP188" s="47"/>
      <c r="DQ188" s="47"/>
      <c r="DR188" s="47"/>
      <c r="DS188" s="47"/>
      <c r="DT188" s="47"/>
      <c r="DU188" s="47"/>
      <c r="DV188" s="47"/>
      <c r="DW188" s="47"/>
      <c r="DX188" s="47"/>
      <c r="DY188" s="47"/>
      <c r="DZ188" s="219"/>
      <c r="EA188" s="231"/>
      <c r="EB188" s="231"/>
      <c r="EC188" s="231"/>
      <c r="ED188" s="231"/>
      <c r="EE188" s="231"/>
      <c r="EF188" s="231"/>
      <c r="EG188" s="231"/>
      <c r="EH188" s="231"/>
      <c r="EI188" s="231"/>
      <c r="EJ188" s="231"/>
      <c r="EK188" s="231"/>
      <c r="EL188" s="231"/>
      <c r="EM188" s="231"/>
      <c r="EN188" s="231"/>
      <c r="EO188" s="231"/>
      <c r="EP188" s="231"/>
      <c r="EQ188" s="231"/>
    </row>
    <row r="189" spans="1:147" ht="22.9" customHeight="1" outlineLevel="2" x14ac:dyDescent="0.2">
      <c r="A189" s="146" t="s">
        <v>668</v>
      </c>
      <c r="B189" s="53" t="s">
        <v>93</v>
      </c>
      <c r="C189" s="50" t="s">
        <v>133</v>
      </c>
      <c r="D189" s="165">
        <v>1</v>
      </c>
      <c r="E189" s="158">
        <v>1</v>
      </c>
      <c r="F189" s="52">
        <f>SUM(H189:DY189)*E189*Table1[[#This Row],[Cycles]]</f>
        <v>0</v>
      </c>
      <c r="G189" s="46">
        <f t="shared" si="56"/>
        <v>0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7"/>
      <c r="BA189" s="47"/>
      <c r="BB189" s="47"/>
      <c r="BC189" s="47"/>
      <c r="BD189" s="47"/>
      <c r="BE189" s="47"/>
      <c r="BF189" s="47"/>
      <c r="BG189" s="47"/>
      <c r="BH189" s="47"/>
      <c r="BI189" s="47"/>
      <c r="BJ189" s="47"/>
      <c r="BK189" s="47"/>
      <c r="BL189" s="47"/>
      <c r="BM189" s="47"/>
      <c r="BN189" s="47"/>
      <c r="BO189" s="47"/>
      <c r="BP189" s="47"/>
      <c r="BQ189" s="47"/>
      <c r="BR189" s="47"/>
      <c r="BS189" s="47"/>
      <c r="BT189" s="47"/>
      <c r="BU189" s="47"/>
      <c r="BV189" s="47"/>
      <c r="BW189" s="47"/>
      <c r="BX189" s="47"/>
      <c r="BY189" s="47"/>
      <c r="BZ189" s="47"/>
      <c r="CA189" s="47"/>
      <c r="CB189" s="47"/>
      <c r="CC189" s="47"/>
      <c r="CD189" s="47"/>
      <c r="CE189" s="47"/>
      <c r="CF189" s="47"/>
      <c r="CG189" s="47"/>
      <c r="CH189" s="47"/>
      <c r="CI189" s="47"/>
      <c r="CJ189" s="47"/>
      <c r="CK189" s="47"/>
      <c r="CL189" s="47"/>
      <c r="CM189" s="47"/>
      <c r="CN189" s="47"/>
      <c r="CO189" s="47"/>
      <c r="CP189" s="47"/>
      <c r="CQ189" s="47"/>
      <c r="CR189" s="47"/>
      <c r="CS189" s="47"/>
      <c r="CT189" s="47"/>
      <c r="CU189" s="47"/>
      <c r="CV189" s="47"/>
      <c r="CW189" s="47"/>
      <c r="CX189" s="47"/>
      <c r="CY189" s="47"/>
      <c r="CZ189" s="47"/>
      <c r="DA189" s="47"/>
      <c r="DB189" s="47"/>
      <c r="DC189" s="47"/>
      <c r="DD189" s="47"/>
      <c r="DE189" s="47"/>
      <c r="DF189" s="47"/>
      <c r="DG189" s="47"/>
      <c r="DH189" s="47"/>
      <c r="DI189" s="47"/>
      <c r="DJ189" s="47"/>
      <c r="DK189" s="47"/>
      <c r="DL189" s="47"/>
      <c r="DM189" s="47"/>
      <c r="DN189" s="47"/>
      <c r="DO189" s="47"/>
      <c r="DP189" s="47"/>
      <c r="DQ189" s="47"/>
      <c r="DR189" s="47"/>
      <c r="DS189" s="47"/>
      <c r="DT189" s="47"/>
      <c r="DU189" s="47"/>
      <c r="DV189" s="47"/>
      <c r="DW189" s="47"/>
      <c r="DX189" s="47"/>
      <c r="DY189" s="47"/>
      <c r="DZ189" s="219"/>
      <c r="EA189" s="231"/>
      <c r="EB189" s="231"/>
      <c r="EC189" s="231"/>
      <c r="ED189" s="231"/>
      <c r="EE189" s="231"/>
      <c r="EF189" s="231"/>
      <c r="EG189" s="231"/>
      <c r="EH189" s="231"/>
      <c r="EI189" s="231"/>
      <c r="EJ189" s="231"/>
      <c r="EK189" s="231"/>
      <c r="EL189" s="231"/>
      <c r="EM189" s="231"/>
      <c r="EN189" s="231"/>
      <c r="EO189" s="231"/>
      <c r="EP189" s="231"/>
      <c r="EQ189" s="231"/>
    </row>
    <row r="190" spans="1:147" ht="22.9" customHeight="1" outlineLevel="2" x14ac:dyDescent="0.2">
      <c r="A190" s="146" t="s">
        <v>669</v>
      </c>
      <c r="B190" s="53" t="s">
        <v>94</v>
      </c>
      <c r="C190" s="50" t="s">
        <v>133</v>
      </c>
      <c r="D190" s="165">
        <v>1</v>
      </c>
      <c r="E190" s="158">
        <v>1</v>
      </c>
      <c r="F190" s="52">
        <f>SUM(H190:DY190)*E190*Table1[[#This Row],[Cycles]]</f>
        <v>0</v>
      </c>
      <c r="G190" s="46">
        <f t="shared" si="56"/>
        <v>0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7"/>
      <c r="BA190" s="47"/>
      <c r="BB190" s="47"/>
      <c r="BC190" s="47"/>
      <c r="BD190" s="47"/>
      <c r="BE190" s="47"/>
      <c r="BF190" s="47"/>
      <c r="BG190" s="47"/>
      <c r="BH190" s="47"/>
      <c r="BI190" s="47"/>
      <c r="BJ190" s="47"/>
      <c r="BK190" s="47"/>
      <c r="BL190" s="47"/>
      <c r="BM190" s="47"/>
      <c r="BN190" s="47"/>
      <c r="BO190" s="47"/>
      <c r="BP190" s="47"/>
      <c r="BQ190" s="47"/>
      <c r="BR190" s="47"/>
      <c r="BS190" s="47"/>
      <c r="BT190" s="47"/>
      <c r="BU190" s="47"/>
      <c r="BV190" s="47"/>
      <c r="BW190" s="47"/>
      <c r="BX190" s="47"/>
      <c r="BY190" s="47"/>
      <c r="BZ190" s="47"/>
      <c r="CA190" s="47"/>
      <c r="CB190" s="47"/>
      <c r="CC190" s="47"/>
      <c r="CD190" s="47"/>
      <c r="CE190" s="47"/>
      <c r="CF190" s="47"/>
      <c r="CG190" s="47"/>
      <c r="CH190" s="47"/>
      <c r="CI190" s="47"/>
      <c r="CJ190" s="47"/>
      <c r="CK190" s="47"/>
      <c r="CL190" s="47"/>
      <c r="CM190" s="47"/>
      <c r="CN190" s="47"/>
      <c r="CO190" s="47"/>
      <c r="CP190" s="47"/>
      <c r="CQ190" s="47"/>
      <c r="CR190" s="47"/>
      <c r="CS190" s="47"/>
      <c r="CT190" s="47"/>
      <c r="CU190" s="47"/>
      <c r="CV190" s="47"/>
      <c r="CW190" s="47"/>
      <c r="CX190" s="47"/>
      <c r="CY190" s="47"/>
      <c r="CZ190" s="47"/>
      <c r="DA190" s="47"/>
      <c r="DB190" s="47"/>
      <c r="DC190" s="47"/>
      <c r="DD190" s="47"/>
      <c r="DE190" s="47"/>
      <c r="DF190" s="47"/>
      <c r="DG190" s="47"/>
      <c r="DH190" s="47"/>
      <c r="DI190" s="47"/>
      <c r="DJ190" s="47"/>
      <c r="DK190" s="47"/>
      <c r="DL190" s="47"/>
      <c r="DM190" s="47"/>
      <c r="DN190" s="47"/>
      <c r="DO190" s="47"/>
      <c r="DP190" s="47"/>
      <c r="DQ190" s="47"/>
      <c r="DR190" s="47"/>
      <c r="DS190" s="47"/>
      <c r="DT190" s="47"/>
      <c r="DU190" s="47"/>
      <c r="DV190" s="47"/>
      <c r="DW190" s="47"/>
      <c r="DX190" s="47"/>
      <c r="DY190" s="47"/>
      <c r="DZ190" s="219"/>
      <c r="EA190" s="231"/>
      <c r="EB190" s="231"/>
      <c r="EC190" s="231"/>
      <c r="ED190" s="231"/>
      <c r="EE190" s="231"/>
      <c r="EF190" s="231"/>
      <c r="EG190" s="231"/>
      <c r="EH190" s="231"/>
      <c r="EI190" s="231"/>
      <c r="EJ190" s="231"/>
      <c r="EK190" s="231"/>
      <c r="EL190" s="231"/>
      <c r="EM190" s="231"/>
      <c r="EN190" s="231"/>
      <c r="EO190" s="231"/>
      <c r="EP190" s="231"/>
      <c r="EQ190" s="231"/>
    </row>
    <row r="191" spans="1:147" ht="22.9" customHeight="1" outlineLevel="2" x14ac:dyDescent="0.2">
      <c r="A191" s="146" t="s">
        <v>670</v>
      </c>
      <c r="B191" s="53" t="s">
        <v>95</v>
      </c>
      <c r="C191" s="50" t="s">
        <v>133</v>
      </c>
      <c r="D191" s="165">
        <v>1</v>
      </c>
      <c r="E191" s="158">
        <v>1</v>
      </c>
      <c r="F191" s="52">
        <f>SUM(H191:DY191)*E191*Table1[[#This Row],[Cycles]]</f>
        <v>0</v>
      </c>
      <c r="G191" s="46">
        <f t="shared" si="56"/>
        <v>0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7"/>
      <c r="BA191" s="47"/>
      <c r="BB191" s="47"/>
      <c r="BC191" s="47"/>
      <c r="BD191" s="47"/>
      <c r="BE191" s="47"/>
      <c r="BF191" s="47"/>
      <c r="BG191" s="47"/>
      <c r="BH191" s="47"/>
      <c r="BI191" s="47"/>
      <c r="BJ191" s="47"/>
      <c r="BK191" s="47"/>
      <c r="BL191" s="47"/>
      <c r="BM191" s="47"/>
      <c r="BN191" s="47"/>
      <c r="BO191" s="47"/>
      <c r="BP191" s="47"/>
      <c r="BQ191" s="47"/>
      <c r="BR191" s="47"/>
      <c r="BS191" s="47"/>
      <c r="BT191" s="47"/>
      <c r="BU191" s="47"/>
      <c r="BV191" s="47"/>
      <c r="BW191" s="47"/>
      <c r="BX191" s="47"/>
      <c r="BY191" s="47"/>
      <c r="BZ191" s="47"/>
      <c r="CA191" s="47"/>
      <c r="CB191" s="47"/>
      <c r="CC191" s="47"/>
      <c r="CD191" s="47"/>
      <c r="CE191" s="47"/>
      <c r="CF191" s="47"/>
      <c r="CG191" s="47"/>
      <c r="CH191" s="47"/>
      <c r="CI191" s="47"/>
      <c r="CJ191" s="47"/>
      <c r="CK191" s="47"/>
      <c r="CL191" s="47"/>
      <c r="CM191" s="47"/>
      <c r="CN191" s="47"/>
      <c r="CO191" s="47"/>
      <c r="CP191" s="47"/>
      <c r="CQ191" s="47"/>
      <c r="CR191" s="47"/>
      <c r="CS191" s="47"/>
      <c r="CT191" s="47"/>
      <c r="CU191" s="47"/>
      <c r="CV191" s="47"/>
      <c r="CW191" s="47"/>
      <c r="CX191" s="47"/>
      <c r="CY191" s="47"/>
      <c r="CZ191" s="47"/>
      <c r="DA191" s="47"/>
      <c r="DB191" s="47"/>
      <c r="DC191" s="47"/>
      <c r="DD191" s="47"/>
      <c r="DE191" s="47"/>
      <c r="DF191" s="47"/>
      <c r="DG191" s="47"/>
      <c r="DH191" s="47"/>
      <c r="DI191" s="47"/>
      <c r="DJ191" s="47"/>
      <c r="DK191" s="47"/>
      <c r="DL191" s="47"/>
      <c r="DM191" s="47"/>
      <c r="DN191" s="47"/>
      <c r="DO191" s="47"/>
      <c r="DP191" s="47"/>
      <c r="DQ191" s="47"/>
      <c r="DR191" s="47"/>
      <c r="DS191" s="47"/>
      <c r="DT191" s="47"/>
      <c r="DU191" s="47"/>
      <c r="DV191" s="47"/>
      <c r="DW191" s="47"/>
      <c r="DX191" s="47"/>
      <c r="DY191" s="47"/>
      <c r="DZ191" s="219"/>
      <c r="EA191" s="231"/>
      <c r="EB191" s="231"/>
      <c r="EC191" s="231"/>
      <c r="ED191" s="231"/>
      <c r="EE191" s="231"/>
      <c r="EF191" s="231"/>
      <c r="EG191" s="231"/>
      <c r="EH191" s="231"/>
      <c r="EI191" s="231"/>
      <c r="EJ191" s="231"/>
      <c r="EK191" s="231"/>
      <c r="EL191" s="231"/>
      <c r="EM191" s="231"/>
      <c r="EN191" s="231"/>
      <c r="EO191" s="231"/>
      <c r="EP191" s="231"/>
      <c r="EQ191" s="231"/>
    </row>
    <row r="192" spans="1:147" ht="22.9" customHeight="1" outlineLevel="2" x14ac:dyDescent="0.2">
      <c r="A192" s="146" t="s">
        <v>671</v>
      </c>
      <c r="B192" s="53" t="s">
        <v>219</v>
      </c>
      <c r="C192" s="50" t="s">
        <v>133</v>
      </c>
      <c r="D192" s="165">
        <v>1</v>
      </c>
      <c r="E192" s="158">
        <v>1</v>
      </c>
      <c r="F192" s="52">
        <f>SUM(H192:DY192)*E192*Table1[[#This Row],[Cycles]]</f>
        <v>0</v>
      </c>
      <c r="G192" s="46">
        <f t="shared" si="56"/>
        <v>0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219"/>
      <c r="EA192" s="231"/>
      <c r="EB192" s="231"/>
      <c r="EC192" s="231"/>
      <c r="ED192" s="231"/>
      <c r="EE192" s="231"/>
      <c r="EF192" s="231"/>
      <c r="EG192" s="231"/>
      <c r="EH192" s="231"/>
      <c r="EI192" s="231"/>
      <c r="EJ192" s="231"/>
      <c r="EK192" s="231"/>
      <c r="EL192" s="231"/>
      <c r="EM192" s="231"/>
      <c r="EN192" s="231"/>
      <c r="EO192" s="231"/>
      <c r="EP192" s="231"/>
      <c r="EQ192" s="231"/>
    </row>
    <row r="193" spans="1:147" ht="22.9" customHeight="1" outlineLevel="2" x14ac:dyDescent="0.2">
      <c r="A193" s="146" t="s">
        <v>672</v>
      </c>
      <c r="B193" s="53" t="s">
        <v>96</v>
      </c>
      <c r="C193" s="50" t="s">
        <v>133</v>
      </c>
      <c r="D193" s="165">
        <v>1</v>
      </c>
      <c r="E193" s="158">
        <v>1</v>
      </c>
      <c r="F193" s="52">
        <f>SUM(H193:DY193)*E193*Table1[[#This Row],[Cycles]]</f>
        <v>0</v>
      </c>
      <c r="G193" s="46">
        <f t="shared" si="56"/>
        <v>0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7"/>
      <c r="BA193" s="47"/>
      <c r="BB193" s="47"/>
      <c r="BC193" s="47"/>
      <c r="BD193" s="47"/>
      <c r="BE193" s="47"/>
      <c r="BF193" s="47"/>
      <c r="BG193" s="47"/>
      <c r="BH193" s="47"/>
      <c r="BI193" s="47"/>
      <c r="BJ193" s="47"/>
      <c r="BK193" s="47"/>
      <c r="BL193" s="47"/>
      <c r="BM193" s="47"/>
      <c r="BN193" s="47"/>
      <c r="BO193" s="47"/>
      <c r="BP193" s="47"/>
      <c r="BQ193" s="47"/>
      <c r="BR193" s="47"/>
      <c r="BS193" s="47"/>
      <c r="BT193" s="47"/>
      <c r="BU193" s="47"/>
      <c r="BV193" s="47"/>
      <c r="BW193" s="47"/>
      <c r="BX193" s="47"/>
      <c r="BY193" s="47"/>
      <c r="BZ193" s="47"/>
      <c r="CA193" s="47"/>
      <c r="CB193" s="47"/>
      <c r="CC193" s="47"/>
      <c r="CD193" s="47"/>
      <c r="CE193" s="47"/>
      <c r="CF193" s="47"/>
      <c r="CG193" s="47"/>
      <c r="CH193" s="47"/>
      <c r="CI193" s="47"/>
      <c r="CJ193" s="47"/>
      <c r="CK193" s="47"/>
      <c r="CL193" s="47"/>
      <c r="CM193" s="47"/>
      <c r="CN193" s="47"/>
      <c r="CO193" s="47"/>
      <c r="CP193" s="47"/>
      <c r="CQ193" s="47"/>
      <c r="CR193" s="47"/>
      <c r="CS193" s="47"/>
      <c r="CT193" s="47"/>
      <c r="CU193" s="47"/>
      <c r="CV193" s="47"/>
      <c r="CW193" s="47"/>
      <c r="CX193" s="47"/>
      <c r="CY193" s="47"/>
      <c r="CZ193" s="47"/>
      <c r="DA193" s="47"/>
      <c r="DB193" s="47"/>
      <c r="DC193" s="47"/>
      <c r="DD193" s="47"/>
      <c r="DE193" s="47"/>
      <c r="DF193" s="47"/>
      <c r="DG193" s="47"/>
      <c r="DH193" s="47"/>
      <c r="DI193" s="47"/>
      <c r="DJ193" s="47"/>
      <c r="DK193" s="47"/>
      <c r="DL193" s="47"/>
      <c r="DM193" s="47"/>
      <c r="DN193" s="47"/>
      <c r="DO193" s="47"/>
      <c r="DP193" s="47"/>
      <c r="DQ193" s="47"/>
      <c r="DR193" s="47"/>
      <c r="DS193" s="47"/>
      <c r="DT193" s="47"/>
      <c r="DU193" s="47"/>
      <c r="DV193" s="47"/>
      <c r="DW193" s="47"/>
      <c r="DX193" s="47"/>
      <c r="DY193" s="47"/>
      <c r="DZ193" s="219"/>
      <c r="EA193" s="231"/>
      <c r="EB193" s="231"/>
      <c r="EC193" s="231"/>
      <c r="ED193" s="231"/>
      <c r="EE193" s="231"/>
      <c r="EF193" s="231"/>
      <c r="EG193" s="231"/>
      <c r="EH193" s="231"/>
      <c r="EI193" s="231"/>
      <c r="EJ193" s="231"/>
      <c r="EK193" s="231"/>
      <c r="EL193" s="231"/>
      <c r="EM193" s="231"/>
      <c r="EN193" s="231"/>
      <c r="EO193" s="231"/>
      <c r="EP193" s="231"/>
      <c r="EQ193" s="231"/>
    </row>
    <row r="194" spans="1:147" ht="22.9" customHeight="1" outlineLevel="2" x14ac:dyDescent="0.2">
      <c r="A194" s="146" t="s">
        <v>673</v>
      </c>
      <c r="B194" s="53" t="s">
        <v>97</v>
      </c>
      <c r="C194" s="50" t="s">
        <v>133</v>
      </c>
      <c r="D194" s="165">
        <v>1</v>
      </c>
      <c r="E194" s="158">
        <v>1</v>
      </c>
      <c r="F194" s="52">
        <f>SUM(H194:DY194)*E194*Table1[[#This Row],[Cycles]]</f>
        <v>0</v>
      </c>
      <c r="G194" s="46">
        <f t="shared" si="56"/>
        <v>0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7"/>
      <c r="BA194" s="47"/>
      <c r="BB194" s="47"/>
      <c r="BC194" s="47"/>
      <c r="BD194" s="47"/>
      <c r="BE194" s="47"/>
      <c r="BF194" s="47"/>
      <c r="BG194" s="47"/>
      <c r="BH194" s="47"/>
      <c r="BI194" s="47"/>
      <c r="BJ194" s="47"/>
      <c r="BK194" s="47"/>
      <c r="BL194" s="47"/>
      <c r="BM194" s="47"/>
      <c r="BN194" s="47"/>
      <c r="BO194" s="47"/>
      <c r="BP194" s="47"/>
      <c r="BQ194" s="47"/>
      <c r="BR194" s="47"/>
      <c r="BS194" s="47"/>
      <c r="BT194" s="47"/>
      <c r="BU194" s="47"/>
      <c r="BV194" s="47"/>
      <c r="BW194" s="47"/>
      <c r="BX194" s="47"/>
      <c r="BY194" s="47"/>
      <c r="BZ194" s="47"/>
      <c r="CA194" s="47"/>
      <c r="CB194" s="47"/>
      <c r="CC194" s="47"/>
      <c r="CD194" s="47"/>
      <c r="CE194" s="47"/>
      <c r="CF194" s="47"/>
      <c r="CG194" s="47"/>
      <c r="CH194" s="47"/>
      <c r="CI194" s="47"/>
      <c r="CJ194" s="47"/>
      <c r="CK194" s="47"/>
      <c r="CL194" s="47"/>
      <c r="CM194" s="47"/>
      <c r="CN194" s="47"/>
      <c r="CO194" s="47"/>
      <c r="CP194" s="47"/>
      <c r="CQ194" s="47"/>
      <c r="CR194" s="47"/>
      <c r="CS194" s="47"/>
      <c r="CT194" s="47"/>
      <c r="CU194" s="47"/>
      <c r="CV194" s="47"/>
      <c r="CW194" s="47"/>
      <c r="CX194" s="47"/>
      <c r="CY194" s="47"/>
      <c r="CZ194" s="47"/>
      <c r="DA194" s="47"/>
      <c r="DB194" s="47"/>
      <c r="DC194" s="47"/>
      <c r="DD194" s="47"/>
      <c r="DE194" s="47"/>
      <c r="DF194" s="47"/>
      <c r="DG194" s="47"/>
      <c r="DH194" s="47"/>
      <c r="DI194" s="47"/>
      <c r="DJ194" s="47"/>
      <c r="DK194" s="47"/>
      <c r="DL194" s="47"/>
      <c r="DM194" s="47"/>
      <c r="DN194" s="47"/>
      <c r="DO194" s="47"/>
      <c r="DP194" s="47"/>
      <c r="DQ194" s="47"/>
      <c r="DR194" s="47"/>
      <c r="DS194" s="47"/>
      <c r="DT194" s="47"/>
      <c r="DU194" s="47"/>
      <c r="DV194" s="47"/>
      <c r="DW194" s="47"/>
      <c r="DX194" s="47"/>
      <c r="DY194" s="47"/>
      <c r="DZ194" s="219"/>
      <c r="EA194" s="231"/>
      <c r="EB194" s="231"/>
      <c r="EC194" s="231"/>
      <c r="ED194" s="231"/>
      <c r="EE194" s="231"/>
      <c r="EF194" s="231"/>
      <c r="EG194" s="231"/>
      <c r="EH194" s="231"/>
      <c r="EI194" s="231"/>
      <c r="EJ194" s="231"/>
      <c r="EK194" s="231"/>
      <c r="EL194" s="231"/>
      <c r="EM194" s="231"/>
      <c r="EN194" s="231"/>
      <c r="EO194" s="231"/>
      <c r="EP194" s="231"/>
      <c r="EQ194" s="231"/>
    </row>
    <row r="195" spans="1:147" s="40" customFormat="1" ht="22.9" customHeight="1" outlineLevel="1" x14ac:dyDescent="0.2">
      <c r="A195" s="149" t="s">
        <v>674</v>
      </c>
      <c r="B195" s="34" t="s">
        <v>85</v>
      </c>
      <c r="C195" s="30" t="s">
        <v>100</v>
      </c>
      <c r="D195" s="164"/>
      <c r="E195" s="164"/>
      <c r="F195" s="45">
        <f>SUM(F196:F205)</f>
        <v>0</v>
      </c>
      <c r="G195" s="44">
        <f>SUM(G196:G205)</f>
        <v>0</v>
      </c>
      <c r="H195" s="45">
        <f>SUMPRODUCT($D$196:$D$205,$E$196:$E$205,H196:H205)</f>
        <v>0</v>
      </c>
      <c r="I195" s="45">
        <f>SUMPRODUCT($D$196:$D$205,$E$196:$E$205,I196:I205)</f>
        <v>0</v>
      </c>
      <c r="J195" s="45">
        <f t="shared" ref="J195:BT195" si="57">SUMPRODUCT($D$196:$D$205,$E$196:$E$205,J196:J205)</f>
        <v>0</v>
      </c>
      <c r="K195" s="45">
        <f t="shared" si="57"/>
        <v>0</v>
      </c>
      <c r="L195" s="45">
        <f t="shared" si="57"/>
        <v>0</v>
      </c>
      <c r="M195" s="45">
        <f t="shared" si="57"/>
        <v>0</v>
      </c>
      <c r="N195" s="45">
        <f t="shared" si="57"/>
        <v>0</v>
      </c>
      <c r="O195" s="45">
        <f t="shared" si="57"/>
        <v>0</v>
      </c>
      <c r="P195" s="45">
        <f t="shared" si="57"/>
        <v>0</v>
      </c>
      <c r="Q195" s="45">
        <f t="shared" si="57"/>
        <v>0</v>
      </c>
      <c r="R195" s="45">
        <f t="shared" si="57"/>
        <v>0</v>
      </c>
      <c r="S195" s="45">
        <f t="shared" si="57"/>
        <v>0</v>
      </c>
      <c r="T195" s="45">
        <f t="shared" si="57"/>
        <v>0</v>
      </c>
      <c r="U195" s="45">
        <f t="shared" si="57"/>
        <v>0</v>
      </c>
      <c r="V195" s="45">
        <f t="shared" si="57"/>
        <v>0</v>
      </c>
      <c r="W195" s="45">
        <f t="shared" si="57"/>
        <v>0</v>
      </c>
      <c r="X195" s="45">
        <f t="shared" si="57"/>
        <v>0</v>
      </c>
      <c r="Y195" s="45">
        <f t="shared" si="57"/>
        <v>0</v>
      </c>
      <c r="Z195" s="45">
        <f t="shared" si="57"/>
        <v>0</v>
      </c>
      <c r="AA195" s="45">
        <f t="shared" si="57"/>
        <v>0</v>
      </c>
      <c r="AB195" s="45">
        <f t="shared" si="57"/>
        <v>0</v>
      </c>
      <c r="AC195" s="45">
        <f t="shared" si="57"/>
        <v>0</v>
      </c>
      <c r="AD195" s="45">
        <f t="shared" si="57"/>
        <v>0</v>
      </c>
      <c r="AE195" s="45">
        <f t="shared" si="57"/>
        <v>0</v>
      </c>
      <c r="AF195" s="45">
        <f t="shared" si="57"/>
        <v>0</v>
      </c>
      <c r="AG195" s="45">
        <f t="shared" si="57"/>
        <v>0</v>
      </c>
      <c r="AH195" s="45">
        <f t="shared" si="57"/>
        <v>0</v>
      </c>
      <c r="AI195" s="45">
        <f t="shared" si="57"/>
        <v>0</v>
      </c>
      <c r="AJ195" s="45">
        <f t="shared" si="57"/>
        <v>0</v>
      </c>
      <c r="AK195" s="45">
        <f t="shared" si="57"/>
        <v>0</v>
      </c>
      <c r="AL195" s="45">
        <f t="shared" si="57"/>
        <v>0</v>
      </c>
      <c r="AM195" s="45">
        <f t="shared" si="57"/>
        <v>0</v>
      </c>
      <c r="AN195" s="45">
        <f t="shared" si="57"/>
        <v>0</v>
      </c>
      <c r="AO195" s="45">
        <f t="shared" si="57"/>
        <v>0</v>
      </c>
      <c r="AP195" s="45">
        <f t="shared" si="57"/>
        <v>0</v>
      </c>
      <c r="AQ195" s="45">
        <f t="shared" si="57"/>
        <v>0</v>
      </c>
      <c r="AR195" s="45">
        <f t="shared" si="57"/>
        <v>0</v>
      </c>
      <c r="AS195" s="45">
        <f t="shared" si="57"/>
        <v>0</v>
      </c>
      <c r="AT195" s="45">
        <f t="shared" si="57"/>
        <v>0</v>
      </c>
      <c r="AU195" s="45">
        <f t="shared" si="57"/>
        <v>0</v>
      </c>
      <c r="AV195" s="45">
        <f t="shared" si="57"/>
        <v>0</v>
      </c>
      <c r="AW195" s="45">
        <f t="shared" si="57"/>
        <v>0</v>
      </c>
      <c r="AX195" s="45">
        <f t="shared" si="57"/>
        <v>0</v>
      </c>
      <c r="AY195" s="45">
        <f t="shared" si="57"/>
        <v>0</v>
      </c>
      <c r="AZ195" s="45">
        <f t="shared" si="57"/>
        <v>0</v>
      </c>
      <c r="BA195" s="45">
        <f t="shared" si="57"/>
        <v>0</v>
      </c>
      <c r="BB195" s="45">
        <f t="shared" si="57"/>
        <v>0</v>
      </c>
      <c r="BC195" s="45">
        <f t="shared" si="57"/>
        <v>0</v>
      </c>
      <c r="BD195" s="45">
        <f t="shared" si="57"/>
        <v>0</v>
      </c>
      <c r="BE195" s="45">
        <f t="shared" si="57"/>
        <v>0</v>
      </c>
      <c r="BF195" s="45">
        <f t="shared" si="57"/>
        <v>0</v>
      </c>
      <c r="BG195" s="45">
        <f t="shared" si="57"/>
        <v>0</v>
      </c>
      <c r="BH195" s="45">
        <f t="shared" si="57"/>
        <v>0</v>
      </c>
      <c r="BI195" s="45">
        <f t="shared" si="57"/>
        <v>0</v>
      </c>
      <c r="BJ195" s="45">
        <f t="shared" si="57"/>
        <v>0</v>
      </c>
      <c r="BK195" s="45">
        <f t="shared" si="57"/>
        <v>0</v>
      </c>
      <c r="BL195" s="45">
        <f t="shared" si="57"/>
        <v>0</v>
      </c>
      <c r="BM195" s="45">
        <f t="shared" si="57"/>
        <v>0</v>
      </c>
      <c r="BN195" s="45">
        <f t="shared" si="57"/>
        <v>0</v>
      </c>
      <c r="BO195" s="45">
        <f t="shared" si="57"/>
        <v>0</v>
      </c>
      <c r="BP195" s="45">
        <f t="shared" si="57"/>
        <v>0</v>
      </c>
      <c r="BQ195" s="45">
        <f t="shared" si="57"/>
        <v>0</v>
      </c>
      <c r="BR195" s="45">
        <f t="shared" si="57"/>
        <v>0</v>
      </c>
      <c r="BS195" s="45">
        <f t="shared" si="57"/>
        <v>0</v>
      </c>
      <c r="BT195" s="45">
        <f t="shared" si="57"/>
        <v>0</v>
      </c>
      <c r="BU195" s="45">
        <f t="shared" ref="BU195:DY195" si="58">SUMPRODUCT($D$196:$D$205,$E$196:$E$205,BU196:BU205)</f>
        <v>0</v>
      </c>
      <c r="BV195" s="45">
        <f t="shared" si="58"/>
        <v>0</v>
      </c>
      <c r="BW195" s="45">
        <f t="shared" si="58"/>
        <v>0</v>
      </c>
      <c r="BX195" s="45">
        <f t="shared" si="58"/>
        <v>0</v>
      </c>
      <c r="BY195" s="45">
        <f t="shared" si="58"/>
        <v>0</v>
      </c>
      <c r="BZ195" s="45">
        <f t="shared" si="58"/>
        <v>0</v>
      </c>
      <c r="CA195" s="45">
        <f t="shared" si="58"/>
        <v>0</v>
      </c>
      <c r="CB195" s="45">
        <f t="shared" si="58"/>
        <v>0</v>
      </c>
      <c r="CC195" s="45">
        <f t="shared" si="58"/>
        <v>0</v>
      </c>
      <c r="CD195" s="45">
        <f t="shared" si="58"/>
        <v>0</v>
      </c>
      <c r="CE195" s="45">
        <f t="shared" si="58"/>
        <v>0</v>
      </c>
      <c r="CF195" s="45">
        <f t="shared" si="58"/>
        <v>0</v>
      </c>
      <c r="CG195" s="45">
        <f t="shared" si="58"/>
        <v>0</v>
      </c>
      <c r="CH195" s="45">
        <f t="shared" si="58"/>
        <v>0</v>
      </c>
      <c r="CI195" s="45">
        <f t="shared" si="58"/>
        <v>0</v>
      </c>
      <c r="CJ195" s="45">
        <f t="shared" si="58"/>
        <v>0</v>
      </c>
      <c r="CK195" s="45">
        <f t="shared" si="58"/>
        <v>0</v>
      </c>
      <c r="CL195" s="45">
        <f t="shared" si="58"/>
        <v>0</v>
      </c>
      <c r="CM195" s="45">
        <f t="shared" si="58"/>
        <v>0</v>
      </c>
      <c r="CN195" s="45">
        <f t="shared" si="58"/>
        <v>0</v>
      </c>
      <c r="CO195" s="45">
        <f t="shared" si="58"/>
        <v>0</v>
      </c>
      <c r="CP195" s="45">
        <f t="shared" si="58"/>
        <v>0</v>
      </c>
      <c r="CQ195" s="45">
        <f t="shared" si="58"/>
        <v>0</v>
      </c>
      <c r="CR195" s="45">
        <f t="shared" si="58"/>
        <v>0</v>
      </c>
      <c r="CS195" s="45">
        <f t="shared" si="58"/>
        <v>0</v>
      </c>
      <c r="CT195" s="45">
        <f t="shared" si="58"/>
        <v>0</v>
      </c>
      <c r="CU195" s="45">
        <f t="shared" si="58"/>
        <v>0</v>
      </c>
      <c r="CV195" s="45">
        <f t="shared" si="58"/>
        <v>0</v>
      </c>
      <c r="CW195" s="45">
        <f t="shared" si="58"/>
        <v>0</v>
      </c>
      <c r="CX195" s="45">
        <f t="shared" si="58"/>
        <v>0</v>
      </c>
      <c r="CY195" s="45">
        <f t="shared" si="58"/>
        <v>0</v>
      </c>
      <c r="CZ195" s="45">
        <f t="shared" si="58"/>
        <v>0</v>
      </c>
      <c r="DA195" s="45">
        <f t="shared" si="58"/>
        <v>0</v>
      </c>
      <c r="DB195" s="45">
        <f t="shared" si="58"/>
        <v>0</v>
      </c>
      <c r="DC195" s="45">
        <f t="shared" si="58"/>
        <v>0</v>
      </c>
      <c r="DD195" s="45">
        <f t="shared" si="58"/>
        <v>0</v>
      </c>
      <c r="DE195" s="45">
        <f t="shared" si="58"/>
        <v>0</v>
      </c>
      <c r="DF195" s="45">
        <f t="shared" si="58"/>
        <v>0</v>
      </c>
      <c r="DG195" s="45">
        <f t="shared" si="58"/>
        <v>0</v>
      </c>
      <c r="DH195" s="45">
        <f t="shared" si="58"/>
        <v>0</v>
      </c>
      <c r="DI195" s="45">
        <f t="shared" si="58"/>
        <v>0</v>
      </c>
      <c r="DJ195" s="45">
        <f t="shared" si="58"/>
        <v>0</v>
      </c>
      <c r="DK195" s="45">
        <f t="shared" si="58"/>
        <v>0</v>
      </c>
      <c r="DL195" s="45">
        <f t="shared" si="58"/>
        <v>0</v>
      </c>
      <c r="DM195" s="45">
        <f t="shared" si="58"/>
        <v>0</v>
      </c>
      <c r="DN195" s="45">
        <f t="shared" si="58"/>
        <v>0</v>
      </c>
      <c r="DO195" s="45">
        <f t="shared" si="58"/>
        <v>0</v>
      </c>
      <c r="DP195" s="45">
        <f t="shared" si="58"/>
        <v>0</v>
      </c>
      <c r="DQ195" s="45">
        <f t="shared" si="58"/>
        <v>0</v>
      </c>
      <c r="DR195" s="45">
        <f t="shared" si="58"/>
        <v>0</v>
      </c>
      <c r="DS195" s="45">
        <f t="shared" si="58"/>
        <v>0</v>
      </c>
      <c r="DT195" s="45">
        <f t="shared" si="58"/>
        <v>0</v>
      </c>
      <c r="DU195" s="45">
        <f>SUMPRODUCT($D$196:$D$205,$E$196:$E$205,DU196:DU205)</f>
        <v>0</v>
      </c>
      <c r="DV195" s="45">
        <f t="shared" si="58"/>
        <v>0</v>
      </c>
      <c r="DW195" s="45">
        <f t="shared" si="58"/>
        <v>0</v>
      </c>
      <c r="DX195" s="45">
        <f t="shared" si="58"/>
        <v>0</v>
      </c>
      <c r="DY195" s="45">
        <f t="shared" si="58"/>
        <v>0</v>
      </c>
      <c r="DZ195" s="218"/>
      <c r="EA195" s="231"/>
      <c r="EB195" s="231"/>
      <c r="EC195" s="231"/>
      <c r="ED195" s="231"/>
      <c r="EE195" s="231"/>
      <c r="EF195" s="231"/>
      <c r="EG195" s="231"/>
      <c r="EH195" s="231"/>
      <c r="EI195" s="231"/>
      <c r="EJ195" s="231"/>
      <c r="EK195" s="231"/>
      <c r="EL195" s="231"/>
      <c r="EM195" s="231"/>
      <c r="EN195" s="231"/>
      <c r="EO195" s="231"/>
      <c r="EP195" s="231"/>
      <c r="EQ195" s="231"/>
    </row>
    <row r="196" spans="1:147" ht="22.9" customHeight="1" outlineLevel="2" x14ac:dyDescent="0.2">
      <c r="A196" s="146" t="s">
        <v>675</v>
      </c>
      <c r="B196" s="53" t="s">
        <v>86</v>
      </c>
      <c r="C196" s="50" t="s">
        <v>133</v>
      </c>
      <c r="D196" s="165">
        <v>1</v>
      </c>
      <c r="E196" s="158">
        <v>1</v>
      </c>
      <c r="F196" s="52">
        <f>SUM(H196:DY196)*E196*Table1[[#This Row],[Cycles]]</f>
        <v>0</v>
      </c>
      <c r="G196" s="46">
        <f>SUMPRODUCT($H$2:$DY$2,$H196:$DY196)*E196*D196</f>
        <v>0</v>
      </c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7"/>
      <c r="BA196" s="47"/>
      <c r="BB196" s="47"/>
      <c r="BC196" s="47"/>
      <c r="BD196" s="47"/>
      <c r="BE196" s="47"/>
      <c r="BF196" s="47"/>
      <c r="BG196" s="47"/>
      <c r="BH196" s="47"/>
      <c r="BI196" s="47"/>
      <c r="BJ196" s="47"/>
      <c r="BK196" s="47"/>
      <c r="BL196" s="47"/>
      <c r="BM196" s="47"/>
      <c r="BN196" s="47"/>
      <c r="BO196" s="47"/>
      <c r="BP196" s="47"/>
      <c r="BQ196" s="47"/>
      <c r="BR196" s="47"/>
      <c r="BS196" s="47"/>
      <c r="BT196" s="47"/>
      <c r="BU196" s="47"/>
      <c r="BV196" s="47"/>
      <c r="BW196" s="47"/>
      <c r="BX196" s="47"/>
      <c r="BY196" s="47"/>
      <c r="BZ196" s="47"/>
      <c r="CA196" s="47"/>
      <c r="CB196" s="47"/>
      <c r="CC196" s="47"/>
      <c r="CD196" s="47"/>
      <c r="CE196" s="47"/>
      <c r="CF196" s="47"/>
      <c r="CG196" s="47"/>
      <c r="CH196" s="47"/>
      <c r="CI196" s="47"/>
      <c r="CJ196" s="47"/>
      <c r="CK196" s="47"/>
      <c r="CL196" s="47"/>
      <c r="CM196" s="47"/>
      <c r="CN196" s="47"/>
      <c r="CO196" s="47"/>
      <c r="CP196" s="47"/>
      <c r="CQ196" s="47"/>
      <c r="CR196" s="47"/>
      <c r="CS196" s="47"/>
      <c r="CT196" s="47"/>
      <c r="CU196" s="47"/>
      <c r="CV196" s="47"/>
      <c r="CW196" s="47"/>
      <c r="CX196" s="47"/>
      <c r="CY196" s="47"/>
      <c r="CZ196" s="47"/>
      <c r="DA196" s="47"/>
      <c r="DB196" s="47"/>
      <c r="DC196" s="47"/>
      <c r="DD196" s="47"/>
      <c r="DE196" s="47"/>
      <c r="DF196" s="47"/>
      <c r="DG196" s="47"/>
      <c r="DH196" s="47"/>
      <c r="DI196" s="47"/>
      <c r="DJ196" s="47"/>
      <c r="DK196" s="47"/>
      <c r="DL196" s="47"/>
      <c r="DM196" s="47"/>
      <c r="DN196" s="47"/>
      <c r="DO196" s="47"/>
      <c r="DP196" s="47"/>
      <c r="DQ196" s="47"/>
      <c r="DR196" s="47"/>
      <c r="DS196" s="47"/>
      <c r="DT196" s="47"/>
      <c r="DU196" s="47"/>
      <c r="DV196" s="47"/>
      <c r="DW196" s="47"/>
      <c r="DX196" s="47"/>
      <c r="DY196" s="47"/>
      <c r="DZ196" s="219"/>
      <c r="EA196" s="231"/>
      <c r="EB196" s="231"/>
      <c r="EC196" s="231"/>
      <c r="ED196" s="231"/>
      <c r="EE196" s="231"/>
      <c r="EF196" s="231"/>
      <c r="EG196" s="231"/>
      <c r="EH196" s="231"/>
      <c r="EI196" s="231"/>
      <c r="EJ196" s="231"/>
      <c r="EK196" s="231"/>
      <c r="EL196" s="231"/>
      <c r="EM196" s="231"/>
      <c r="EN196" s="231"/>
      <c r="EO196" s="231"/>
      <c r="EP196" s="231"/>
      <c r="EQ196" s="231"/>
    </row>
    <row r="197" spans="1:147" ht="22.9" customHeight="1" outlineLevel="2" x14ac:dyDescent="0.2">
      <c r="A197" s="146" t="s">
        <v>676</v>
      </c>
      <c r="B197" s="53" t="s">
        <v>87</v>
      </c>
      <c r="C197" s="50" t="s">
        <v>133</v>
      </c>
      <c r="D197" s="165">
        <v>1</v>
      </c>
      <c r="E197" s="158">
        <v>1</v>
      </c>
      <c r="F197" s="52">
        <f>SUM(H197:DY197)*E197*Table1[[#This Row],[Cycles]]</f>
        <v>0</v>
      </c>
      <c r="G197" s="46">
        <f t="shared" ref="G197:G204" si="59">SUMPRODUCT($H$2:$DY$2,$H197:$DY197)*E197*D197</f>
        <v>0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7"/>
      <c r="BA197" s="47"/>
      <c r="BB197" s="47"/>
      <c r="BC197" s="47"/>
      <c r="BD197" s="47"/>
      <c r="BE197" s="47"/>
      <c r="BF197" s="47"/>
      <c r="BG197" s="47"/>
      <c r="BH197" s="47"/>
      <c r="BI197" s="47"/>
      <c r="BJ197" s="47"/>
      <c r="BK197" s="47"/>
      <c r="BL197" s="47"/>
      <c r="BM197" s="47"/>
      <c r="BN197" s="47"/>
      <c r="BO197" s="47"/>
      <c r="BP197" s="47"/>
      <c r="BQ197" s="47"/>
      <c r="BR197" s="47"/>
      <c r="BS197" s="47"/>
      <c r="BT197" s="47"/>
      <c r="BU197" s="47"/>
      <c r="BV197" s="47"/>
      <c r="BW197" s="47"/>
      <c r="BX197" s="47"/>
      <c r="BY197" s="47"/>
      <c r="BZ197" s="47"/>
      <c r="CA197" s="47"/>
      <c r="CB197" s="47"/>
      <c r="CC197" s="47"/>
      <c r="CD197" s="47"/>
      <c r="CE197" s="47"/>
      <c r="CF197" s="47"/>
      <c r="CG197" s="47"/>
      <c r="CH197" s="47"/>
      <c r="CI197" s="47"/>
      <c r="CJ197" s="47"/>
      <c r="CK197" s="47"/>
      <c r="CL197" s="47"/>
      <c r="CM197" s="47"/>
      <c r="CN197" s="47"/>
      <c r="CO197" s="47"/>
      <c r="CP197" s="47"/>
      <c r="CQ197" s="47"/>
      <c r="CR197" s="47"/>
      <c r="CS197" s="47"/>
      <c r="CT197" s="47"/>
      <c r="CU197" s="47"/>
      <c r="CV197" s="47"/>
      <c r="CW197" s="47"/>
      <c r="CX197" s="47"/>
      <c r="CY197" s="47"/>
      <c r="CZ197" s="47"/>
      <c r="DA197" s="47"/>
      <c r="DB197" s="47"/>
      <c r="DC197" s="47"/>
      <c r="DD197" s="47"/>
      <c r="DE197" s="47"/>
      <c r="DF197" s="47"/>
      <c r="DG197" s="47"/>
      <c r="DH197" s="47"/>
      <c r="DI197" s="47"/>
      <c r="DJ197" s="47"/>
      <c r="DK197" s="47"/>
      <c r="DL197" s="47"/>
      <c r="DM197" s="47"/>
      <c r="DN197" s="47"/>
      <c r="DO197" s="47"/>
      <c r="DP197" s="47"/>
      <c r="DQ197" s="47"/>
      <c r="DR197" s="47"/>
      <c r="DS197" s="47"/>
      <c r="DT197" s="47"/>
      <c r="DU197" s="47"/>
      <c r="DV197" s="47"/>
      <c r="DW197" s="47"/>
      <c r="DX197" s="47"/>
      <c r="DY197" s="47"/>
      <c r="DZ197" s="219"/>
      <c r="EA197" s="231"/>
      <c r="EB197" s="231"/>
      <c r="EC197" s="231"/>
      <c r="ED197" s="231"/>
      <c r="EE197" s="231"/>
      <c r="EF197" s="231"/>
      <c r="EG197" s="231"/>
      <c r="EH197" s="231"/>
      <c r="EI197" s="231"/>
      <c r="EJ197" s="231"/>
      <c r="EK197" s="231"/>
      <c r="EL197" s="231"/>
      <c r="EM197" s="231"/>
      <c r="EN197" s="231"/>
      <c r="EO197" s="231"/>
      <c r="EP197" s="231"/>
      <c r="EQ197" s="231"/>
    </row>
    <row r="198" spans="1:147" ht="22.9" customHeight="1" outlineLevel="2" x14ac:dyDescent="0.2">
      <c r="A198" s="146" t="s">
        <v>677</v>
      </c>
      <c r="B198" s="53" t="s">
        <v>88</v>
      </c>
      <c r="C198" s="50" t="s">
        <v>133</v>
      </c>
      <c r="D198" s="165">
        <v>1</v>
      </c>
      <c r="E198" s="158">
        <v>1</v>
      </c>
      <c r="F198" s="52">
        <f>SUM(H198:DY198)*E198*Table1[[#This Row],[Cycles]]</f>
        <v>0</v>
      </c>
      <c r="G198" s="46">
        <f t="shared" si="59"/>
        <v>0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7"/>
      <c r="BA198" s="47"/>
      <c r="BB198" s="47"/>
      <c r="BC198" s="47"/>
      <c r="BD198" s="47"/>
      <c r="BE198" s="47"/>
      <c r="BF198" s="47"/>
      <c r="BG198" s="47"/>
      <c r="BH198" s="47"/>
      <c r="BI198" s="47"/>
      <c r="BJ198" s="47"/>
      <c r="BK198" s="47"/>
      <c r="BL198" s="47"/>
      <c r="BM198" s="47"/>
      <c r="BN198" s="47"/>
      <c r="BO198" s="47"/>
      <c r="BP198" s="47"/>
      <c r="BQ198" s="47"/>
      <c r="BR198" s="47"/>
      <c r="BS198" s="47"/>
      <c r="BT198" s="47"/>
      <c r="BU198" s="47"/>
      <c r="BV198" s="47"/>
      <c r="BW198" s="47"/>
      <c r="BX198" s="47"/>
      <c r="BY198" s="47"/>
      <c r="BZ198" s="47"/>
      <c r="CA198" s="47"/>
      <c r="CB198" s="47"/>
      <c r="CC198" s="47"/>
      <c r="CD198" s="47"/>
      <c r="CE198" s="47"/>
      <c r="CF198" s="47"/>
      <c r="CG198" s="47"/>
      <c r="CH198" s="47"/>
      <c r="CI198" s="47"/>
      <c r="CJ198" s="47"/>
      <c r="CK198" s="47"/>
      <c r="CL198" s="47"/>
      <c r="CM198" s="47"/>
      <c r="CN198" s="47"/>
      <c r="CO198" s="47"/>
      <c r="CP198" s="47"/>
      <c r="CQ198" s="47"/>
      <c r="CR198" s="47"/>
      <c r="CS198" s="47"/>
      <c r="CT198" s="47"/>
      <c r="CU198" s="47"/>
      <c r="CV198" s="47"/>
      <c r="CW198" s="47"/>
      <c r="CX198" s="47"/>
      <c r="CY198" s="47"/>
      <c r="CZ198" s="47"/>
      <c r="DA198" s="47"/>
      <c r="DB198" s="47"/>
      <c r="DC198" s="47"/>
      <c r="DD198" s="47"/>
      <c r="DE198" s="47"/>
      <c r="DF198" s="47"/>
      <c r="DG198" s="47"/>
      <c r="DH198" s="47"/>
      <c r="DI198" s="47"/>
      <c r="DJ198" s="47"/>
      <c r="DK198" s="47"/>
      <c r="DL198" s="47"/>
      <c r="DM198" s="47"/>
      <c r="DN198" s="47"/>
      <c r="DO198" s="47"/>
      <c r="DP198" s="47"/>
      <c r="DQ198" s="47"/>
      <c r="DR198" s="47"/>
      <c r="DS198" s="47"/>
      <c r="DT198" s="47"/>
      <c r="DU198" s="47"/>
      <c r="DV198" s="47"/>
      <c r="DW198" s="47"/>
      <c r="DX198" s="47"/>
      <c r="DY198" s="47"/>
      <c r="DZ198" s="219"/>
      <c r="EA198" s="231"/>
      <c r="EB198" s="231"/>
      <c r="EC198" s="231"/>
      <c r="ED198" s="231"/>
      <c r="EE198" s="231"/>
      <c r="EF198" s="231"/>
      <c r="EG198" s="231"/>
      <c r="EH198" s="231"/>
      <c r="EI198" s="231"/>
      <c r="EJ198" s="231"/>
      <c r="EK198" s="231"/>
      <c r="EL198" s="231"/>
      <c r="EM198" s="231"/>
      <c r="EN198" s="231"/>
      <c r="EO198" s="231"/>
      <c r="EP198" s="231"/>
      <c r="EQ198" s="231"/>
    </row>
    <row r="199" spans="1:147" ht="22.9" customHeight="1" outlineLevel="2" x14ac:dyDescent="0.2">
      <c r="A199" s="146" t="s">
        <v>678</v>
      </c>
      <c r="B199" s="53" t="s">
        <v>217</v>
      </c>
      <c r="C199" s="50" t="s">
        <v>133</v>
      </c>
      <c r="D199" s="165">
        <v>1</v>
      </c>
      <c r="E199" s="158">
        <v>1</v>
      </c>
      <c r="F199" s="52">
        <f>SUM(H199:DY199)*E199*Table1[[#This Row],[Cycles]]</f>
        <v>0</v>
      </c>
      <c r="G199" s="46">
        <f>SUMPRODUCT($H$2:$DY$2,$H199:$DY199)*E199*D199</f>
        <v>0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7"/>
      <c r="BA199" s="47"/>
      <c r="BB199" s="47"/>
      <c r="BC199" s="47"/>
      <c r="BD199" s="47"/>
      <c r="BE199" s="47"/>
      <c r="BF199" s="47"/>
      <c r="BG199" s="47"/>
      <c r="BH199" s="47"/>
      <c r="BI199" s="47"/>
      <c r="BJ199" s="47"/>
      <c r="BK199" s="47"/>
      <c r="BL199" s="47"/>
      <c r="BM199" s="47"/>
      <c r="BN199" s="47"/>
      <c r="BO199" s="47"/>
      <c r="BP199" s="47"/>
      <c r="BQ199" s="47"/>
      <c r="BR199" s="47"/>
      <c r="BS199" s="47"/>
      <c r="BT199" s="47"/>
      <c r="BU199" s="47"/>
      <c r="BV199" s="47"/>
      <c r="BW199" s="47"/>
      <c r="BX199" s="47"/>
      <c r="BY199" s="47"/>
      <c r="BZ199" s="47"/>
      <c r="CA199" s="47"/>
      <c r="CB199" s="47"/>
      <c r="CC199" s="47"/>
      <c r="CD199" s="47"/>
      <c r="CE199" s="47"/>
      <c r="CF199" s="47"/>
      <c r="CG199" s="47"/>
      <c r="CH199" s="47"/>
      <c r="CI199" s="47"/>
      <c r="CJ199" s="47"/>
      <c r="CK199" s="47"/>
      <c r="CL199" s="47"/>
      <c r="CM199" s="47"/>
      <c r="CN199" s="47"/>
      <c r="CO199" s="47"/>
      <c r="CP199" s="47"/>
      <c r="CQ199" s="47"/>
      <c r="CR199" s="47"/>
      <c r="CS199" s="47"/>
      <c r="CT199" s="47"/>
      <c r="CU199" s="47"/>
      <c r="CV199" s="47"/>
      <c r="CW199" s="47"/>
      <c r="CX199" s="47"/>
      <c r="CY199" s="47"/>
      <c r="CZ199" s="47"/>
      <c r="DA199" s="47"/>
      <c r="DB199" s="47"/>
      <c r="DC199" s="47"/>
      <c r="DD199" s="47"/>
      <c r="DE199" s="47"/>
      <c r="DF199" s="47"/>
      <c r="DG199" s="47"/>
      <c r="DH199" s="47"/>
      <c r="DI199" s="47"/>
      <c r="DJ199" s="47"/>
      <c r="DK199" s="47"/>
      <c r="DL199" s="47"/>
      <c r="DM199" s="47"/>
      <c r="DN199" s="47"/>
      <c r="DO199" s="47"/>
      <c r="DP199" s="47"/>
      <c r="DQ199" s="47"/>
      <c r="DR199" s="47"/>
      <c r="DS199" s="47"/>
      <c r="DT199" s="47"/>
      <c r="DU199" s="47"/>
      <c r="DV199" s="47"/>
      <c r="DW199" s="47"/>
      <c r="DX199" s="47"/>
      <c r="DY199" s="47"/>
      <c r="DZ199" s="219"/>
      <c r="EA199" s="231"/>
      <c r="EB199" s="231"/>
      <c r="EC199" s="231"/>
      <c r="ED199" s="231"/>
      <c r="EE199" s="231"/>
      <c r="EF199" s="231"/>
      <c r="EG199" s="231"/>
      <c r="EH199" s="231"/>
      <c r="EI199" s="231"/>
      <c r="EJ199" s="231"/>
      <c r="EK199" s="231"/>
      <c r="EL199" s="231"/>
      <c r="EM199" s="231"/>
      <c r="EN199" s="231"/>
      <c r="EO199" s="231"/>
      <c r="EP199" s="231"/>
      <c r="EQ199" s="231"/>
    </row>
    <row r="200" spans="1:147" ht="22.9" customHeight="1" outlineLevel="2" x14ac:dyDescent="0.2">
      <c r="A200" s="146" t="s">
        <v>679</v>
      </c>
      <c r="B200" s="53" t="s">
        <v>89</v>
      </c>
      <c r="C200" s="50" t="s">
        <v>133</v>
      </c>
      <c r="D200" s="165">
        <v>1</v>
      </c>
      <c r="E200" s="158">
        <v>1</v>
      </c>
      <c r="F200" s="52">
        <f>SUM(H200:DY200)*E200*Table1[[#This Row],[Cycles]]</f>
        <v>0</v>
      </c>
      <c r="G200" s="46">
        <f t="shared" si="59"/>
        <v>0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7"/>
      <c r="BA200" s="47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7"/>
      <c r="BP200" s="47"/>
      <c r="BQ200" s="47"/>
      <c r="BR200" s="47"/>
      <c r="BS200" s="47"/>
      <c r="BT200" s="47"/>
      <c r="BU200" s="47"/>
      <c r="BV200" s="47"/>
      <c r="BW200" s="47"/>
      <c r="BX200" s="47"/>
      <c r="BY200" s="47"/>
      <c r="BZ200" s="47"/>
      <c r="CA200" s="47"/>
      <c r="CB200" s="47"/>
      <c r="CC200" s="47"/>
      <c r="CD200" s="47"/>
      <c r="CE200" s="47"/>
      <c r="CF200" s="47"/>
      <c r="CG200" s="47"/>
      <c r="CH200" s="47"/>
      <c r="CI200" s="47"/>
      <c r="CJ200" s="47"/>
      <c r="CK200" s="47"/>
      <c r="CL200" s="47"/>
      <c r="CM200" s="47"/>
      <c r="CN200" s="47"/>
      <c r="CO200" s="47"/>
      <c r="CP200" s="47"/>
      <c r="CQ200" s="47"/>
      <c r="CR200" s="47"/>
      <c r="CS200" s="47"/>
      <c r="CT200" s="47"/>
      <c r="CU200" s="47"/>
      <c r="CV200" s="47"/>
      <c r="CW200" s="47"/>
      <c r="CX200" s="47"/>
      <c r="CY200" s="47"/>
      <c r="CZ200" s="47"/>
      <c r="DA200" s="47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219"/>
      <c r="EA200" s="231"/>
      <c r="EB200" s="231"/>
      <c r="EC200" s="231"/>
      <c r="ED200" s="231"/>
      <c r="EE200" s="231"/>
      <c r="EF200" s="231"/>
      <c r="EG200" s="231"/>
      <c r="EH200" s="231"/>
      <c r="EI200" s="231"/>
      <c r="EJ200" s="231"/>
      <c r="EK200" s="231"/>
      <c r="EL200" s="231"/>
      <c r="EM200" s="231"/>
      <c r="EN200" s="231"/>
      <c r="EO200" s="231"/>
      <c r="EP200" s="231"/>
      <c r="EQ200" s="231"/>
    </row>
    <row r="201" spans="1:147" ht="22.9" customHeight="1" outlineLevel="2" x14ac:dyDescent="0.2">
      <c r="A201" s="146" t="s">
        <v>680</v>
      </c>
      <c r="B201" s="53" t="s">
        <v>218</v>
      </c>
      <c r="C201" s="50" t="s">
        <v>133</v>
      </c>
      <c r="D201" s="165">
        <v>1</v>
      </c>
      <c r="E201" s="158">
        <v>1</v>
      </c>
      <c r="F201" s="52">
        <f>SUM(H201:DY201)*E201*Table1[[#This Row],[Cycles]]</f>
        <v>0</v>
      </c>
      <c r="G201" s="46">
        <f t="shared" si="59"/>
        <v>0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7"/>
      <c r="BA201" s="47"/>
      <c r="BB201" s="47"/>
      <c r="BC201" s="47"/>
      <c r="BD201" s="47"/>
      <c r="BE201" s="47"/>
      <c r="BF201" s="47"/>
      <c r="BG201" s="47"/>
      <c r="BH201" s="47"/>
      <c r="BI201" s="47"/>
      <c r="BJ201" s="47"/>
      <c r="BK201" s="47"/>
      <c r="BL201" s="47"/>
      <c r="BM201" s="47"/>
      <c r="BN201" s="47"/>
      <c r="BO201" s="47"/>
      <c r="BP201" s="47"/>
      <c r="BQ201" s="47"/>
      <c r="BR201" s="47"/>
      <c r="BS201" s="47"/>
      <c r="BT201" s="47"/>
      <c r="BU201" s="47"/>
      <c r="BV201" s="47"/>
      <c r="BW201" s="47"/>
      <c r="BX201" s="47"/>
      <c r="BY201" s="47"/>
      <c r="BZ201" s="47"/>
      <c r="CA201" s="47"/>
      <c r="CB201" s="47"/>
      <c r="CC201" s="47"/>
      <c r="CD201" s="47"/>
      <c r="CE201" s="47"/>
      <c r="CF201" s="47"/>
      <c r="CG201" s="47"/>
      <c r="CH201" s="47"/>
      <c r="CI201" s="47"/>
      <c r="CJ201" s="47"/>
      <c r="CK201" s="47"/>
      <c r="CL201" s="47"/>
      <c r="CM201" s="47"/>
      <c r="CN201" s="47"/>
      <c r="CO201" s="47"/>
      <c r="CP201" s="47"/>
      <c r="CQ201" s="47"/>
      <c r="CR201" s="47"/>
      <c r="CS201" s="47"/>
      <c r="CT201" s="47"/>
      <c r="CU201" s="47"/>
      <c r="CV201" s="47"/>
      <c r="CW201" s="47"/>
      <c r="CX201" s="47"/>
      <c r="CY201" s="47"/>
      <c r="CZ201" s="47"/>
      <c r="DA201" s="47"/>
      <c r="DB201" s="47"/>
      <c r="DC201" s="47"/>
      <c r="DD201" s="47"/>
      <c r="DE201" s="47"/>
      <c r="DF201" s="47"/>
      <c r="DG201" s="47"/>
      <c r="DH201" s="47"/>
      <c r="DI201" s="47"/>
      <c r="DJ201" s="47"/>
      <c r="DK201" s="47"/>
      <c r="DL201" s="47"/>
      <c r="DM201" s="47"/>
      <c r="DN201" s="47"/>
      <c r="DO201" s="47"/>
      <c r="DP201" s="47"/>
      <c r="DQ201" s="47"/>
      <c r="DR201" s="47"/>
      <c r="DS201" s="47"/>
      <c r="DT201" s="47"/>
      <c r="DU201" s="47"/>
      <c r="DV201" s="47"/>
      <c r="DW201" s="47"/>
      <c r="DX201" s="47"/>
      <c r="DY201" s="47"/>
      <c r="DZ201" s="219"/>
      <c r="EA201" s="231"/>
      <c r="EB201" s="231"/>
      <c r="EC201" s="231"/>
      <c r="ED201" s="231"/>
      <c r="EE201" s="231"/>
      <c r="EF201" s="231"/>
      <c r="EG201" s="231"/>
      <c r="EH201" s="231"/>
      <c r="EI201" s="231"/>
      <c r="EJ201" s="231"/>
      <c r="EK201" s="231"/>
      <c r="EL201" s="231"/>
      <c r="EM201" s="231"/>
      <c r="EN201" s="231"/>
      <c r="EO201" s="231"/>
      <c r="EP201" s="231"/>
      <c r="EQ201" s="231"/>
    </row>
    <row r="202" spans="1:147" ht="22.9" customHeight="1" outlineLevel="2" x14ac:dyDescent="0.2">
      <c r="A202" s="146" t="s">
        <v>681</v>
      </c>
      <c r="B202" s="53" t="s">
        <v>90</v>
      </c>
      <c r="C202" s="50" t="s">
        <v>133</v>
      </c>
      <c r="D202" s="165">
        <v>1</v>
      </c>
      <c r="E202" s="158">
        <v>1</v>
      </c>
      <c r="F202" s="52">
        <f>SUM(H202:DY202)*E202*Table1[[#This Row],[Cycles]]</f>
        <v>0</v>
      </c>
      <c r="G202" s="46">
        <f t="shared" si="59"/>
        <v>0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7"/>
      <c r="BA202" s="47"/>
      <c r="BB202" s="47"/>
      <c r="BC202" s="47"/>
      <c r="BD202" s="47"/>
      <c r="BE202" s="47"/>
      <c r="BF202" s="47"/>
      <c r="BG202" s="47"/>
      <c r="BH202" s="47"/>
      <c r="BI202" s="47"/>
      <c r="BJ202" s="47"/>
      <c r="BK202" s="47"/>
      <c r="BL202" s="47"/>
      <c r="BM202" s="47"/>
      <c r="BN202" s="47"/>
      <c r="BO202" s="47"/>
      <c r="BP202" s="47"/>
      <c r="BQ202" s="47"/>
      <c r="BR202" s="47"/>
      <c r="BS202" s="47"/>
      <c r="BT202" s="47"/>
      <c r="BU202" s="47"/>
      <c r="BV202" s="47"/>
      <c r="BW202" s="47"/>
      <c r="BX202" s="47"/>
      <c r="BY202" s="47"/>
      <c r="BZ202" s="47"/>
      <c r="CA202" s="47"/>
      <c r="CB202" s="47"/>
      <c r="CC202" s="47"/>
      <c r="CD202" s="47"/>
      <c r="CE202" s="47"/>
      <c r="CF202" s="47"/>
      <c r="CG202" s="47"/>
      <c r="CH202" s="47"/>
      <c r="CI202" s="47"/>
      <c r="CJ202" s="47"/>
      <c r="CK202" s="47"/>
      <c r="CL202" s="47"/>
      <c r="CM202" s="47"/>
      <c r="CN202" s="47"/>
      <c r="CO202" s="47"/>
      <c r="CP202" s="47"/>
      <c r="CQ202" s="47"/>
      <c r="CR202" s="47"/>
      <c r="CS202" s="47"/>
      <c r="CT202" s="47"/>
      <c r="CU202" s="47"/>
      <c r="CV202" s="47"/>
      <c r="CW202" s="47"/>
      <c r="CX202" s="47"/>
      <c r="CY202" s="47"/>
      <c r="CZ202" s="47"/>
      <c r="DA202" s="47"/>
      <c r="DB202" s="47"/>
      <c r="DC202" s="47"/>
      <c r="DD202" s="47"/>
      <c r="DE202" s="47"/>
      <c r="DF202" s="47"/>
      <c r="DG202" s="47"/>
      <c r="DH202" s="47"/>
      <c r="DI202" s="47"/>
      <c r="DJ202" s="47"/>
      <c r="DK202" s="47"/>
      <c r="DL202" s="47"/>
      <c r="DM202" s="47"/>
      <c r="DN202" s="47"/>
      <c r="DO202" s="47"/>
      <c r="DP202" s="47"/>
      <c r="DQ202" s="47"/>
      <c r="DR202" s="47"/>
      <c r="DS202" s="47"/>
      <c r="DT202" s="47"/>
      <c r="DU202" s="47"/>
      <c r="DV202" s="47"/>
      <c r="DW202" s="47"/>
      <c r="DX202" s="47"/>
      <c r="DY202" s="47"/>
      <c r="DZ202" s="219"/>
      <c r="EA202" s="231"/>
      <c r="EB202" s="231"/>
      <c r="EC202" s="231"/>
      <c r="ED202" s="231"/>
      <c r="EE202" s="231"/>
      <c r="EF202" s="231"/>
      <c r="EG202" s="231"/>
      <c r="EH202" s="231"/>
      <c r="EI202" s="231"/>
      <c r="EJ202" s="231"/>
      <c r="EK202" s="231"/>
      <c r="EL202" s="231"/>
      <c r="EM202" s="231"/>
      <c r="EN202" s="231"/>
      <c r="EO202" s="231"/>
      <c r="EP202" s="231"/>
      <c r="EQ202" s="231"/>
    </row>
    <row r="203" spans="1:147" ht="22.9" customHeight="1" outlineLevel="2" x14ac:dyDescent="0.2">
      <c r="A203" s="146" t="s">
        <v>682</v>
      </c>
      <c r="B203" s="53" t="s">
        <v>277</v>
      </c>
      <c r="C203" s="50" t="s">
        <v>133</v>
      </c>
      <c r="D203" s="165">
        <v>1</v>
      </c>
      <c r="E203" s="158">
        <v>1</v>
      </c>
      <c r="F203" s="52">
        <f>SUM(H203:DY203)*E203*Table1[[#This Row],[Cycles]]</f>
        <v>0</v>
      </c>
      <c r="G203" s="46">
        <f>SUMPRODUCT($H$2:$DY$2,$H203:$DY203)*E203*D203</f>
        <v>0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7"/>
      <c r="BA203" s="47"/>
      <c r="BB203" s="47"/>
      <c r="BC203" s="47"/>
      <c r="BD203" s="47"/>
      <c r="BE203" s="47"/>
      <c r="BF203" s="47"/>
      <c r="BG203" s="47"/>
      <c r="BH203" s="47"/>
      <c r="BI203" s="47"/>
      <c r="BJ203" s="47"/>
      <c r="BK203" s="47"/>
      <c r="BL203" s="47"/>
      <c r="BM203" s="47"/>
      <c r="BN203" s="47"/>
      <c r="BO203" s="47"/>
      <c r="BP203" s="47"/>
      <c r="BQ203" s="47"/>
      <c r="BR203" s="47"/>
      <c r="BS203" s="47"/>
      <c r="BT203" s="47"/>
      <c r="BU203" s="47"/>
      <c r="BV203" s="47"/>
      <c r="BW203" s="47"/>
      <c r="BX203" s="47"/>
      <c r="BY203" s="47"/>
      <c r="BZ203" s="47"/>
      <c r="CA203" s="47"/>
      <c r="CB203" s="47"/>
      <c r="CC203" s="47"/>
      <c r="CD203" s="47"/>
      <c r="CE203" s="47"/>
      <c r="CF203" s="47"/>
      <c r="CG203" s="47"/>
      <c r="CH203" s="47"/>
      <c r="CI203" s="47"/>
      <c r="CJ203" s="47"/>
      <c r="CK203" s="47"/>
      <c r="CL203" s="47"/>
      <c r="CM203" s="47"/>
      <c r="CN203" s="47"/>
      <c r="CO203" s="47"/>
      <c r="CP203" s="47"/>
      <c r="CQ203" s="47"/>
      <c r="CR203" s="47"/>
      <c r="CS203" s="47"/>
      <c r="CT203" s="47"/>
      <c r="CU203" s="47"/>
      <c r="CV203" s="47"/>
      <c r="CW203" s="47"/>
      <c r="CX203" s="47"/>
      <c r="CY203" s="47"/>
      <c r="CZ203" s="47"/>
      <c r="DA203" s="47"/>
      <c r="DB203" s="47"/>
      <c r="DC203" s="47"/>
      <c r="DD203" s="47"/>
      <c r="DE203" s="47"/>
      <c r="DF203" s="47"/>
      <c r="DG203" s="47"/>
      <c r="DH203" s="47"/>
      <c r="DI203" s="47"/>
      <c r="DJ203" s="47"/>
      <c r="DK203" s="47"/>
      <c r="DL203" s="47"/>
      <c r="DM203" s="47"/>
      <c r="DN203" s="47"/>
      <c r="DO203" s="47"/>
      <c r="DP203" s="47"/>
      <c r="DQ203" s="47"/>
      <c r="DR203" s="47"/>
      <c r="DS203" s="47"/>
      <c r="DT203" s="47"/>
      <c r="DU203" s="47"/>
      <c r="DV203" s="47"/>
      <c r="DW203" s="47"/>
      <c r="DX203" s="47"/>
      <c r="DY203" s="47"/>
      <c r="DZ203" s="219"/>
      <c r="EA203" s="231"/>
      <c r="EB203" s="231"/>
      <c r="EC203" s="231"/>
      <c r="ED203" s="231"/>
      <c r="EE203" s="231"/>
      <c r="EF203" s="231"/>
      <c r="EG203" s="231"/>
      <c r="EH203" s="231"/>
      <c r="EI203" s="231"/>
      <c r="EJ203" s="231"/>
      <c r="EK203" s="231"/>
      <c r="EL203" s="231"/>
      <c r="EM203" s="231"/>
      <c r="EN203" s="231"/>
      <c r="EO203" s="231"/>
      <c r="EP203" s="231"/>
      <c r="EQ203" s="231"/>
    </row>
    <row r="204" spans="1:147" ht="22.9" customHeight="1" outlineLevel="2" x14ac:dyDescent="0.2">
      <c r="A204" s="146" t="s">
        <v>683</v>
      </c>
      <c r="B204" s="53" t="s">
        <v>146</v>
      </c>
      <c r="C204" s="50" t="s">
        <v>133</v>
      </c>
      <c r="D204" s="165">
        <v>1</v>
      </c>
      <c r="E204" s="158">
        <v>1</v>
      </c>
      <c r="F204" s="52">
        <f>SUM(H204:DY204)*E204*Table1[[#This Row],[Cycles]]</f>
        <v>0</v>
      </c>
      <c r="G204" s="46">
        <f t="shared" si="59"/>
        <v>0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7"/>
      <c r="BA204" s="47"/>
      <c r="BB204" s="47"/>
      <c r="BC204" s="47"/>
      <c r="BD204" s="47"/>
      <c r="BE204" s="47"/>
      <c r="BF204" s="47"/>
      <c r="BG204" s="47"/>
      <c r="BH204" s="47"/>
      <c r="BI204" s="47"/>
      <c r="BJ204" s="47"/>
      <c r="BK204" s="47"/>
      <c r="BL204" s="47"/>
      <c r="BM204" s="47"/>
      <c r="BN204" s="47"/>
      <c r="BO204" s="47"/>
      <c r="BP204" s="47"/>
      <c r="BQ204" s="47"/>
      <c r="BR204" s="47"/>
      <c r="BS204" s="47"/>
      <c r="BT204" s="47"/>
      <c r="BU204" s="47"/>
      <c r="BV204" s="47"/>
      <c r="BW204" s="47"/>
      <c r="BX204" s="47"/>
      <c r="BY204" s="47"/>
      <c r="BZ204" s="47"/>
      <c r="CA204" s="47"/>
      <c r="CB204" s="47"/>
      <c r="CC204" s="47"/>
      <c r="CD204" s="47"/>
      <c r="CE204" s="47"/>
      <c r="CF204" s="47"/>
      <c r="CG204" s="47"/>
      <c r="CH204" s="47"/>
      <c r="CI204" s="47"/>
      <c r="CJ204" s="47"/>
      <c r="CK204" s="47"/>
      <c r="CL204" s="47"/>
      <c r="CM204" s="47"/>
      <c r="CN204" s="47"/>
      <c r="CO204" s="47"/>
      <c r="CP204" s="47"/>
      <c r="CQ204" s="47"/>
      <c r="CR204" s="47"/>
      <c r="CS204" s="47"/>
      <c r="CT204" s="47"/>
      <c r="CU204" s="47"/>
      <c r="CV204" s="47"/>
      <c r="CW204" s="47"/>
      <c r="CX204" s="47"/>
      <c r="CY204" s="47"/>
      <c r="CZ204" s="47"/>
      <c r="DA204" s="47"/>
      <c r="DB204" s="47"/>
      <c r="DC204" s="47"/>
      <c r="DD204" s="47"/>
      <c r="DE204" s="47"/>
      <c r="DF204" s="47"/>
      <c r="DG204" s="47"/>
      <c r="DH204" s="47"/>
      <c r="DI204" s="47"/>
      <c r="DJ204" s="47"/>
      <c r="DK204" s="47"/>
      <c r="DL204" s="47"/>
      <c r="DM204" s="47"/>
      <c r="DN204" s="47"/>
      <c r="DO204" s="47"/>
      <c r="DP204" s="47"/>
      <c r="DQ204" s="47"/>
      <c r="DR204" s="47"/>
      <c r="DS204" s="47"/>
      <c r="DT204" s="47"/>
      <c r="DU204" s="47"/>
      <c r="DV204" s="47"/>
      <c r="DW204" s="47"/>
      <c r="DX204" s="47"/>
      <c r="DY204" s="47"/>
      <c r="DZ204" s="219"/>
      <c r="EA204" s="231"/>
      <c r="EB204" s="231"/>
      <c r="EC204" s="231"/>
      <c r="ED204" s="231"/>
      <c r="EE204" s="231"/>
      <c r="EF204" s="231"/>
      <c r="EG204" s="231"/>
      <c r="EH204" s="231"/>
      <c r="EI204" s="231"/>
      <c r="EJ204" s="231"/>
      <c r="EK204" s="231"/>
      <c r="EL204" s="231"/>
      <c r="EM204" s="231"/>
      <c r="EN204" s="231"/>
      <c r="EO204" s="231"/>
      <c r="EP204" s="231"/>
      <c r="EQ204" s="231"/>
    </row>
    <row r="205" spans="1:147" ht="22.9" customHeight="1" outlineLevel="2" x14ac:dyDescent="0.2">
      <c r="A205" s="146" t="s">
        <v>684</v>
      </c>
      <c r="B205" s="53" t="s">
        <v>278</v>
      </c>
      <c r="C205" s="50" t="s">
        <v>133</v>
      </c>
      <c r="D205" s="165">
        <v>1</v>
      </c>
      <c r="E205" s="158">
        <v>1</v>
      </c>
      <c r="F205" s="52">
        <f>SUM(H205:DY205)*E205*Table1[[#This Row],[Cycles]]</f>
        <v>0</v>
      </c>
      <c r="G205" s="46">
        <f>SUMPRODUCT($H$2:$DY$2,$H205:$DY205)*E205*D205</f>
        <v>0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47"/>
      <c r="CF205" s="47"/>
      <c r="CG205" s="47"/>
      <c r="CH205" s="47"/>
      <c r="CI205" s="47"/>
      <c r="CJ205" s="47"/>
      <c r="CK205" s="47"/>
      <c r="CL205" s="47"/>
      <c r="CM205" s="47"/>
      <c r="CN205" s="47"/>
      <c r="CO205" s="47"/>
      <c r="CP205" s="47"/>
      <c r="CQ205" s="47"/>
      <c r="CR205" s="47"/>
      <c r="CS205" s="47"/>
      <c r="CT205" s="47"/>
      <c r="CU205" s="47"/>
      <c r="CV205" s="47"/>
      <c r="CW205" s="47"/>
      <c r="CX205" s="47"/>
      <c r="CY205" s="47"/>
      <c r="CZ205" s="47"/>
      <c r="DA205" s="47"/>
      <c r="DB205" s="47"/>
      <c r="DC205" s="47"/>
      <c r="DD205" s="47"/>
      <c r="DE205" s="47"/>
      <c r="DF205" s="47"/>
      <c r="DG205" s="47"/>
      <c r="DH205" s="47"/>
      <c r="DI205" s="47"/>
      <c r="DJ205" s="47"/>
      <c r="DK205" s="47"/>
      <c r="DL205" s="47"/>
      <c r="DM205" s="47"/>
      <c r="DN205" s="47"/>
      <c r="DO205" s="47"/>
      <c r="DP205" s="47"/>
      <c r="DQ205" s="47"/>
      <c r="DR205" s="47"/>
      <c r="DS205" s="47"/>
      <c r="DT205" s="47"/>
      <c r="DU205" s="47"/>
      <c r="DV205" s="47"/>
      <c r="DW205" s="47"/>
      <c r="DX205" s="47"/>
      <c r="DY205" s="47"/>
      <c r="DZ205" s="219"/>
      <c r="EA205" s="231"/>
      <c r="EB205" s="231"/>
      <c r="EC205" s="231"/>
      <c r="ED205" s="231"/>
      <c r="EE205" s="231"/>
      <c r="EF205" s="231"/>
      <c r="EG205" s="231"/>
      <c r="EH205" s="231"/>
      <c r="EI205" s="231"/>
      <c r="EJ205" s="231"/>
      <c r="EK205" s="231"/>
      <c r="EL205" s="231"/>
      <c r="EM205" s="231"/>
      <c r="EN205" s="231"/>
      <c r="EO205" s="231"/>
      <c r="EP205" s="231"/>
      <c r="EQ205" s="231"/>
    </row>
    <row r="206" spans="1:147" s="40" customFormat="1" ht="22.9" customHeight="1" x14ac:dyDescent="0.2">
      <c r="A206" s="148" t="s">
        <v>685</v>
      </c>
      <c r="B206" s="48" t="s">
        <v>711</v>
      </c>
      <c r="C206" s="33"/>
      <c r="D206" s="163"/>
      <c r="E206" s="163"/>
      <c r="F206" s="31" cm="1">
        <f t="array" ref="F206">SumByColor(F207:F262,REFERENCE!$G$2)</f>
        <v>0</v>
      </c>
      <c r="G206" s="31" cm="1">
        <f t="array" ref="G206">SumByColor(G207:G262,REFERENCE!$G$2)</f>
        <v>0</v>
      </c>
      <c r="H206" s="31" cm="1">
        <f t="array" ref="H206">SumByColor(H207:H262,REFERENCE!$G$2)</f>
        <v>0</v>
      </c>
      <c r="I206" s="31" cm="1">
        <f t="array" ref="I206">SumByColor(I207:I262,REFERENCE!$G$2)</f>
        <v>0</v>
      </c>
      <c r="J206" s="31" cm="1">
        <f t="array" ref="J206">SumByColor(J207:J262,REFERENCE!$G$2)</f>
        <v>0</v>
      </c>
      <c r="K206" s="31" cm="1">
        <f t="array" ref="K206">SumByColor(K207:K262,REFERENCE!$G$2)</f>
        <v>0</v>
      </c>
      <c r="L206" s="31" cm="1">
        <f t="array" ref="L206">SumByColor(L207:L262,REFERENCE!$G$2)</f>
        <v>0</v>
      </c>
      <c r="M206" s="31" cm="1">
        <f t="array" ref="M206">SumByColor(M207:M262,REFERENCE!$G$2)</f>
        <v>0</v>
      </c>
      <c r="N206" s="31" cm="1">
        <f t="array" ref="N206">SumByColor(N207:N262,REFERENCE!$G$2)</f>
        <v>0</v>
      </c>
      <c r="O206" s="31" cm="1">
        <f t="array" ref="O206">SumByColor(O207:O262,REFERENCE!$G$2)</f>
        <v>0</v>
      </c>
      <c r="P206" s="31" cm="1">
        <f t="array" ref="P206">SumByColor(P207:P262,REFERENCE!$G$2)</f>
        <v>0</v>
      </c>
      <c r="Q206" s="31" cm="1">
        <f t="array" ref="Q206">SumByColor(Q207:Q262,REFERENCE!$G$2)</f>
        <v>0</v>
      </c>
      <c r="R206" s="31" cm="1">
        <f t="array" ref="R206">SumByColor(R207:R262,REFERENCE!$G$2)</f>
        <v>0</v>
      </c>
      <c r="S206" s="31" cm="1">
        <f t="array" ref="S206">SumByColor(S207:S262,REFERENCE!$G$2)</f>
        <v>0</v>
      </c>
      <c r="T206" s="31" cm="1">
        <f t="array" ref="T206">SumByColor(T207:T262,REFERENCE!$G$2)</f>
        <v>0</v>
      </c>
      <c r="U206" s="31" cm="1">
        <f t="array" ref="U206">SumByColor(U207:U262,REFERENCE!$G$2)</f>
        <v>0</v>
      </c>
      <c r="V206" s="31" cm="1">
        <f t="array" ref="V206">SumByColor(V207:V262,REFERENCE!$G$2)</f>
        <v>0</v>
      </c>
      <c r="W206" s="31" cm="1">
        <f t="array" ref="W206">SumByColor(W207:W262,REFERENCE!$G$2)</f>
        <v>0</v>
      </c>
      <c r="X206" s="31" cm="1">
        <f t="array" ref="X206">SumByColor(X207:X262,REFERENCE!$G$2)</f>
        <v>0</v>
      </c>
      <c r="Y206" s="31" cm="1">
        <f t="array" ref="Y206">SumByColor(Y207:Y262,REFERENCE!$G$2)</f>
        <v>0</v>
      </c>
      <c r="Z206" s="31" cm="1">
        <f t="array" ref="Z206">SumByColor(Z207:Z262,REFERENCE!$G$2)</f>
        <v>0</v>
      </c>
      <c r="AA206" s="31" cm="1">
        <f t="array" ref="AA206">SumByColor(AA207:AA262,REFERENCE!$G$2)</f>
        <v>0</v>
      </c>
      <c r="AB206" s="31" cm="1">
        <f t="array" ref="AB206">SumByColor(AB207:AB262,REFERENCE!$G$2)</f>
        <v>0</v>
      </c>
      <c r="AC206" s="31" cm="1">
        <f t="array" ref="AC206">SumByColor(AC207:AC262,REFERENCE!$G$2)</f>
        <v>0</v>
      </c>
      <c r="AD206" s="31" cm="1">
        <f t="array" ref="AD206">SumByColor(AD207:AD262,REFERENCE!$G$2)</f>
        <v>0</v>
      </c>
      <c r="AE206" s="31" cm="1">
        <f t="array" ref="AE206">SumByColor(AE207:AE262,REFERENCE!$G$2)</f>
        <v>0</v>
      </c>
      <c r="AF206" s="31" cm="1">
        <f t="array" ref="AF206">SumByColor(AF207:AF262,REFERENCE!$G$2)</f>
        <v>0</v>
      </c>
      <c r="AG206" s="31" cm="1">
        <f t="array" ref="AG206">SumByColor(AG207:AG262,REFERENCE!$G$2)</f>
        <v>0</v>
      </c>
      <c r="AH206" s="31" cm="1">
        <f t="array" ref="AH206">SumByColor(AH207:AH262,REFERENCE!$G$2)</f>
        <v>0</v>
      </c>
      <c r="AI206" s="31" cm="1">
        <f t="array" ref="AI206">SumByColor(AI207:AI262,REFERENCE!$G$2)</f>
        <v>0</v>
      </c>
      <c r="AJ206" s="31" cm="1">
        <f t="array" ref="AJ206">SumByColor(AJ207:AJ262,REFERENCE!$G$2)</f>
        <v>0</v>
      </c>
      <c r="AK206" s="31" cm="1">
        <f t="array" ref="AK206">SumByColor(AK207:AK262,REFERENCE!$G$2)</f>
        <v>0</v>
      </c>
      <c r="AL206" s="31" cm="1">
        <f t="array" ref="AL206">SumByColor(AL207:AL262,REFERENCE!$G$2)</f>
        <v>0</v>
      </c>
      <c r="AM206" s="31" cm="1">
        <f t="array" ref="AM206">SumByColor(AM207:AM262,REFERENCE!$G$2)</f>
        <v>0</v>
      </c>
      <c r="AN206" s="31" cm="1">
        <f t="array" ref="AN206">SumByColor(AN207:AN262,REFERENCE!$G$2)</f>
        <v>0</v>
      </c>
      <c r="AO206" s="31" cm="1">
        <f t="array" ref="AO206">SumByColor(AO207:AO262,REFERENCE!$G$2)</f>
        <v>0</v>
      </c>
      <c r="AP206" s="31" cm="1">
        <f t="array" ref="AP206">SumByColor(AP207:AP262,REFERENCE!$G$2)</f>
        <v>0</v>
      </c>
      <c r="AQ206" s="31" cm="1">
        <f t="array" ref="AQ206">SumByColor(AQ207:AQ262,REFERENCE!$G$2)</f>
        <v>0</v>
      </c>
      <c r="AR206" s="31" cm="1">
        <f t="array" ref="AR206">SumByColor(AR207:AR262,REFERENCE!$G$2)</f>
        <v>0</v>
      </c>
      <c r="AS206" s="31" cm="1">
        <f t="array" ref="AS206">SumByColor(AS207:AS262,REFERENCE!$G$2)</f>
        <v>0</v>
      </c>
      <c r="AT206" s="31" cm="1">
        <f t="array" ref="AT206">SumByColor(AT207:AT262,REFERENCE!$G$2)</f>
        <v>0</v>
      </c>
      <c r="AU206" s="31" cm="1">
        <f t="array" ref="AU206">SumByColor(AU207:AU262,REFERENCE!$G$2)</f>
        <v>0</v>
      </c>
      <c r="AV206" s="31" cm="1">
        <f t="array" ref="AV206">SumByColor(AV207:AV262,REFERENCE!$G$2)</f>
        <v>0</v>
      </c>
      <c r="AW206" s="31" cm="1">
        <f t="array" ref="AW206">SumByColor(AW207:AW262,REFERENCE!$G$2)</f>
        <v>0</v>
      </c>
      <c r="AX206" s="31" cm="1">
        <f t="array" ref="AX206">SumByColor(AX207:AX262,REFERENCE!$G$2)</f>
        <v>0</v>
      </c>
      <c r="AY206" s="31" cm="1">
        <f t="array" ref="AY206">SumByColor(AY207:AY262,REFERENCE!$G$2)</f>
        <v>0</v>
      </c>
      <c r="AZ206" s="31" cm="1">
        <f t="array" ref="AZ206">SumByColor(AZ207:AZ262,REFERENCE!$G$2)</f>
        <v>0</v>
      </c>
      <c r="BA206" s="31" cm="1">
        <f t="array" ref="BA206">SumByColor(BA207:BA262,REFERENCE!$G$2)</f>
        <v>0</v>
      </c>
      <c r="BB206" s="31" cm="1">
        <f t="array" ref="BB206">SumByColor(BB207:BB262,REFERENCE!$G$2)</f>
        <v>0</v>
      </c>
      <c r="BC206" s="31" cm="1">
        <f t="array" ref="BC206">SumByColor(BC207:BC262,REFERENCE!$G$2)</f>
        <v>0</v>
      </c>
      <c r="BD206" s="31" cm="1">
        <f t="array" ref="BD206">SumByColor(BD207:BD262,REFERENCE!$G$2)</f>
        <v>0</v>
      </c>
      <c r="BE206" s="31" cm="1">
        <f t="array" ref="BE206">SumByColor(BE207:BE262,REFERENCE!$G$2)</f>
        <v>0</v>
      </c>
      <c r="BF206" s="31" cm="1">
        <f t="array" ref="BF206">SumByColor(BF207:BF262,REFERENCE!$G$2)</f>
        <v>0</v>
      </c>
      <c r="BG206" s="31" cm="1">
        <f t="array" ref="BG206">SumByColor(BG207:BG262,REFERENCE!$G$2)</f>
        <v>0</v>
      </c>
      <c r="BH206" s="31" cm="1">
        <f t="array" ref="BH206">SumByColor(BH207:BH262,REFERENCE!$G$2)</f>
        <v>0</v>
      </c>
      <c r="BI206" s="31" cm="1">
        <f t="array" ref="BI206">SumByColor(BI207:BI262,REFERENCE!$G$2)</f>
        <v>0</v>
      </c>
      <c r="BJ206" s="31" cm="1">
        <f t="array" ref="BJ206">SumByColor(BJ207:BJ262,REFERENCE!$G$2)</f>
        <v>0</v>
      </c>
      <c r="BK206" s="31" cm="1">
        <f t="array" ref="BK206">SumByColor(BK207:BK262,REFERENCE!$G$2)</f>
        <v>0</v>
      </c>
      <c r="BL206" s="31" cm="1">
        <f t="array" ref="BL206">SumByColor(BL207:BL262,REFERENCE!$G$2)</f>
        <v>0</v>
      </c>
      <c r="BM206" s="31" cm="1">
        <f t="array" ref="BM206">SumByColor(BM207:BM262,REFERENCE!$G$2)</f>
        <v>0</v>
      </c>
      <c r="BN206" s="31" cm="1">
        <f t="array" ref="BN206">SumByColor(BN207:BN262,REFERENCE!$G$2)</f>
        <v>0</v>
      </c>
      <c r="BO206" s="31" cm="1">
        <f t="array" ref="BO206">SumByColor(BO207:BO262,REFERENCE!$G$2)</f>
        <v>0</v>
      </c>
      <c r="BP206" s="31" cm="1">
        <f t="array" ref="BP206">SumByColor(BP207:BP262,REFERENCE!$G$2)</f>
        <v>0</v>
      </c>
      <c r="BQ206" s="31" cm="1">
        <f t="array" ref="BQ206">SumByColor(BQ207:BQ262,REFERENCE!$G$2)</f>
        <v>0</v>
      </c>
      <c r="BR206" s="31" cm="1">
        <f t="array" ref="BR206">SumByColor(BR207:BR262,REFERENCE!$G$2)</f>
        <v>0</v>
      </c>
      <c r="BS206" s="31" cm="1">
        <f t="array" ref="BS206">SumByColor(BS207:BS262,REFERENCE!$G$2)</f>
        <v>0</v>
      </c>
      <c r="BT206" s="31" cm="1">
        <f t="array" ref="BT206">SumByColor(BT207:BT262,REFERENCE!$G$2)</f>
        <v>0</v>
      </c>
      <c r="BU206" s="31" cm="1">
        <f t="array" ref="BU206">SumByColor(BU207:BU262,REFERENCE!$G$2)</f>
        <v>0</v>
      </c>
      <c r="BV206" s="31" cm="1">
        <f t="array" ref="BV206">SumByColor(BV207:BV262,REFERENCE!$G$2)</f>
        <v>0</v>
      </c>
      <c r="BW206" s="31" cm="1">
        <f t="array" ref="BW206">SumByColor(BW207:BW262,REFERENCE!$G$2)</f>
        <v>0</v>
      </c>
      <c r="BX206" s="31" cm="1">
        <f t="array" ref="BX206">SumByColor(BX207:BX262,REFERENCE!$G$2)</f>
        <v>0</v>
      </c>
      <c r="BY206" s="31" cm="1">
        <f t="array" ref="BY206">SumByColor(BY207:BY262,REFERENCE!$G$2)</f>
        <v>0</v>
      </c>
      <c r="BZ206" s="31" cm="1">
        <f t="array" ref="BZ206">SumByColor(BZ207:BZ262,REFERENCE!$G$2)</f>
        <v>0</v>
      </c>
      <c r="CA206" s="31" cm="1">
        <f t="array" ref="CA206">SumByColor(CA207:CA262,REFERENCE!$G$2)</f>
        <v>0</v>
      </c>
      <c r="CB206" s="31" cm="1">
        <f t="array" ref="CB206">SumByColor(CB207:CB262,REFERENCE!$G$2)</f>
        <v>0</v>
      </c>
      <c r="CC206" s="31" cm="1">
        <f t="array" ref="CC206">SumByColor(CC207:CC262,REFERENCE!$G$2)</f>
        <v>0</v>
      </c>
      <c r="CD206" s="31" cm="1">
        <f t="array" ref="CD206">SumByColor(CD207:CD262,REFERENCE!$G$2)</f>
        <v>0</v>
      </c>
      <c r="CE206" s="31" cm="1">
        <f t="array" ref="CE206">SumByColor(CE207:CE262,REFERENCE!$G$2)</f>
        <v>0</v>
      </c>
      <c r="CF206" s="31" cm="1">
        <f t="array" ref="CF206">SumByColor(CF207:CF262,REFERENCE!$G$2)</f>
        <v>0</v>
      </c>
      <c r="CG206" s="31" cm="1">
        <f t="array" ref="CG206">SumByColor(CG207:CG262,REFERENCE!$G$2)</f>
        <v>0</v>
      </c>
      <c r="CH206" s="31" cm="1">
        <f t="array" ref="CH206">SumByColor(CH207:CH262,REFERENCE!$G$2)</f>
        <v>0</v>
      </c>
      <c r="CI206" s="31" cm="1">
        <f t="array" ref="CI206">SumByColor(CI207:CI262,REFERENCE!$G$2)</f>
        <v>0</v>
      </c>
      <c r="CJ206" s="31" cm="1">
        <f t="array" ref="CJ206">SumByColor(CJ207:CJ262,REFERENCE!$G$2)</f>
        <v>0</v>
      </c>
      <c r="CK206" s="31" cm="1">
        <f t="array" ref="CK206">SumByColor(CK207:CK262,REFERENCE!$G$2)</f>
        <v>0</v>
      </c>
      <c r="CL206" s="31" cm="1">
        <f t="array" ref="CL206">SumByColor(CL207:CL262,REFERENCE!$G$2)</f>
        <v>0</v>
      </c>
      <c r="CM206" s="31" cm="1">
        <f t="array" ref="CM206">SumByColor(CM207:CM262,REFERENCE!$G$2)</f>
        <v>0</v>
      </c>
      <c r="CN206" s="31" cm="1">
        <f t="array" ref="CN206">SumByColor(CN207:CN262,REFERENCE!$G$2)</f>
        <v>0</v>
      </c>
      <c r="CO206" s="31" cm="1">
        <f t="array" ref="CO206">SumByColor(CO207:CO262,REFERENCE!$G$2)</f>
        <v>0</v>
      </c>
      <c r="CP206" s="31" cm="1">
        <f t="array" ref="CP206">SumByColor(CP207:CP262,REFERENCE!$G$2)</f>
        <v>0</v>
      </c>
      <c r="CQ206" s="31" cm="1">
        <f t="array" ref="CQ206">SumByColor(CQ207:CQ262,REFERENCE!$G$2)</f>
        <v>0</v>
      </c>
      <c r="CR206" s="31" cm="1">
        <f t="array" ref="CR206">SumByColor(CR207:CR262,REFERENCE!$G$2)</f>
        <v>0</v>
      </c>
      <c r="CS206" s="31" cm="1">
        <f t="array" ref="CS206">SumByColor(CS207:CS262,REFERENCE!$G$2)</f>
        <v>0</v>
      </c>
      <c r="CT206" s="31" cm="1">
        <f t="array" ref="CT206">SumByColor(CT207:CT262,REFERENCE!$G$2)</f>
        <v>0</v>
      </c>
      <c r="CU206" s="31" cm="1">
        <f t="array" ref="CU206">SumByColor(CU207:CU262,REFERENCE!$G$2)</f>
        <v>0</v>
      </c>
      <c r="CV206" s="31" cm="1">
        <f t="array" ref="CV206">SumByColor(CV207:CV262,REFERENCE!$G$2)</f>
        <v>0</v>
      </c>
      <c r="CW206" s="31" cm="1">
        <f t="array" ref="CW206">SumByColor(CW207:CW262,REFERENCE!$G$2)</f>
        <v>0</v>
      </c>
      <c r="CX206" s="31" cm="1">
        <f t="array" ref="CX206">SumByColor(CX207:CX262,REFERENCE!$G$2)</f>
        <v>0</v>
      </c>
      <c r="CY206" s="31" cm="1">
        <f t="array" ref="CY206">SumByColor(CY207:CY262,REFERENCE!$G$2)</f>
        <v>0</v>
      </c>
      <c r="CZ206" s="31" cm="1">
        <f t="array" ref="CZ206">SumByColor(CZ207:CZ262,REFERENCE!$G$2)</f>
        <v>0</v>
      </c>
      <c r="DA206" s="31" cm="1">
        <f t="array" ref="DA206">SumByColor(DA207:DA262,REFERENCE!$G$2)</f>
        <v>0</v>
      </c>
      <c r="DB206" s="31" cm="1">
        <f t="array" ref="DB206">SumByColor(DB207:DB262,REFERENCE!$G$2)</f>
        <v>0</v>
      </c>
      <c r="DC206" s="31" cm="1">
        <f t="array" ref="DC206">SumByColor(DC207:DC262,REFERENCE!$G$2)</f>
        <v>0</v>
      </c>
      <c r="DD206" s="31" cm="1">
        <f t="array" ref="DD206">SumByColor(DD207:DD262,REFERENCE!$G$2)</f>
        <v>0</v>
      </c>
      <c r="DE206" s="31" cm="1">
        <f t="array" ref="DE206">SumByColor(DE207:DE262,REFERENCE!$G$2)</f>
        <v>0</v>
      </c>
      <c r="DF206" s="31" cm="1">
        <f t="array" ref="DF206">SumByColor(DF207:DF262,REFERENCE!$G$2)</f>
        <v>0</v>
      </c>
      <c r="DG206" s="31" cm="1">
        <f t="array" ref="DG206">SumByColor(DG207:DG262,REFERENCE!$G$2)</f>
        <v>0</v>
      </c>
      <c r="DH206" s="31" cm="1">
        <f t="array" ref="DH206">SumByColor(DH207:DH262,REFERENCE!$G$2)</f>
        <v>0</v>
      </c>
      <c r="DI206" s="31" cm="1">
        <f t="array" ref="DI206">SumByColor(DI207:DI262,REFERENCE!$G$2)</f>
        <v>0</v>
      </c>
      <c r="DJ206" s="31" cm="1">
        <f t="array" ref="DJ206">SumByColor(DJ207:DJ262,REFERENCE!$G$2)</f>
        <v>0</v>
      </c>
      <c r="DK206" s="31" cm="1">
        <f t="array" ref="DK206">SumByColor(DK207:DK262,REFERENCE!$G$2)</f>
        <v>0</v>
      </c>
      <c r="DL206" s="31" cm="1">
        <f t="array" ref="DL206">SumByColor(DL207:DL262,REFERENCE!$G$2)</f>
        <v>0</v>
      </c>
      <c r="DM206" s="31" cm="1">
        <f t="array" ref="DM206">SumByColor(DM207:DM262,REFERENCE!$G$2)</f>
        <v>0</v>
      </c>
      <c r="DN206" s="31" cm="1">
        <f t="array" ref="DN206">SumByColor(DN207:DN262,REFERENCE!$G$2)</f>
        <v>0</v>
      </c>
      <c r="DO206" s="31" cm="1">
        <f t="array" ref="DO206">SumByColor(DO207:DO262,REFERENCE!$G$2)</f>
        <v>0</v>
      </c>
      <c r="DP206" s="31" cm="1">
        <f t="array" ref="DP206">SumByColor(DP207:DP262,REFERENCE!$G$2)</f>
        <v>0</v>
      </c>
      <c r="DQ206" s="31" cm="1">
        <f t="array" ref="DQ206">SumByColor(DQ207:DQ262,REFERENCE!$G$2)</f>
        <v>0</v>
      </c>
      <c r="DR206" s="31" cm="1">
        <f t="array" ref="DR206">SumByColor(DR207:DR262,REFERENCE!$G$2)</f>
        <v>0</v>
      </c>
      <c r="DS206" s="31" cm="1">
        <f t="array" ref="DS206">SumByColor(DS207:DS262,REFERENCE!$G$2)</f>
        <v>0</v>
      </c>
      <c r="DT206" s="31" cm="1">
        <f t="array" ref="DT206">SumByColor(DT207:DT262,REFERENCE!$G$2)</f>
        <v>0</v>
      </c>
      <c r="DU206" s="31" cm="1">
        <f t="array" ref="DU206">SumByColor(DU207:DU262,REFERENCE!$G$2)</f>
        <v>0</v>
      </c>
      <c r="DV206" s="31" cm="1">
        <f t="array" ref="DV206">SumByColor(DV207:DV262,REFERENCE!$G$2)</f>
        <v>0</v>
      </c>
      <c r="DW206" s="31" cm="1">
        <f t="array" ref="DW206">SumByColor(DW207:DW262,REFERENCE!$G$2)</f>
        <v>0</v>
      </c>
      <c r="DX206" s="31" cm="1">
        <f t="array" ref="DX206">SumByColor(DX207:DX262,REFERENCE!$G$2)</f>
        <v>0</v>
      </c>
      <c r="DY206" s="31" cm="1">
        <f t="array" ref="DY206">SumByColor(DY207:DY262,REFERENCE!$G$2)</f>
        <v>0</v>
      </c>
      <c r="DZ206" s="218"/>
      <c r="EA206" s="232"/>
      <c r="EB206" s="232"/>
      <c r="EC206" s="232"/>
      <c r="ED206" s="232"/>
      <c r="EE206" s="232"/>
      <c r="EF206" s="232"/>
      <c r="EG206" s="232"/>
      <c r="EH206" s="232"/>
      <c r="EI206" s="232"/>
      <c r="EJ206" s="232"/>
      <c r="EK206" s="232"/>
      <c r="EL206" s="232"/>
      <c r="EM206" s="232"/>
      <c r="EN206" s="232"/>
      <c r="EO206" s="232"/>
      <c r="EP206" s="232"/>
      <c r="EQ206" s="232"/>
    </row>
    <row r="207" spans="1:147" s="40" customFormat="1" ht="22.9" customHeight="1" outlineLevel="1" x14ac:dyDescent="0.2">
      <c r="A207" s="149" t="s">
        <v>686</v>
      </c>
      <c r="B207" s="35" t="s">
        <v>492</v>
      </c>
      <c r="C207" s="32" t="s">
        <v>100</v>
      </c>
      <c r="D207" s="164"/>
      <c r="E207" s="164"/>
      <c r="F207" s="43">
        <f>SUM(F208:F217)</f>
        <v>0</v>
      </c>
      <c r="G207" s="43">
        <f>SUM(G208:G217)</f>
        <v>0</v>
      </c>
      <c r="H207" s="45">
        <f>SUMPRODUCT($D$208:$D$217,$E$208:$E$217,H208:H217)</f>
        <v>0</v>
      </c>
      <c r="I207" s="45">
        <f t="shared" ref="I207:BT207" si="60">SUMPRODUCT($D$208:$D$217,$E$208:$E$217,I208:I217)</f>
        <v>0</v>
      </c>
      <c r="J207" s="45">
        <f t="shared" si="60"/>
        <v>0</v>
      </c>
      <c r="K207" s="45">
        <f t="shared" si="60"/>
        <v>0</v>
      </c>
      <c r="L207" s="45">
        <f t="shared" si="60"/>
        <v>0</v>
      </c>
      <c r="M207" s="45">
        <f t="shared" si="60"/>
        <v>0</v>
      </c>
      <c r="N207" s="45">
        <f t="shared" si="60"/>
        <v>0</v>
      </c>
      <c r="O207" s="45">
        <f t="shared" si="60"/>
        <v>0</v>
      </c>
      <c r="P207" s="45">
        <f t="shared" si="60"/>
        <v>0</v>
      </c>
      <c r="Q207" s="45">
        <f t="shared" si="60"/>
        <v>0</v>
      </c>
      <c r="R207" s="45">
        <f t="shared" si="60"/>
        <v>0</v>
      </c>
      <c r="S207" s="45">
        <f t="shared" si="60"/>
        <v>0</v>
      </c>
      <c r="T207" s="45">
        <f t="shared" si="60"/>
        <v>0</v>
      </c>
      <c r="U207" s="45">
        <f t="shared" si="60"/>
        <v>0</v>
      </c>
      <c r="V207" s="45">
        <f t="shared" si="60"/>
        <v>0</v>
      </c>
      <c r="W207" s="45">
        <f t="shared" si="60"/>
        <v>0</v>
      </c>
      <c r="X207" s="45">
        <f t="shared" si="60"/>
        <v>0</v>
      </c>
      <c r="Y207" s="45">
        <f t="shared" si="60"/>
        <v>0</v>
      </c>
      <c r="Z207" s="45">
        <f t="shared" si="60"/>
        <v>0</v>
      </c>
      <c r="AA207" s="45">
        <f t="shared" si="60"/>
        <v>0</v>
      </c>
      <c r="AB207" s="45">
        <f t="shared" si="60"/>
        <v>0</v>
      </c>
      <c r="AC207" s="45">
        <f t="shared" si="60"/>
        <v>0</v>
      </c>
      <c r="AD207" s="45">
        <f t="shared" si="60"/>
        <v>0</v>
      </c>
      <c r="AE207" s="45">
        <f t="shared" si="60"/>
        <v>0</v>
      </c>
      <c r="AF207" s="45">
        <f t="shared" si="60"/>
        <v>0</v>
      </c>
      <c r="AG207" s="45">
        <f t="shared" si="60"/>
        <v>0</v>
      </c>
      <c r="AH207" s="45">
        <f t="shared" si="60"/>
        <v>0</v>
      </c>
      <c r="AI207" s="45">
        <f t="shared" si="60"/>
        <v>0</v>
      </c>
      <c r="AJ207" s="45">
        <f t="shared" si="60"/>
        <v>0</v>
      </c>
      <c r="AK207" s="45">
        <f t="shared" si="60"/>
        <v>0</v>
      </c>
      <c r="AL207" s="45">
        <f t="shared" si="60"/>
        <v>0</v>
      </c>
      <c r="AM207" s="45">
        <f t="shared" si="60"/>
        <v>0</v>
      </c>
      <c r="AN207" s="45">
        <f t="shared" si="60"/>
        <v>0</v>
      </c>
      <c r="AO207" s="45">
        <f t="shared" si="60"/>
        <v>0</v>
      </c>
      <c r="AP207" s="45">
        <f t="shared" si="60"/>
        <v>0</v>
      </c>
      <c r="AQ207" s="45">
        <f t="shared" si="60"/>
        <v>0</v>
      </c>
      <c r="AR207" s="45">
        <f t="shared" si="60"/>
        <v>0</v>
      </c>
      <c r="AS207" s="45">
        <f t="shared" si="60"/>
        <v>0</v>
      </c>
      <c r="AT207" s="45">
        <f t="shared" si="60"/>
        <v>0</v>
      </c>
      <c r="AU207" s="45">
        <f t="shared" si="60"/>
        <v>0</v>
      </c>
      <c r="AV207" s="45">
        <f t="shared" si="60"/>
        <v>0</v>
      </c>
      <c r="AW207" s="45">
        <f t="shared" si="60"/>
        <v>0</v>
      </c>
      <c r="AX207" s="45">
        <f t="shared" si="60"/>
        <v>0</v>
      </c>
      <c r="AY207" s="45">
        <f t="shared" si="60"/>
        <v>0</v>
      </c>
      <c r="AZ207" s="45">
        <f t="shared" si="60"/>
        <v>0</v>
      </c>
      <c r="BA207" s="45">
        <f t="shared" si="60"/>
        <v>0</v>
      </c>
      <c r="BB207" s="45">
        <f t="shared" si="60"/>
        <v>0</v>
      </c>
      <c r="BC207" s="45">
        <f t="shared" si="60"/>
        <v>0</v>
      </c>
      <c r="BD207" s="45">
        <f t="shared" si="60"/>
        <v>0</v>
      </c>
      <c r="BE207" s="45">
        <f t="shared" si="60"/>
        <v>0</v>
      </c>
      <c r="BF207" s="45">
        <f t="shared" si="60"/>
        <v>0</v>
      </c>
      <c r="BG207" s="45">
        <f t="shared" si="60"/>
        <v>0</v>
      </c>
      <c r="BH207" s="45">
        <f t="shared" si="60"/>
        <v>0</v>
      </c>
      <c r="BI207" s="45">
        <f t="shared" si="60"/>
        <v>0</v>
      </c>
      <c r="BJ207" s="45">
        <f t="shared" si="60"/>
        <v>0</v>
      </c>
      <c r="BK207" s="45">
        <f t="shared" si="60"/>
        <v>0</v>
      </c>
      <c r="BL207" s="45">
        <f t="shared" si="60"/>
        <v>0</v>
      </c>
      <c r="BM207" s="45">
        <f t="shared" si="60"/>
        <v>0</v>
      </c>
      <c r="BN207" s="45">
        <f t="shared" si="60"/>
        <v>0</v>
      </c>
      <c r="BO207" s="45">
        <f t="shared" si="60"/>
        <v>0</v>
      </c>
      <c r="BP207" s="45">
        <f t="shared" si="60"/>
        <v>0</v>
      </c>
      <c r="BQ207" s="45">
        <f t="shared" si="60"/>
        <v>0</v>
      </c>
      <c r="BR207" s="45">
        <f t="shared" si="60"/>
        <v>0</v>
      </c>
      <c r="BS207" s="45">
        <f t="shared" si="60"/>
        <v>0</v>
      </c>
      <c r="BT207" s="45">
        <f t="shared" si="60"/>
        <v>0</v>
      </c>
      <c r="BU207" s="45">
        <f t="shared" ref="BU207:DY207" si="61">SUMPRODUCT($D$208:$D$217,$E$208:$E$217,BU208:BU217)</f>
        <v>0</v>
      </c>
      <c r="BV207" s="45">
        <f t="shared" si="61"/>
        <v>0</v>
      </c>
      <c r="BW207" s="45">
        <f t="shared" si="61"/>
        <v>0</v>
      </c>
      <c r="BX207" s="45">
        <f t="shared" si="61"/>
        <v>0</v>
      </c>
      <c r="BY207" s="45">
        <f t="shared" si="61"/>
        <v>0</v>
      </c>
      <c r="BZ207" s="45">
        <f t="shared" si="61"/>
        <v>0</v>
      </c>
      <c r="CA207" s="45">
        <f t="shared" si="61"/>
        <v>0</v>
      </c>
      <c r="CB207" s="45">
        <f t="shared" si="61"/>
        <v>0</v>
      </c>
      <c r="CC207" s="45">
        <f t="shared" si="61"/>
        <v>0</v>
      </c>
      <c r="CD207" s="45">
        <f t="shared" si="61"/>
        <v>0</v>
      </c>
      <c r="CE207" s="45">
        <f t="shared" si="61"/>
        <v>0</v>
      </c>
      <c r="CF207" s="45">
        <f t="shared" si="61"/>
        <v>0</v>
      </c>
      <c r="CG207" s="45">
        <f t="shared" si="61"/>
        <v>0</v>
      </c>
      <c r="CH207" s="45">
        <f t="shared" si="61"/>
        <v>0</v>
      </c>
      <c r="CI207" s="45">
        <f t="shared" si="61"/>
        <v>0</v>
      </c>
      <c r="CJ207" s="45">
        <f t="shared" si="61"/>
        <v>0</v>
      </c>
      <c r="CK207" s="45">
        <f t="shared" si="61"/>
        <v>0</v>
      </c>
      <c r="CL207" s="45">
        <f t="shared" si="61"/>
        <v>0</v>
      </c>
      <c r="CM207" s="45">
        <f t="shared" si="61"/>
        <v>0</v>
      </c>
      <c r="CN207" s="45">
        <f t="shared" si="61"/>
        <v>0</v>
      </c>
      <c r="CO207" s="45">
        <f t="shared" si="61"/>
        <v>0</v>
      </c>
      <c r="CP207" s="45">
        <f t="shared" si="61"/>
        <v>0</v>
      </c>
      <c r="CQ207" s="45">
        <f t="shared" si="61"/>
        <v>0</v>
      </c>
      <c r="CR207" s="45">
        <f t="shared" si="61"/>
        <v>0</v>
      </c>
      <c r="CS207" s="45">
        <f t="shared" si="61"/>
        <v>0</v>
      </c>
      <c r="CT207" s="45">
        <f t="shared" si="61"/>
        <v>0</v>
      </c>
      <c r="CU207" s="45">
        <f t="shared" si="61"/>
        <v>0</v>
      </c>
      <c r="CV207" s="45">
        <f t="shared" si="61"/>
        <v>0</v>
      </c>
      <c r="CW207" s="45">
        <f t="shared" si="61"/>
        <v>0</v>
      </c>
      <c r="CX207" s="45">
        <f t="shared" si="61"/>
        <v>0</v>
      </c>
      <c r="CY207" s="45">
        <f t="shared" si="61"/>
        <v>0</v>
      </c>
      <c r="CZ207" s="45">
        <f t="shared" si="61"/>
        <v>0</v>
      </c>
      <c r="DA207" s="45">
        <f t="shared" si="61"/>
        <v>0</v>
      </c>
      <c r="DB207" s="45">
        <f t="shared" si="61"/>
        <v>0</v>
      </c>
      <c r="DC207" s="45">
        <f t="shared" si="61"/>
        <v>0</v>
      </c>
      <c r="DD207" s="45">
        <f t="shared" si="61"/>
        <v>0</v>
      </c>
      <c r="DE207" s="45">
        <f t="shared" si="61"/>
        <v>0</v>
      </c>
      <c r="DF207" s="45">
        <f t="shared" si="61"/>
        <v>0</v>
      </c>
      <c r="DG207" s="45">
        <f t="shared" si="61"/>
        <v>0</v>
      </c>
      <c r="DH207" s="45">
        <f t="shared" si="61"/>
        <v>0</v>
      </c>
      <c r="DI207" s="45">
        <f t="shared" si="61"/>
        <v>0</v>
      </c>
      <c r="DJ207" s="45">
        <f t="shared" si="61"/>
        <v>0</v>
      </c>
      <c r="DK207" s="45">
        <f t="shared" si="61"/>
        <v>0</v>
      </c>
      <c r="DL207" s="45">
        <f t="shared" si="61"/>
        <v>0</v>
      </c>
      <c r="DM207" s="45">
        <f t="shared" si="61"/>
        <v>0</v>
      </c>
      <c r="DN207" s="45">
        <f t="shared" si="61"/>
        <v>0</v>
      </c>
      <c r="DO207" s="45">
        <f t="shared" si="61"/>
        <v>0</v>
      </c>
      <c r="DP207" s="45">
        <f t="shared" si="61"/>
        <v>0</v>
      </c>
      <c r="DQ207" s="45">
        <f t="shared" si="61"/>
        <v>0</v>
      </c>
      <c r="DR207" s="45">
        <f t="shared" si="61"/>
        <v>0</v>
      </c>
      <c r="DS207" s="45">
        <f t="shared" si="61"/>
        <v>0</v>
      </c>
      <c r="DT207" s="45">
        <f t="shared" si="61"/>
        <v>0</v>
      </c>
      <c r="DU207" s="45">
        <f>SUMPRODUCT($D$208:$D$217,$E$208:$E$217,DU208:DU217)</f>
        <v>0</v>
      </c>
      <c r="DV207" s="45">
        <f t="shared" si="61"/>
        <v>0</v>
      </c>
      <c r="DW207" s="45">
        <f t="shared" si="61"/>
        <v>0</v>
      </c>
      <c r="DX207" s="45">
        <f t="shared" si="61"/>
        <v>0</v>
      </c>
      <c r="DY207" s="45">
        <f t="shared" si="61"/>
        <v>0</v>
      </c>
      <c r="DZ207" s="218"/>
      <c r="EA207" s="231"/>
      <c r="EB207" s="231"/>
      <c r="EC207" s="231"/>
      <c r="ED207" s="231"/>
      <c r="EE207" s="231"/>
      <c r="EF207" s="231"/>
      <c r="EG207" s="231"/>
      <c r="EH207" s="231"/>
      <c r="EI207" s="231"/>
      <c r="EJ207" s="231"/>
      <c r="EK207" s="231"/>
      <c r="EL207" s="231"/>
      <c r="EM207" s="231"/>
      <c r="EN207" s="231"/>
      <c r="EO207" s="231"/>
      <c r="EP207" s="231"/>
      <c r="EQ207" s="231"/>
    </row>
    <row r="208" spans="1:147" ht="22.9" customHeight="1" outlineLevel="2" x14ac:dyDescent="0.2">
      <c r="A208" s="146" t="s">
        <v>689</v>
      </c>
      <c r="B208" s="53" t="s">
        <v>220</v>
      </c>
      <c r="C208" s="50" t="s">
        <v>133</v>
      </c>
      <c r="D208" s="165">
        <v>1</v>
      </c>
      <c r="E208" s="158">
        <v>1</v>
      </c>
      <c r="F208" s="52">
        <f>SUM(H208:DY208)*E208*Table1[[#This Row],[Cycles]]</f>
        <v>0</v>
      </c>
      <c r="G208" s="46">
        <f>SUMPRODUCT($H$2:$DY$2,$H208:$DY208)*E208*D208</f>
        <v>0</v>
      </c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7"/>
      <c r="BA208" s="47"/>
      <c r="BB208" s="47"/>
      <c r="BC208" s="47"/>
      <c r="BD208" s="47"/>
      <c r="BE208" s="47"/>
      <c r="BF208" s="47"/>
      <c r="BG208" s="47"/>
      <c r="BH208" s="47"/>
      <c r="BI208" s="47"/>
      <c r="BJ208" s="47"/>
      <c r="BK208" s="47"/>
      <c r="BL208" s="47"/>
      <c r="BM208" s="47"/>
      <c r="BN208" s="47"/>
      <c r="BO208" s="47"/>
      <c r="BP208" s="47"/>
      <c r="BQ208" s="47"/>
      <c r="BR208" s="47"/>
      <c r="BS208" s="47"/>
      <c r="BT208" s="47"/>
      <c r="BU208" s="47"/>
      <c r="BV208" s="47"/>
      <c r="BW208" s="47"/>
      <c r="BX208" s="47"/>
      <c r="BY208" s="47"/>
      <c r="BZ208" s="47"/>
      <c r="CA208" s="47"/>
      <c r="CB208" s="47"/>
      <c r="CC208" s="47"/>
      <c r="CD208" s="47"/>
      <c r="CE208" s="47"/>
      <c r="CF208" s="47"/>
      <c r="CG208" s="47"/>
      <c r="CH208" s="47"/>
      <c r="CI208" s="47"/>
      <c r="CJ208" s="47"/>
      <c r="CK208" s="47"/>
      <c r="CL208" s="47"/>
      <c r="CM208" s="47"/>
      <c r="CN208" s="47"/>
      <c r="CO208" s="47"/>
      <c r="CP208" s="47"/>
      <c r="CQ208" s="47"/>
      <c r="CR208" s="47"/>
      <c r="CS208" s="47"/>
      <c r="CT208" s="47"/>
      <c r="CU208" s="47"/>
      <c r="CV208" s="47"/>
      <c r="CW208" s="47"/>
      <c r="CX208" s="47"/>
      <c r="CY208" s="47"/>
      <c r="CZ208" s="47"/>
      <c r="DA208" s="47"/>
      <c r="DB208" s="47"/>
      <c r="DC208" s="47"/>
      <c r="DD208" s="47"/>
      <c r="DE208" s="47"/>
      <c r="DF208" s="47"/>
      <c r="DG208" s="47"/>
      <c r="DH208" s="47"/>
      <c r="DI208" s="47"/>
      <c r="DJ208" s="47"/>
      <c r="DK208" s="47"/>
      <c r="DL208" s="47"/>
      <c r="DM208" s="47"/>
      <c r="DN208" s="47"/>
      <c r="DO208" s="47"/>
      <c r="DP208" s="47"/>
      <c r="DQ208" s="47"/>
      <c r="DR208" s="47"/>
      <c r="DS208" s="47"/>
      <c r="DT208" s="47"/>
      <c r="DU208" s="47"/>
      <c r="DV208" s="47"/>
      <c r="DW208" s="47"/>
      <c r="DX208" s="47"/>
      <c r="DY208" s="47"/>
      <c r="DZ208" s="219"/>
      <c r="EA208" s="231"/>
      <c r="EB208" s="231"/>
      <c r="EC208" s="231"/>
      <c r="ED208" s="231"/>
      <c r="EE208" s="231"/>
      <c r="EF208" s="231"/>
      <c r="EG208" s="231"/>
      <c r="EH208" s="231"/>
      <c r="EI208" s="231"/>
      <c r="EJ208" s="231"/>
      <c r="EK208" s="231"/>
      <c r="EL208" s="231"/>
      <c r="EM208" s="231"/>
      <c r="EN208" s="231"/>
      <c r="EO208" s="231"/>
      <c r="EP208" s="231"/>
      <c r="EQ208" s="231"/>
    </row>
    <row r="209" spans="1:147" ht="22.9" customHeight="1" outlineLevel="2" x14ac:dyDescent="0.2">
      <c r="A209" s="146" t="s">
        <v>690</v>
      </c>
      <c r="B209" s="53" t="s">
        <v>222</v>
      </c>
      <c r="C209" s="50" t="s">
        <v>133</v>
      </c>
      <c r="D209" s="165">
        <v>1</v>
      </c>
      <c r="E209" s="158">
        <v>1</v>
      </c>
      <c r="F209" s="52">
        <f>SUM(H209:DY209)*E209*Table1[[#This Row],[Cycles]]</f>
        <v>0</v>
      </c>
      <c r="G209" s="46">
        <f t="shared" ref="G209:G217" si="62">SUMPRODUCT($H$2:$DY$2,$H209:$DY209)*E209*D209</f>
        <v>0</v>
      </c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7"/>
      <c r="BA209" s="47"/>
      <c r="BB209" s="47"/>
      <c r="BC209" s="47"/>
      <c r="BD209" s="47"/>
      <c r="BE209" s="47"/>
      <c r="BF209" s="47"/>
      <c r="BG209" s="47"/>
      <c r="BH209" s="47"/>
      <c r="BI209" s="47"/>
      <c r="BJ209" s="47"/>
      <c r="BK209" s="47"/>
      <c r="BL209" s="47"/>
      <c r="BM209" s="47"/>
      <c r="BN209" s="47"/>
      <c r="BO209" s="47"/>
      <c r="BP209" s="47"/>
      <c r="BQ209" s="47"/>
      <c r="BR209" s="47"/>
      <c r="BS209" s="47"/>
      <c r="BT209" s="47"/>
      <c r="BU209" s="47"/>
      <c r="BV209" s="47"/>
      <c r="BW209" s="47"/>
      <c r="BX209" s="47"/>
      <c r="BY209" s="47"/>
      <c r="BZ209" s="47"/>
      <c r="CA209" s="47"/>
      <c r="CB209" s="47"/>
      <c r="CC209" s="47"/>
      <c r="CD209" s="47"/>
      <c r="CE209" s="47"/>
      <c r="CF209" s="47"/>
      <c r="CG209" s="47"/>
      <c r="CH209" s="47"/>
      <c r="CI209" s="47"/>
      <c r="CJ209" s="47"/>
      <c r="CK209" s="47"/>
      <c r="CL209" s="47"/>
      <c r="CM209" s="47"/>
      <c r="CN209" s="47"/>
      <c r="CO209" s="47"/>
      <c r="CP209" s="47"/>
      <c r="CQ209" s="47"/>
      <c r="CR209" s="47"/>
      <c r="CS209" s="47"/>
      <c r="CT209" s="47"/>
      <c r="CU209" s="47"/>
      <c r="CV209" s="47"/>
      <c r="CW209" s="47"/>
      <c r="CX209" s="47"/>
      <c r="CY209" s="47"/>
      <c r="CZ209" s="47"/>
      <c r="DA209" s="47"/>
      <c r="DB209" s="47"/>
      <c r="DC209" s="47"/>
      <c r="DD209" s="47"/>
      <c r="DE209" s="47"/>
      <c r="DF209" s="47"/>
      <c r="DG209" s="47"/>
      <c r="DH209" s="47"/>
      <c r="DI209" s="47"/>
      <c r="DJ209" s="47"/>
      <c r="DK209" s="47"/>
      <c r="DL209" s="47"/>
      <c r="DM209" s="47"/>
      <c r="DN209" s="47"/>
      <c r="DO209" s="47"/>
      <c r="DP209" s="47"/>
      <c r="DQ209" s="47"/>
      <c r="DR209" s="47"/>
      <c r="DS209" s="47"/>
      <c r="DT209" s="47"/>
      <c r="DU209" s="47"/>
      <c r="DV209" s="47"/>
      <c r="DW209" s="47"/>
      <c r="DX209" s="47"/>
      <c r="DY209" s="47"/>
      <c r="DZ209" s="219"/>
      <c r="EA209" s="231"/>
      <c r="EB209" s="231"/>
      <c r="EC209" s="231"/>
      <c r="ED209" s="231"/>
      <c r="EE209" s="231"/>
      <c r="EF209" s="231"/>
      <c r="EG209" s="231"/>
      <c r="EH209" s="231"/>
      <c r="EI209" s="231"/>
      <c r="EJ209" s="231"/>
      <c r="EK209" s="231"/>
      <c r="EL209" s="231"/>
      <c r="EM209" s="231"/>
      <c r="EN209" s="231"/>
      <c r="EO209" s="231"/>
      <c r="EP209" s="231"/>
      <c r="EQ209" s="231"/>
    </row>
    <row r="210" spans="1:147" ht="22.9" customHeight="1" outlineLevel="2" x14ac:dyDescent="0.2">
      <c r="A210" s="146" t="s">
        <v>691</v>
      </c>
      <c r="B210" s="53" t="s">
        <v>225</v>
      </c>
      <c r="C210" s="50" t="s">
        <v>133</v>
      </c>
      <c r="D210" s="165">
        <v>1</v>
      </c>
      <c r="E210" s="158">
        <v>1</v>
      </c>
      <c r="F210" s="52">
        <f>SUM(H210:DY210)*E210*Table1[[#This Row],[Cycles]]</f>
        <v>0</v>
      </c>
      <c r="G210" s="46">
        <f t="shared" si="62"/>
        <v>0</v>
      </c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7"/>
      <c r="BA210" s="47"/>
      <c r="BB210" s="47"/>
      <c r="BC210" s="47"/>
      <c r="BD210" s="47"/>
      <c r="BE210" s="47"/>
      <c r="BF210" s="47"/>
      <c r="BG210" s="47"/>
      <c r="BH210" s="47"/>
      <c r="BI210" s="47"/>
      <c r="BJ210" s="47"/>
      <c r="BK210" s="47"/>
      <c r="BL210" s="47"/>
      <c r="BM210" s="47"/>
      <c r="BN210" s="47"/>
      <c r="BO210" s="47"/>
      <c r="BP210" s="47"/>
      <c r="BQ210" s="47"/>
      <c r="BR210" s="47"/>
      <c r="BS210" s="47"/>
      <c r="BT210" s="47"/>
      <c r="BU210" s="47"/>
      <c r="BV210" s="47"/>
      <c r="BW210" s="47"/>
      <c r="BX210" s="47"/>
      <c r="BY210" s="47"/>
      <c r="BZ210" s="47"/>
      <c r="CA210" s="47"/>
      <c r="CB210" s="47"/>
      <c r="CC210" s="47"/>
      <c r="CD210" s="47"/>
      <c r="CE210" s="47"/>
      <c r="CF210" s="47"/>
      <c r="CG210" s="47"/>
      <c r="CH210" s="47"/>
      <c r="CI210" s="47"/>
      <c r="CJ210" s="47"/>
      <c r="CK210" s="47"/>
      <c r="CL210" s="47"/>
      <c r="CM210" s="47"/>
      <c r="CN210" s="47"/>
      <c r="CO210" s="47"/>
      <c r="CP210" s="47"/>
      <c r="CQ210" s="47"/>
      <c r="CR210" s="47"/>
      <c r="CS210" s="47"/>
      <c r="CT210" s="47"/>
      <c r="CU210" s="47"/>
      <c r="CV210" s="47"/>
      <c r="CW210" s="47"/>
      <c r="CX210" s="47"/>
      <c r="CY210" s="47"/>
      <c r="CZ210" s="47"/>
      <c r="DA210" s="47"/>
      <c r="DB210" s="47"/>
      <c r="DC210" s="47"/>
      <c r="DD210" s="47"/>
      <c r="DE210" s="47"/>
      <c r="DF210" s="47"/>
      <c r="DG210" s="47"/>
      <c r="DH210" s="47"/>
      <c r="DI210" s="47"/>
      <c r="DJ210" s="47"/>
      <c r="DK210" s="47"/>
      <c r="DL210" s="47"/>
      <c r="DM210" s="47"/>
      <c r="DN210" s="47"/>
      <c r="DO210" s="47"/>
      <c r="DP210" s="47"/>
      <c r="DQ210" s="47"/>
      <c r="DR210" s="47"/>
      <c r="DS210" s="47"/>
      <c r="DT210" s="47"/>
      <c r="DU210" s="47"/>
      <c r="DV210" s="47"/>
      <c r="DW210" s="47"/>
      <c r="DX210" s="47"/>
      <c r="DY210" s="47"/>
      <c r="DZ210" s="219"/>
      <c r="EA210" s="231"/>
      <c r="EB210" s="231"/>
      <c r="EC210" s="231"/>
      <c r="ED210" s="231"/>
      <c r="EE210" s="231"/>
      <c r="EF210" s="231"/>
      <c r="EG210" s="231"/>
      <c r="EH210" s="231"/>
      <c r="EI210" s="231"/>
      <c r="EJ210" s="231"/>
      <c r="EK210" s="231"/>
      <c r="EL210" s="231"/>
      <c r="EM210" s="231"/>
      <c r="EN210" s="231"/>
      <c r="EO210" s="231"/>
      <c r="EP210" s="231"/>
      <c r="EQ210" s="231"/>
    </row>
    <row r="211" spans="1:147" ht="22.9" customHeight="1" outlineLevel="2" x14ac:dyDescent="0.2">
      <c r="A211" s="146" t="s">
        <v>692</v>
      </c>
      <c r="B211" s="53" t="s">
        <v>221</v>
      </c>
      <c r="C211" s="50" t="s">
        <v>133</v>
      </c>
      <c r="D211" s="165">
        <v>1</v>
      </c>
      <c r="E211" s="158">
        <v>1</v>
      </c>
      <c r="F211" s="52">
        <f>SUM(H211:DY211)*E211*Table1[[#This Row],[Cycles]]</f>
        <v>0</v>
      </c>
      <c r="G211" s="46">
        <f t="shared" si="62"/>
        <v>0</v>
      </c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7"/>
      <c r="BA211" s="47"/>
      <c r="BB211" s="47"/>
      <c r="BC211" s="47"/>
      <c r="BD211" s="47"/>
      <c r="BE211" s="47"/>
      <c r="BF211" s="47"/>
      <c r="BG211" s="47"/>
      <c r="BH211" s="47"/>
      <c r="BI211" s="47"/>
      <c r="BJ211" s="47"/>
      <c r="BK211" s="47"/>
      <c r="BL211" s="47"/>
      <c r="BM211" s="47"/>
      <c r="BN211" s="47"/>
      <c r="BO211" s="47"/>
      <c r="BP211" s="47"/>
      <c r="BQ211" s="47"/>
      <c r="BR211" s="47"/>
      <c r="BS211" s="47"/>
      <c r="BT211" s="47"/>
      <c r="BU211" s="47"/>
      <c r="BV211" s="47"/>
      <c r="BW211" s="47"/>
      <c r="BX211" s="47"/>
      <c r="BY211" s="47"/>
      <c r="BZ211" s="47"/>
      <c r="CA211" s="47"/>
      <c r="CB211" s="47"/>
      <c r="CC211" s="47"/>
      <c r="CD211" s="47"/>
      <c r="CE211" s="47"/>
      <c r="CF211" s="47"/>
      <c r="CG211" s="47"/>
      <c r="CH211" s="47"/>
      <c r="CI211" s="47"/>
      <c r="CJ211" s="47"/>
      <c r="CK211" s="47"/>
      <c r="CL211" s="47"/>
      <c r="CM211" s="47"/>
      <c r="CN211" s="47"/>
      <c r="CO211" s="47"/>
      <c r="CP211" s="47"/>
      <c r="CQ211" s="47"/>
      <c r="CR211" s="47"/>
      <c r="CS211" s="47"/>
      <c r="CT211" s="47"/>
      <c r="CU211" s="47"/>
      <c r="CV211" s="47"/>
      <c r="CW211" s="47"/>
      <c r="CX211" s="47"/>
      <c r="CY211" s="47"/>
      <c r="CZ211" s="47"/>
      <c r="DA211" s="47"/>
      <c r="DB211" s="47"/>
      <c r="DC211" s="47"/>
      <c r="DD211" s="47"/>
      <c r="DE211" s="47"/>
      <c r="DF211" s="47"/>
      <c r="DG211" s="47"/>
      <c r="DH211" s="47"/>
      <c r="DI211" s="47"/>
      <c r="DJ211" s="47"/>
      <c r="DK211" s="47"/>
      <c r="DL211" s="47"/>
      <c r="DM211" s="47"/>
      <c r="DN211" s="47"/>
      <c r="DO211" s="47"/>
      <c r="DP211" s="47"/>
      <c r="DQ211" s="47"/>
      <c r="DR211" s="47"/>
      <c r="DS211" s="47"/>
      <c r="DT211" s="47"/>
      <c r="DU211" s="47"/>
      <c r="DV211" s="47"/>
      <c r="DW211" s="47"/>
      <c r="DX211" s="47"/>
      <c r="DY211" s="47"/>
      <c r="DZ211" s="219"/>
      <c r="EA211" s="231"/>
      <c r="EB211" s="231"/>
      <c r="EC211" s="231"/>
      <c r="ED211" s="231"/>
      <c r="EE211" s="231"/>
      <c r="EF211" s="231"/>
      <c r="EG211" s="231"/>
      <c r="EH211" s="231"/>
      <c r="EI211" s="231"/>
      <c r="EJ211" s="231"/>
      <c r="EK211" s="231"/>
      <c r="EL211" s="231"/>
      <c r="EM211" s="231"/>
      <c r="EN211" s="231"/>
      <c r="EO211" s="231"/>
      <c r="EP211" s="231"/>
      <c r="EQ211" s="231"/>
    </row>
    <row r="212" spans="1:147" ht="22.9" customHeight="1" outlineLevel="2" x14ac:dyDescent="0.2">
      <c r="A212" s="146" t="s">
        <v>693</v>
      </c>
      <c r="B212" s="53" t="s">
        <v>263</v>
      </c>
      <c r="C212" s="50" t="s">
        <v>133</v>
      </c>
      <c r="D212" s="165">
        <v>1</v>
      </c>
      <c r="E212" s="158">
        <v>1</v>
      </c>
      <c r="F212" s="52">
        <f>SUM(H212:DY212)*E212*Table1[[#This Row],[Cycles]]</f>
        <v>0</v>
      </c>
      <c r="G212" s="46">
        <f t="shared" si="62"/>
        <v>0</v>
      </c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7"/>
      <c r="BA212" s="47"/>
      <c r="BB212" s="47"/>
      <c r="BC212" s="47"/>
      <c r="BD212" s="47"/>
      <c r="BE212" s="47"/>
      <c r="BF212" s="47"/>
      <c r="BG212" s="47"/>
      <c r="BH212" s="47"/>
      <c r="BI212" s="47"/>
      <c r="BJ212" s="47"/>
      <c r="BK212" s="47"/>
      <c r="BL212" s="47"/>
      <c r="BM212" s="47"/>
      <c r="BN212" s="47"/>
      <c r="BO212" s="47"/>
      <c r="BP212" s="47"/>
      <c r="BQ212" s="47"/>
      <c r="BR212" s="47"/>
      <c r="BS212" s="47"/>
      <c r="BT212" s="47"/>
      <c r="BU212" s="47"/>
      <c r="BV212" s="47"/>
      <c r="BW212" s="47"/>
      <c r="BX212" s="47"/>
      <c r="BY212" s="47"/>
      <c r="BZ212" s="47"/>
      <c r="CA212" s="47"/>
      <c r="CB212" s="47"/>
      <c r="CC212" s="47"/>
      <c r="CD212" s="47"/>
      <c r="CE212" s="47"/>
      <c r="CF212" s="47"/>
      <c r="CG212" s="47"/>
      <c r="CH212" s="47"/>
      <c r="CI212" s="47"/>
      <c r="CJ212" s="47"/>
      <c r="CK212" s="47"/>
      <c r="CL212" s="47"/>
      <c r="CM212" s="47"/>
      <c r="CN212" s="47"/>
      <c r="CO212" s="47"/>
      <c r="CP212" s="47"/>
      <c r="CQ212" s="47"/>
      <c r="CR212" s="47"/>
      <c r="CS212" s="47"/>
      <c r="CT212" s="47"/>
      <c r="CU212" s="47"/>
      <c r="CV212" s="47"/>
      <c r="CW212" s="47"/>
      <c r="CX212" s="47"/>
      <c r="CY212" s="47"/>
      <c r="CZ212" s="47"/>
      <c r="DA212" s="47"/>
      <c r="DB212" s="47"/>
      <c r="DC212" s="47"/>
      <c r="DD212" s="47"/>
      <c r="DE212" s="47"/>
      <c r="DF212" s="47"/>
      <c r="DG212" s="47"/>
      <c r="DH212" s="47"/>
      <c r="DI212" s="47"/>
      <c r="DJ212" s="47"/>
      <c r="DK212" s="47"/>
      <c r="DL212" s="47"/>
      <c r="DM212" s="47"/>
      <c r="DN212" s="47"/>
      <c r="DO212" s="47"/>
      <c r="DP212" s="47"/>
      <c r="DQ212" s="47"/>
      <c r="DR212" s="47"/>
      <c r="DS212" s="47"/>
      <c r="DT212" s="47"/>
      <c r="DU212" s="47"/>
      <c r="DV212" s="47"/>
      <c r="DW212" s="47"/>
      <c r="DX212" s="47"/>
      <c r="DY212" s="47"/>
      <c r="DZ212" s="219"/>
      <c r="EA212" s="231"/>
      <c r="EB212" s="231"/>
      <c r="EC212" s="231"/>
      <c r="ED212" s="231"/>
      <c r="EE212" s="231"/>
      <c r="EF212" s="231"/>
      <c r="EG212" s="231"/>
      <c r="EH212" s="231"/>
      <c r="EI212" s="231"/>
      <c r="EJ212" s="231"/>
      <c r="EK212" s="231"/>
      <c r="EL212" s="231"/>
      <c r="EM212" s="231"/>
      <c r="EN212" s="231"/>
      <c r="EO212" s="231"/>
      <c r="EP212" s="231"/>
      <c r="EQ212" s="231"/>
    </row>
    <row r="213" spans="1:147" ht="22.9" customHeight="1" outlineLevel="2" x14ac:dyDescent="0.2">
      <c r="A213" s="146" t="s">
        <v>694</v>
      </c>
      <c r="B213" s="53" t="s">
        <v>420</v>
      </c>
      <c r="C213" s="50" t="s">
        <v>133</v>
      </c>
      <c r="D213" s="165">
        <v>1</v>
      </c>
      <c r="E213" s="158">
        <v>1</v>
      </c>
      <c r="F213" s="52">
        <f>SUM(H213:DY213)*E213*Table1[[#This Row],[Cycles]]</f>
        <v>0</v>
      </c>
      <c r="G213" s="46">
        <f t="shared" si="62"/>
        <v>0</v>
      </c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7"/>
      <c r="BA213" s="47"/>
      <c r="BB213" s="47"/>
      <c r="BC213" s="47"/>
      <c r="BD213" s="47"/>
      <c r="BE213" s="47"/>
      <c r="BF213" s="47"/>
      <c r="BG213" s="47"/>
      <c r="BH213" s="47"/>
      <c r="BI213" s="47"/>
      <c r="BJ213" s="47"/>
      <c r="BK213" s="47"/>
      <c r="BL213" s="47"/>
      <c r="BM213" s="47"/>
      <c r="BN213" s="47"/>
      <c r="BO213" s="47"/>
      <c r="BP213" s="47"/>
      <c r="BQ213" s="47"/>
      <c r="BR213" s="47"/>
      <c r="BS213" s="47"/>
      <c r="BT213" s="47"/>
      <c r="BU213" s="47"/>
      <c r="BV213" s="47"/>
      <c r="BW213" s="47"/>
      <c r="BX213" s="47"/>
      <c r="BY213" s="47"/>
      <c r="BZ213" s="47"/>
      <c r="CA213" s="47"/>
      <c r="CB213" s="47"/>
      <c r="CC213" s="47"/>
      <c r="CD213" s="47"/>
      <c r="CE213" s="47"/>
      <c r="CF213" s="47"/>
      <c r="CG213" s="47"/>
      <c r="CH213" s="47"/>
      <c r="CI213" s="47"/>
      <c r="CJ213" s="47"/>
      <c r="CK213" s="47"/>
      <c r="CL213" s="47"/>
      <c r="CM213" s="47"/>
      <c r="CN213" s="47"/>
      <c r="CO213" s="47"/>
      <c r="CP213" s="47"/>
      <c r="CQ213" s="47"/>
      <c r="CR213" s="47"/>
      <c r="CS213" s="47"/>
      <c r="CT213" s="47"/>
      <c r="CU213" s="47"/>
      <c r="CV213" s="47"/>
      <c r="CW213" s="47"/>
      <c r="CX213" s="47"/>
      <c r="CY213" s="47"/>
      <c r="CZ213" s="47"/>
      <c r="DA213" s="47"/>
      <c r="DB213" s="47"/>
      <c r="DC213" s="47"/>
      <c r="DD213" s="47"/>
      <c r="DE213" s="47"/>
      <c r="DF213" s="47"/>
      <c r="DG213" s="47"/>
      <c r="DH213" s="47"/>
      <c r="DI213" s="47"/>
      <c r="DJ213" s="47"/>
      <c r="DK213" s="47"/>
      <c r="DL213" s="47"/>
      <c r="DM213" s="47"/>
      <c r="DN213" s="47"/>
      <c r="DO213" s="47"/>
      <c r="DP213" s="47"/>
      <c r="DQ213" s="47"/>
      <c r="DR213" s="47"/>
      <c r="DS213" s="47"/>
      <c r="DT213" s="47"/>
      <c r="DU213" s="47"/>
      <c r="DV213" s="47"/>
      <c r="DW213" s="47"/>
      <c r="DX213" s="47"/>
      <c r="DY213" s="47"/>
      <c r="DZ213" s="219"/>
      <c r="EA213" s="231"/>
      <c r="EB213" s="231"/>
      <c r="EC213" s="231"/>
      <c r="ED213" s="231"/>
      <c r="EE213" s="231"/>
      <c r="EF213" s="231"/>
      <c r="EG213" s="231"/>
      <c r="EH213" s="231"/>
      <c r="EI213" s="231"/>
      <c r="EJ213" s="231"/>
      <c r="EK213" s="231"/>
      <c r="EL213" s="231"/>
      <c r="EM213" s="231"/>
      <c r="EN213" s="231"/>
      <c r="EO213" s="231"/>
      <c r="EP213" s="231"/>
      <c r="EQ213" s="231"/>
    </row>
    <row r="214" spans="1:147" ht="22.9" customHeight="1" outlineLevel="2" x14ac:dyDescent="0.2">
      <c r="A214" s="146" t="s">
        <v>695</v>
      </c>
      <c r="B214" s="53" t="s">
        <v>223</v>
      </c>
      <c r="C214" s="50" t="s">
        <v>133</v>
      </c>
      <c r="D214" s="165">
        <v>1</v>
      </c>
      <c r="E214" s="158">
        <v>1</v>
      </c>
      <c r="F214" s="52">
        <f>SUM(H214:DY214)*E214*Table1[[#This Row],[Cycles]]</f>
        <v>0</v>
      </c>
      <c r="G214" s="46">
        <f t="shared" si="62"/>
        <v>0</v>
      </c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7"/>
      <c r="BA214" s="47"/>
      <c r="BB214" s="47"/>
      <c r="BC214" s="47"/>
      <c r="BD214" s="47"/>
      <c r="BE214" s="47"/>
      <c r="BF214" s="47"/>
      <c r="BG214" s="47"/>
      <c r="BH214" s="47"/>
      <c r="BI214" s="47"/>
      <c r="BJ214" s="47"/>
      <c r="BK214" s="47"/>
      <c r="BL214" s="47"/>
      <c r="BM214" s="47"/>
      <c r="BN214" s="47"/>
      <c r="BO214" s="47"/>
      <c r="BP214" s="47"/>
      <c r="BQ214" s="47"/>
      <c r="BR214" s="47"/>
      <c r="BS214" s="47"/>
      <c r="BT214" s="47"/>
      <c r="BU214" s="47"/>
      <c r="BV214" s="47"/>
      <c r="BW214" s="47"/>
      <c r="BX214" s="47"/>
      <c r="BY214" s="47"/>
      <c r="BZ214" s="47"/>
      <c r="CA214" s="47"/>
      <c r="CB214" s="47"/>
      <c r="CC214" s="47"/>
      <c r="CD214" s="47"/>
      <c r="CE214" s="47"/>
      <c r="CF214" s="47"/>
      <c r="CG214" s="47"/>
      <c r="CH214" s="47"/>
      <c r="CI214" s="47"/>
      <c r="CJ214" s="47"/>
      <c r="CK214" s="47"/>
      <c r="CL214" s="47"/>
      <c r="CM214" s="47"/>
      <c r="CN214" s="47"/>
      <c r="CO214" s="47"/>
      <c r="CP214" s="47"/>
      <c r="CQ214" s="47"/>
      <c r="CR214" s="47"/>
      <c r="CS214" s="47"/>
      <c r="CT214" s="47"/>
      <c r="CU214" s="47"/>
      <c r="CV214" s="47"/>
      <c r="CW214" s="47"/>
      <c r="CX214" s="47"/>
      <c r="CY214" s="47"/>
      <c r="CZ214" s="47"/>
      <c r="DA214" s="47"/>
      <c r="DB214" s="47"/>
      <c r="DC214" s="47"/>
      <c r="DD214" s="47"/>
      <c r="DE214" s="47"/>
      <c r="DF214" s="47"/>
      <c r="DG214" s="47"/>
      <c r="DH214" s="47"/>
      <c r="DI214" s="47"/>
      <c r="DJ214" s="47"/>
      <c r="DK214" s="47"/>
      <c r="DL214" s="47"/>
      <c r="DM214" s="47"/>
      <c r="DN214" s="47"/>
      <c r="DO214" s="47"/>
      <c r="DP214" s="47"/>
      <c r="DQ214" s="47"/>
      <c r="DR214" s="47"/>
      <c r="DS214" s="47"/>
      <c r="DT214" s="47"/>
      <c r="DU214" s="47"/>
      <c r="DV214" s="47"/>
      <c r="DW214" s="47"/>
      <c r="DX214" s="47"/>
      <c r="DY214" s="47"/>
      <c r="DZ214" s="219"/>
      <c r="EA214" s="231"/>
      <c r="EB214" s="231"/>
      <c r="EC214" s="231"/>
      <c r="ED214" s="231"/>
      <c r="EE214" s="231"/>
      <c r="EF214" s="231"/>
      <c r="EG214" s="231"/>
      <c r="EH214" s="231"/>
      <c r="EI214" s="231"/>
      <c r="EJ214" s="231"/>
      <c r="EK214" s="231"/>
      <c r="EL214" s="231"/>
      <c r="EM214" s="231"/>
      <c r="EN214" s="231"/>
      <c r="EO214" s="231"/>
      <c r="EP214" s="231"/>
      <c r="EQ214" s="231"/>
    </row>
    <row r="215" spans="1:147" ht="22.9" customHeight="1" outlineLevel="2" x14ac:dyDescent="0.2">
      <c r="A215" s="146" t="s">
        <v>696</v>
      </c>
      <c r="B215" s="53" t="s">
        <v>224</v>
      </c>
      <c r="C215" s="50" t="s">
        <v>133</v>
      </c>
      <c r="D215" s="165">
        <v>1</v>
      </c>
      <c r="E215" s="158">
        <v>1</v>
      </c>
      <c r="F215" s="52">
        <f>SUM(H215:DY215)*E215*Table1[[#This Row],[Cycles]]</f>
        <v>0</v>
      </c>
      <c r="G215" s="46">
        <f t="shared" si="62"/>
        <v>0</v>
      </c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7"/>
      <c r="BA215" s="47"/>
      <c r="BB215" s="47"/>
      <c r="BC215" s="47"/>
      <c r="BD215" s="47"/>
      <c r="BE215" s="47"/>
      <c r="BF215" s="47"/>
      <c r="BG215" s="47"/>
      <c r="BH215" s="47"/>
      <c r="BI215" s="47"/>
      <c r="BJ215" s="47"/>
      <c r="BK215" s="47"/>
      <c r="BL215" s="47"/>
      <c r="BM215" s="47"/>
      <c r="BN215" s="47"/>
      <c r="BO215" s="47"/>
      <c r="BP215" s="47"/>
      <c r="BQ215" s="47"/>
      <c r="BR215" s="47"/>
      <c r="BS215" s="47"/>
      <c r="BT215" s="47"/>
      <c r="BU215" s="47"/>
      <c r="BV215" s="47"/>
      <c r="BW215" s="47"/>
      <c r="BX215" s="47"/>
      <c r="BY215" s="47"/>
      <c r="BZ215" s="47"/>
      <c r="CA215" s="47"/>
      <c r="CB215" s="47"/>
      <c r="CC215" s="47"/>
      <c r="CD215" s="47"/>
      <c r="CE215" s="47"/>
      <c r="CF215" s="47"/>
      <c r="CG215" s="47"/>
      <c r="CH215" s="47"/>
      <c r="CI215" s="47"/>
      <c r="CJ215" s="47"/>
      <c r="CK215" s="47"/>
      <c r="CL215" s="47"/>
      <c r="CM215" s="47"/>
      <c r="CN215" s="47"/>
      <c r="CO215" s="47"/>
      <c r="CP215" s="47"/>
      <c r="CQ215" s="47"/>
      <c r="CR215" s="47"/>
      <c r="CS215" s="47"/>
      <c r="CT215" s="47"/>
      <c r="CU215" s="47"/>
      <c r="CV215" s="47"/>
      <c r="CW215" s="47"/>
      <c r="CX215" s="47"/>
      <c r="CY215" s="47"/>
      <c r="CZ215" s="47"/>
      <c r="DA215" s="47"/>
      <c r="DB215" s="47"/>
      <c r="DC215" s="47"/>
      <c r="DD215" s="47"/>
      <c r="DE215" s="47"/>
      <c r="DF215" s="47"/>
      <c r="DG215" s="47"/>
      <c r="DH215" s="47"/>
      <c r="DI215" s="47"/>
      <c r="DJ215" s="47"/>
      <c r="DK215" s="47"/>
      <c r="DL215" s="47"/>
      <c r="DM215" s="47"/>
      <c r="DN215" s="47"/>
      <c r="DO215" s="47"/>
      <c r="DP215" s="47"/>
      <c r="DQ215" s="47"/>
      <c r="DR215" s="47"/>
      <c r="DS215" s="47"/>
      <c r="DT215" s="47"/>
      <c r="DU215" s="47"/>
      <c r="DV215" s="47"/>
      <c r="DW215" s="47"/>
      <c r="DX215" s="47"/>
      <c r="DY215" s="47"/>
      <c r="DZ215" s="219"/>
      <c r="EA215" s="231"/>
      <c r="EB215" s="231"/>
      <c r="EC215" s="231"/>
      <c r="ED215" s="231"/>
      <c r="EE215" s="231"/>
      <c r="EF215" s="231"/>
      <c r="EG215" s="231"/>
      <c r="EH215" s="231"/>
      <c r="EI215" s="231"/>
      <c r="EJ215" s="231"/>
      <c r="EK215" s="231"/>
      <c r="EL215" s="231"/>
      <c r="EM215" s="231"/>
      <c r="EN215" s="231"/>
      <c r="EO215" s="231"/>
      <c r="EP215" s="231"/>
      <c r="EQ215" s="231"/>
    </row>
    <row r="216" spans="1:147" ht="22.9" customHeight="1" outlineLevel="2" x14ac:dyDescent="0.2">
      <c r="A216" s="146" t="s">
        <v>714</v>
      </c>
      <c r="B216" s="53" t="s">
        <v>421</v>
      </c>
      <c r="C216" s="50" t="s">
        <v>133</v>
      </c>
      <c r="D216" s="165">
        <v>1</v>
      </c>
      <c r="E216" s="158">
        <v>1</v>
      </c>
      <c r="F216" s="52">
        <f>SUM(H216:DY216)*E216*Table1[[#This Row],[Cycles]]</f>
        <v>0</v>
      </c>
      <c r="G216" s="46">
        <f>SUMPRODUCT($H$2:$DY$2,$H216:$DY216)*E216*D216</f>
        <v>0</v>
      </c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7"/>
      <c r="BA216" s="47"/>
      <c r="BB216" s="47"/>
      <c r="BC216" s="47"/>
      <c r="BD216" s="47"/>
      <c r="BE216" s="47"/>
      <c r="BF216" s="47"/>
      <c r="BG216" s="47"/>
      <c r="BH216" s="47"/>
      <c r="BI216" s="47"/>
      <c r="BJ216" s="47"/>
      <c r="BK216" s="47"/>
      <c r="BL216" s="47"/>
      <c r="BM216" s="47"/>
      <c r="BN216" s="47"/>
      <c r="BO216" s="47"/>
      <c r="BP216" s="47"/>
      <c r="BQ216" s="47"/>
      <c r="BR216" s="47"/>
      <c r="BS216" s="47"/>
      <c r="BT216" s="47"/>
      <c r="BU216" s="47"/>
      <c r="BV216" s="47"/>
      <c r="BW216" s="47"/>
      <c r="BX216" s="47"/>
      <c r="BY216" s="47"/>
      <c r="BZ216" s="47"/>
      <c r="CA216" s="47"/>
      <c r="CB216" s="47"/>
      <c r="CC216" s="47"/>
      <c r="CD216" s="47"/>
      <c r="CE216" s="47"/>
      <c r="CF216" s="47"/>
      <c r="CG216" s="47"/>
      <c r="CH216" s="47"/>
      <c r="CI216" s="47"/>
      <c r="CJ216" s="47"/>
      <c r="CK216" s="47"/>
      <c r="CL216" s="47"/>
      <c r="CM216" s="47"/>
      <c r="CN216" s="47"/>
      <c r="CO216" s="47"/>
      <c r="CP216" s="47"/>
      <c r="CQ216" s="47"/>
      <c r="CR216" s="47"/>
      <c r="CS216" s="47"/>
      <c r="CT216" s="47"/>
      <c r="CU216" s="47"/>
      <c r="CV216" s="47"/>
      <c r="CW216" s="47"/>
      <c r="CX216" s="47"/>
      <c r="CY216" s="47"/>
      <c r="CZ216" s="47"/>
      <c r="DA216" s="47"/>
      <c r="DB216" s="47"/>
      <c r="DC216" s="47"/>
      <c r="DD216" s="47"/>
      <c r="DE216" s="47"/>
      <c r="DF216" s="47"/>
      <c r="DG216" s="47"/>
      <c r="DH216" s="47"/>
      <c r="DI216" s="47"/>
      <c r="DJ216" s="47"/>
      <c r="DK216" s="47"/>
      <c r="DL216" s="47"/>
      <c r="DM216" s="47"/>
      <c r="DN216" s="47"/>
      <c r="DO216" s="47"/>
      <c r="DP216" s="47"/>
      <c r="DQ216" s="47"/>
      <c r="DR216" s="47"/>
      <c r="DS216" s="47"/>
      <c r="DT216" s="47"/>
      <c r="DU216" s="47"/>
      <c r="DV216" s="47"/>
      <c r="DW216" s="47"/>
      <c r="DX216" s="47"/>
      <c r="DY216" s="47"/>
      <c r="DZ216" s="219"/>
      <c r="EA216" s="231"/>
      <c r="EB216" s="231"/>
      <c r="EC216" s="231"/>
      <c r="ED216" s="231"/>
      <c r="EE216" s="231"/>
      <c r="EF216" s="231"/>
      <c r="EG216" s="231"/>
      <c r="EH216" s="231"/>
      <c r="EI216" s="231"/>
      <c r="EJ216" s="231"/>
      <c r="EK216" s="231"/>
      <c r="EL216" s="231"/>
      <c r="EM216" s="231"/>
      <c r="EN216" s="231"/>
      <c r="EO216" s="231"/>
      <c r="EP216" s="231"/>
      <c r="EQ216" s="231"/>
    </row>
    <row r="217" spans="1:147" ht="22.9" customHeight="1" outlineLevel="2" x14ac:dyDescent="0.2">
      <c r="A217" s="146" t="s">
        <v>715</v>
      </c>
      <c r="B217" s="53" t="s">
        <v>419</v>
      </c>
      <c r="C217" s="50" t="s">
        <v>133</v>
      </c>
      <c r="D217" s="165">
        <v>1</v>
      </c>
      <c r="E217" s="158">
        <v>1</v>
      </c>
      <c r="F217" s="52">
        <f>SUM(H217:DY217)*E217*Table1[[#This Row],[Cycles]]</f>
        <v>0</v>
      </c>
      <c r="G217" s="46">
        <f t="shared" si="62"/>
        <v>0</v>
      </c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7"/>
      <c r="BA217" s="47"/>
      <c r="BB217" s="47"/>
      <c r="BC217" s="47"/>
      <c r="BD217" s="47"/>
      <c r="BE217" s="47"/>
      <c r="BF217" s="47"/>
      <c r="BG217" s="47"/>
      <c r="BH217" s="47"/>
      <c r="BI217" s="47"/>
      <c r="BJ217" s="47"/>
      <c r="BK217" s="47"/>
      <c r="BL217" s="47"/>
      <c r="BM217" s="47"/>
      <c r="BN217" s="47"/>
      <c r="BO217" s="47"/>
      <c r="BP217" s="47"/>
      <c r="BQ217" s="47"/>
      <c r="BR217" s="47"/>
      <c r="BS217" s="47"/>
      <c r="BT217" s="47"/>
      <c r="BU217" s="47"/>
      <c r="BV217" s="47"/>
      <c r="BW217" s="47"/>
      <c r="BX217" s="47"/>
      <c r="BY217" s="47"/>
      <c r="BZ217" s="47"/>
      <c r="CA217" s="47"/>
      <c r="CB217" s="47"/>
      <c r="CC217" s="47"/>
      <c r="CD217" s="47"/>
      <c r="CE217" s="47"/>
      <c r="CF217" s="47"/>
      <c r="CG217" s="47"/>
      <c r="CH217" s="47"/>
      <c r="CI217" s="47"/>
      <c r="CJ217" s="47"/>
      <c r="CK217" s="47"/>
      <c r="CL217" s="47"/>
      <c r="CM217" s="47"/>
      <c r="CN217" s="47"/>
      <c r="CO217" s="47"/>
      <c r="CP217" s="47"/>
      <c r="CQ217" s="47"/>
      <c r="CR217" s="47"/>
      <c r="CS217" s="47"/>
      <c r="CT217" s="47"/>
      <c r="CU217" s="47"/>
      <c r="CV217" s="47"/>
      <c r="CW217" s="47"/>
      <c r="CX217" s="47"/>
      <c r="CY217" s="47"/>
      <c r="CZ217" s="47"/>
      <c r="DA217" s="47"/>
      <c r="DB217" s="47"/>
      <c r="DC217" s="47"/>
      <c r="DD217" s="47"/>
      <c r="DE217" s="47"/>
      <c r="DF217" s="47"/>
      <c r="DG217" s="47"/>
      <c r="DH217" s="47"/>
      <c r="DI217" s="47"/>
      <c r="DJ217" s="47"/>
      <c r="DK217" s="47"/>
      <c r="DL217" s="47"/>
      <c r="DM217" s="47"/>
      <c r="DN217" s="47"/>
      <c r="DO217" s="47"/>
      <c r="DP217" s="47"/>
      <c r="DQ217" s="47"/>
      <c r="DR217" s="47"/>
      <c r="DS217" s="47"/>
      <c r="DT217" s="47"/>
      <c r="DU217" s="47"/>
      <c r="DV217" s="47"/>
      <c r="DW217" s="47"/>
      <c r="DX217" s="47"/>
      <c r="DY217" s="47"/>
      <c r="DZ217" s="219"/>
      <c r="EA217" s="231"/>
      <c r="EB217" s="231"/>
      <c r="EC217" s="231"/>
      <c r="ED217" s="231"/>
      <c r="EE217" s="231"/>
      <c r="EF217" s="231"/>
      <c r="EG217" s="231"/>
      <c r="EH217" s="231"/>
      <c r="EI217" s="231"/>
      <c r="EJ217" s="231"/>
      <c r="EK217" s="231"/>
      <c r="EL217" s="231"/>
      <c r="EM217" s="231"/>
      <c r="EN217" s="231"/>
      <c r="EO217" s="231"/>
      <c r="EP217" s="231"/>
      <c r="EQ217" s="231"/>
    </row>
    <row r="218" spans="1:147" s="40" customFormat="1" ht="22.9" customHeight="1" outlineLevel="1" x14ac:dyDescent="0.2">
      <c r="A218" s="149" t="s">
        <v>687</v>
      </c>
      <c r="B218" s="34" t="s">
        <v>712</v>
      </c>
      <c r="C218" s="30" t="s">
        <v>100</v>
      </c>
      <c r="D218" s="164"/>
      <c r="E218" s="164"/>
      <c r="F218" s="44" cm="1">
        <f t="array" ref="F218">SumByColor(F219:F254,REFERENCE!$G$3)</f>
        <v>0</v>
      </c>
      <c r="G218" s="44" cm="1">
        <f t="array" ref="G218">SumByColor(G219:G254,REFERENCE!$G$3)</f>
        <v>0</v>
      </c>
      <c r="H218" s="44" cm="1">
        <f t="array" ref="H218">SumByColor(H219:H254,REFERENCE!$G$3)</f>
        <v>0</v>
      </c>
      <c r="I218" s="44" cm="1">
        <f t="array" ref="I218">SumByColor(I219:I254,REFERENCE!$G$3)</f>
        <v>0</v>
      </c>
      <c r="J218" s="44" cm="1">
        <f t="array" ref="J218">SumByColor(J219:J254,REFERENCE!$G$3)</f>
        <v>0</v>
      </c>
      <c r="K218" s="44" cm="1">
        <f t="array" ref="K218">SumByColor(K219:K254,REFERENCE!$G$3)</f>
        <v>0</v>
      </c>
      <c r="L218" s="44" cm="1">
        <f t="array" ref="L218">SumByColor(L219:L254,REFERENCE!$G$3)</f>
        <v>0</v>
      </c>
      <c r="M218" s="44" cm="1">
        <f t="array" ref="M218">SumByColor(M219:M254,REFERENCE!$G$3)</f>
        <v>0</v>
      </c>
      <c r="N218" s="44" cm="1">
        <f t="array" ref="N218">SumByColor(N219:N254,REFERENCE!$G$3)</f>
        <v>0</v>
      </c>
      <c r="O218" s="44" cm="1">
        <f t="array" ref="O218">SumByColor(O219:O254,REFERENCE!$G$3)</f>
        <v>0</v>
      </c>
      <c r="P218" s="44" cm="1">
        <f t="array" ref="P218">SumByColor(P219:P254,REFERENCE!$G$3)</f>
        <v>0</v>
      </c>
      <c r="Q218" s="44" cm="1">
        <f t="array" ref="Q218">SumByColor(Q219:Q254,REFERENCE!$G$3)</f>
        <v>0</v>
      </c>
      <c r="R218" s="44" cm="1">
        <f t="array" ref="R218">SumByColor(R219:R254,REFERENCE!$G$3)</f>
        <v>0</v>
      </c>
      <c r="S218" s="44" cm="1">
        <f t="array" ref="S218">SumByColor(S219:S254,REFERENCE!$G$3)</f>
        <v>0</v>
      </c>
      <c r="T218" s="44" cm="1">
        <f t="array" ref="T218">SumByColor(T219:T254,REFERENCE!$G$3)</f>
        <v>0</v>
      </c>
      <c r="U218" s="44" cm="1">
        <f t="array" ref="U218">SumByColor(U219:U254,REFERENCE!$G$3)</f>
        <v>0</v>
      </c>
      <c r="V218" s="44" cm="1">
        <f t="array" ref="V218">SumByColor(V219:V254,REFERENCE!$G$3)</f>
        <v>0</v>
      </c>
      <c r="W218" s="44" cm="1">
        <f t="array" ref="W218">SumByColor(W219:W254,REFERENCE!$G$3)</f>
        <v>0</v>
      </c>
      <c r="X218" s="44" cm="1">
        <f t="array" ref="X218">SumByColor(X219:X254,REFERENCE!$G$3)</f>
        <v>0</v>
      </c>
      <c r="Y218" s="44" cm="1">
        <f t="array" ref="Y218">SumByColor(Y219:Y254,REFERENCE!$G$3)</f>
        <v>0</v>
      </c>
      <c r="Z218" s="44" cm="1">
        <f t="array" ref="Z218">SumByColor(Z219:Z254,REFERENCE!$G$3)</f>
        <v>0</v>
      </c>
      <c r="AA218" s="44" cm="1">
        <f t="array" ref="AA218">SumByColor(AA219:AA254,REFERENCE!$G$3)</f>
        <v>0</v>
      </c>
      <c r="AB218" s="44" cm="1">
        <f t="array" ref="AB218">SumByColor(AB219:AB254,REFERENCE!$G$3)</f>
        <v>0</v>
      </c>
      <c r="AC218" s="44" cm="1">
        <f t="array" ref="AC218">SumByColor(AC219:AC254,REFERENCE!$G$3)</f>
        <v>0</v>
      </c>
      <c r="AD218" s="44" cm="1">
        <f t="array" ref="AD218">SumByColor(AD219:AD254,REFERENCE!$G$3)</f>
        <v>0</v>
      </c>
      <c r="AE218" s="44" cm="1">
        <f t="array" ref="AE218">SumByColor(AE219:AE254,REFERENCE!$G$3)</f>
        <v>0</v>
      </c>
      <c r="AF218" s="44" cm="1">
        <f t="array" ref="AF218">SumByColor(AF219:AF254,REFERENCE!$G$3)</f>
        <v>0</v>
      </c>
      <c r="AG218" s="44" cm="1">
        <f t="array" ref="AG218">SumByColor(AG219:AG254,REFERENCE!$G$3)</f>
        <v>0</v>
      </c>
      <c r="AH218" s="44" cm="1">
        <f t="array" ref="AH218">SumByColor(AH219:AH254,REFERENCE!$G$3)</f>
        <v>0</v>
      </c>
      <c r="AI218" s="44" cm="1">
        <f t="array" ref="AI218">SumByColor(AI219:AI254,REFERENCE!$G$3)</f>
        <v>0</v>
      </c>
      <c r="AJ218" s="44" cm="1">
        <f t="array" ref="AJ218">SumByColor(AJ219:AJ254,REFERENCE!$G$3)</f>
        <v>0</v>
      </c>
      <c r="AK218" s="44" cm="1">
        <f t="array" ref="AK218">SumByColor(AK219:AK254,REFERENCE!$G$3)</f>
        <v>0</v>
      </c>
      <c r="AL218" s="44" cm="1">
        <f t="array" ref="AL218">SumByColor(AL219:AL254,REFERENCE!$G$3)</f>
        <v>0</v>
      </c>
      <c r="AM218" s="44" cm="1">
        <f t="array" ref="AM218">SumByColor(AM219:AM254,REFERENCE!$G$3)</f>
        <v>0</v>
      </c>
      <c r="AN218" s="44" cm="1">
        <f t="array" ref="AN218">SumByColor(AN219:AN254,REFERENCE!$G$3)</f>
        <v>0</v>
      </c>
      <c r="AO218" s="44" cm="1">
        <f t="array" ref="AO218">SumByColor(AO219:AO254,REFERENCE!$G$3)</f>
        <v>0</v>
      </c>
      <c r="AP218" s="44" cm="1">
        <f t="array" ref="AP218">SumByColor(AP219:AP254,REFERENCE!$G$3)</f>
        <v>0</v>
      </c>
      <c r="AQ218" s="44" cm="1">
        <f t="array" ref="AQ218">SumByColor(AQ219:AQ254,REFERENCE!$G$3)</f>
        <v>0</v>
      </c>
      <c r="AR218" s="44" cm="1">
        <f t="array" ref="AR218">SumByColor(AR219:AR254,REFERENCE!$G$3)</f>
        <v>0</v>
      </c>
      <c r="AS218" s="44" cm="1">
        <f t="array" ref="AS218">SumByColor(AS219:AS254,REFERENCE!$G$3)</f>
        <v>0</v>
      </c>
      <c r="AT218" s="44" cm="1">
        <f t="array" ref="AT218">SumByColor(AT219:AT254,REFERENCE!$G$3)</f>
        <v>0</v>
      </c>
      <c r="AU218" s="44" cm="1">
        <f t="array" ref="AU218">SumByColor(AU219:AU254,REFERENCE!$G$3)</f>
        <v>0</v>
      </c>
      <c r="AV218" s="44" cm="1">
        <f t="array" ref="AV218">SumByColor(AV219:AV254,REFERENCE!$G$3)</f>
        <v>0</v>
      </c>
      <c r="AW218" s="44" cm="1">
        <f t="array" ref="AW218">SumByColor(AW219:AW254,REFERENCE!$G$3)</f>
        <v>0</v>
      </c>
      <c r="AX218" s="44" cm="1">
        <f t="array" ref="AX218">SumByColor(AX219:AX254,REFERENCE!$G$3)</f>
        <v>0</v>
      </c>
      <c r="AY218" s="44" cm="1">
        <f t="array" ref="AY218">SumByColor(AY219:AY254,REFERENCE!$G$3)</f>
        <v>0</v>
      </c>
      <c r="AZ218" s="44" cm="1">
        <f t="array" ref="AZ218">SumByColor(AZ219:AZ254,REFERENCE!$G$3)</f>
        <v>0</v>
      </c>
      <c r="BA218" s="44" cm="1">
        <f t="array" ref="BA218">SumByColor(BA219:BA254,REFERENCE!$G$3)</f>
        <v>0</v>
      </c>
      <c r="BB218" s="44" cm="1">
        <f t="array" ref="BB218">SumByColor(BB219:BB254,REFERENCE!$G$3)</f>
        <v>0</v>
      </c>
      <c r="BC218" s="44" cm="1">
        <f t="array" ref="BC218">SumByColor(BC219:BC254,REFERENCE!$G$3)</f>
        <v>0</v>
      </c>
      <c r="BD218" s="44" cm="1">
        <f t="array" ref="BD218">SumByColor(BD219:BD254,REFERENCE!$G$3)</f>
        <v>0</v>
      </c>
      <c r="BE218" s="44" cm="1">
        <f t="array" ref="BE218">SumByColor(BE219:BE254,REFERENCE!$G$3)</f>
        <v>0</v>
      </c>
      <c r="BF218" s="44" cm="1">
        <f t="array" ref="BF218">SumByColor(BF219:BF254,REFERENCE!$G$3)</f>
        <v>0</v>
      </c>
      <c r="BG218" s="44" cm="1">
        <f t="array" ref="BG218">SumByColor(BG219:BG254,REFERENCE!$G$3)</f>
        <v>0</v>
      </c>
      <c r="BH218" s="44" cm="1">
        <f t="array" ref="BH218">SumByColor(BH219:BH254,REFERENCE!$G$3)</f>
        <v>0</v>
      </c>
      <c r="BI218" s="44" cm="1">
        <f t="array" ref="BI218">SumByColor(BI219:BI254,REFERENCE!$G$3)</f>
        <v>0</v>
      </c>
      <c r="BJ218" s="44" cm="1">
        <f t="array" ref="BJ218">SumByColor(BJ219:BJ254,REFERENCE!$G$3)</f>
        <v>0</v>
      </c>
      <c r="BK218" s="44" cm="1">
        <f t="array" ref="BK218">SumByColor(BK219:BK254,REFERENCE!$G$3)</f>
        <v>0</v>
      </c>
      <c r="BL218" s="44" cm="1">
        <f t="array" ref="BL218">SumByColor(BL219:BL254,REFERENCE!$G$3)</f>
        <v>0</v>
      </c>
      <c r="BM218" s="44" cm="1">
        <f t="array" ref="BM218">SumByColor(BM219:BM254,REFERENCE!$G$3)</f>
        <v>0</v>
      </c>
      <c r="BN218" s="44" cm="1">
        <f t="array" ref="BN218">SumByColor(BN219:BN254,REFERENCE!$G$3)</f>
        <v>0</v>
      </c>
      <c r="BO218" s="44" cm="1">
        <f t="array" ref="BO218">SumByColor(BO219:BO254,REFERENCE!$G$3)</f>
        <v>0</v>
      </c>
      <c r="BP218" s="44" cm="1">
        <f t="array" ref="BP218">SumByColor(BP219:BP254,REFERENCE!$G$3)</f>
        <v>0</v>
      </c>
      <c r="BQ218" s="44" cm="1">
        <f t="array" ref="BQ218">SumByColor(BQ219:BQ254,REFERENCE!$G$3)</f>
        <v>0</v>
      </c>
      <c r="BR218" s="44" cm="1">
        <f t="array" ref="BR218">SumByColor(BR219:BR254,REFERENCE!$G$3)</f>
        <v>0</v>
      </c>
      <c r="BS218" s="44" cm="1">
        <f t="array" ref="BS218">SumByColor(BS219:BS254,REFERENCE!$G$3)</f>
        <v>0</v>
      </c>
      <c r="BT218" s="44" cm="1">
        <f t="array" ref="BT218">SumByColor(BT219:BT254,REFERENCE!$G$3)</f>
        <v>0</v>
      </c>
      <c r="BU218" s="44" cm="1">
        <f t="array" ref="BU218">SumByColor(BU219:BU254,REFERENCE!$G$3)</f>
        <v>0</v>
      </c>
      <c r="BV218" s="44" cm="1">
        <f t="array" ref="BV218">SumByColor(BV219:BV254,REFERENCE!$G$3)</f>
        <v>0</v>
      </c>
      <c r="BW218" s="44" cm="1">
        <f t="array" ref="BW218">SumByColor(BW219:BW254,REFERENCE!$G$3)</f>
        <v>0</v>
      </c>
      <c r="BX218" s="44" cm="1">
        <f t="array" ref="BX218">SumByColor(BX219:BX254,REFERENCE!$G$3)</f>
        <v>0</v>
      </c>
      <c r="BY218" s="44" cm="1">
        <f t="array" ref="BY218">SumByColor(BY219:BY254,REFERENCE!$G$3)</f>
        <v>0</v>
      </c>
      <c r="BZ218" s="44" cm="1">
        <f t="array" ref="BZ218">SumByColor(BZ219:BZ254,REFERENCE!$G$3)</f>
        <v>0</v>
      </c>
      <c r="CA218" s="44" cm="1">
        <f t="array" ref="CA218">SumByColor(CA219:CA254,REFERENCE!$G$3)</f>
        <v>0</v>
      </c>
      <c r="CB218" s="44" cm="1">
        <f t="array" ref="CB218">SumByColor(CB219:CB254,REFERENCE!$G$3)</f>
        <v>0</v>
      </c>
      <c r="CC218" s="44" cm="1">
        <f t="array" ref="CC218">SumByColor(CC219:CC254,REFERENCE!$G$3)</f>
        <v>0</v>
      </c>
      <c r="CD218" s="44" cm="1">
        <f t="array" ref="CD218">SumByColor(CD219:CD254,REFERENCE!$G$3)</f>
        <v>0</v>
      </c>
      <c r="CE218" s="44" cm="1">
        <f t="array" ref="CE218">SumByColor(CE219:CE254,REFERENCE!$G$3)</f>
        <v>0</v>
      </c>
      <c r="CF218" s="44" cm="1">
        <f t="array" ref="CF218">SumByColor(CF219:CF254,REFERENCE!$G$3)</f>
        <v>0</v>
      </c>
      <c r="CG218" s="44" cm="1">
        <f t="array" ref="CG218">SumByColor(CG219:CG254,REFERENCE!$G$3)</f>
        <v>0</v>
      </c>
      <c r="CH218" s="44" cm="1">
        <f t="array" ref="CH218">SumByColor(CH219:CH254,REFERENCE!$G$3)</f>
        <v>0</v>
      </c>
      <c r="CI218" s="44" cm="1">
        <f t="array" ref="CI218">SumByColor(CI219:CI254,REFERENCE!$G$3)</f>
        <v>0</v>
      </c>
      <c r="CJ218" s="44" cm="1">
        <f t="array" ref="CJ218">SumByColor(CJ219:CJ254,REFERENCE!$G$3)</f>
        <v>0</v>
      </c>
      <c r="CK218" s="44" cm="1">
        <f t="array" ref="CK218">SumByColor(CK219:CK254,REFERENCE!$G$3)</f>
        <v>0</v>
      </c>
      <c r="CL218" s="44" cm="1">
        <f t="array" ref="CL218">SumByColor(CL219:CL254,REFERENCE!$G$3)</f>
        <v>0</v>
      </c>
      <c r="CM218" s="44" cm="1">
        <f t="array" ref="CM218">SumByColor(CM219:CM254,REFERENCE!$G$3)</f>
        <v>0</v>
      </c>
      <c r="CN218" s="44" cm="1">
        <f t="array" ref="CN218">SumByColor(CN219:CN254,REFERENCE!$G$3)</f>
        <v>0</v>
      </c>
      <c r="CO218" s="44" cm="1">
        <f t="array" ref="CO218">SumByColor(CO219:CO254,REFERENCE!$G$3)</f>
        <v>0</v>
      </c>
      <c r="CP218" s="44" cm="1">
        <f t="array" ref="CP218">SumByColor(CP219:CP254,REFERENCE!$G$3)</f>
        <v>0</v>
      </c>
      <c r="CQ218" s="44" cm="1">
        <f t="array" ref="CQ218">SumByColor(CQ219:CQ254,REFERENCE!$G$3)</f>
        <v>0</v>
      </c>
      <c r="CR218" s="44" cm="1">
        <f t="array" ref="CR218">SumByColor(CR219:CR254,REFERENCE!$G$3)</f>
        <v>0</v>
      </c>
      <c r="CS218" s="44" cm="1">
        <f t="array" ref="CS218">SumByColor(CS219:CS254,REFERENCE!$G$3)</f>
        <v>0</v>
      </c>
      <c r="CT218" s="44" cm="1">
        <f t="array" ref="CT218">SumByColor(CT219:CT254,REFERENCE!$G$3)</f>
        <v>0</v>
      </c>
      <c r="CU218" s="44" cm="1">
        <f t="array" ref="CU218">SumByColor(CU219:CU254,REFERENCE!$G$3)</f>
        <v>0</v>
      </c>
      <c r="CV218" s="44" cm="1">
        <f t="array" ref="CV218">SumByColor(CV219:CV254,REFERENCE!$G$3)</f>
        <v>0</v>
      </c>
      <c r="CW218" s="44" cm="1">
        <f t="array" ref="CW218">SumByColor(CW219:CW254,REFERENCE!$G$3)</f>
        <v>0</v>
      </c>
      <c r="CX218" s="44" cm="1">
        <f t="array" ref="CX218">SumByColor(CX219:CX254,REFERENCE!$G$3)</f>
        <v>0</v>
      </c>
      <c r="CY218" s="44" cm="1">
        <f t="array" ref="CY218">SumByColor(CY219:CY254,REFERENCE!$G$3)</f>
        <v>0</v>
      </c>
      <c r="CZ218" s="44" cm="1">
        <f t="array" ref="CZ218">SumByColor(CZ219:CZ254,REFERENCE!$G$3)</f>
        <v>0</v>
      </c>
      <c r="DA218" s="44" cm="1">
        <f t="array" ref="DA218">SumByColor(DA219:DA254,REFERENCE!$G$3)</f>
        <v>0</v>
      </c>
      <c r="DB218" s="44" cm="1">
        <f t="array" ref="DB218">SumByColor(DB219:DB254,REFERENCE!$G$3)</f>
        <v>0</v>
      </c>
      <c r="DC218" s="44" cm="1">
        <f t="array" ref="DC218">SumByColor(DC219:DC254,REFERENCE!$G$3)</f>
        <v>0</v>
      </c>
      <c r="DD218" s="44" cm="1">
        <f t="array" ref="DD218">SumByColor(DD219:DD254,REFERENCE!$G$3)</f>
        <v>0</v>
      </c>
      <c r="DE218" s="44" cm="1">
        <f t="array" ref="DE218">SumByColor(DE219:DE254,REFERENCE!$G$3)</f>
        <v>0</v>
      </c>
      <c r="DF218" s="44" cm="1">
        <f t="array" ref="DF218">SumByColor(DF219:DF254,REFERENCE!$G$3)</f>
        <v>0</v>
      </c>
      <c r="DG218" s="44" cm="1">
        <f t="array" ref="DG218">SumByColor(DG219:DG254,REFERENCE!$G$3)</f>
        <v>0</v>
      </c>
      <c r="DH218" s="44" cm="1">
        <f t="array" ref="DH218">SumByColor(DH219:DH254,REFERENCE!$G$3)</f>
        <v>0</v>
      </c>
      <c r="DI218" s="44" cm="1">
        <f t="array" ref="DI218">SumByColor(DI219:DI254,REFERENCE!$G$3)</f>
        <v>0</v>
      </c>
      <c r="DJ218" s="44" cm="1">
        <f t="array" ref="DJ218">SumByColor(DJ219:DJ254,REFERENCE!$G$3)</f>
        <v>0</v>
      </c>
      <c r="DK218" s="44" cm="1">
        <f t="array" ref="DK218">SumByColor(DK219:DK254,REFERENCE!$G$3)</f>
        <v>0</v>
      </c>
      <c r="DL218" s="44" cm="1">
        <f t="array" ref="DL218">SumByColor(DL219:DL254,REFERENCE!$G$3)</f>
        <v>0</v>
      </c>
      <c r="DM218" s="44" cm="1">
        <f t="array" ref="DM218">SumByColor(DM219:DM254,REFERENCE!$G$3)</f>
        <v>0</v>
      </c>
      <c r="DN218" s="44" cm="1">
        <f t="array" ref="DN218">SumByColor(DN219:DN254,REFERENCE!$G$3)</f>
        <v>0</v>
      </c>
      <c r="DO218" s="44" cm="1">
        <f t="array" ref="DO218">SumByColor(DO219:DO254,REFERENCE!$G$3)</f>
        <v>0</v>
      </c>
      <c r="DP218" s="44" cm="1">
        <f t="array" ref="DP218">SumByColor(DP219:DP254,REFERENCE!$G$3)</f>
        <v>0</v>
      </c>
      <c r="DQ218" s="44" cm="1">
        <f t="array" ref="DQ218">SumByColor(DQ219:DQ254,REFERENCE!$G$3)</f>
        <v>0</v>
      </c>
      <c r="DR218" s="44" cm="1">
        <f t="array" ref="DR218">SumByColor(DR219:DR254,REFERENCE!$G$3)</f>
        <v>0</v>
      </c>
      <c r="DS218" s="44" cm="1">
        <f t="array" ref="DS218">SumByColor(DS219:DS254,REFERENCE!$G$3)</f>
        <v>0</v>
      </c>
      <c r="DT218" s="44" cm="1">
        <f t="array" ref="DT218">SumByColor(DT219:DT254,REFERENCE!$G$3)</f>
        <v>0</v>
      </c>
      <c r="DU218" s="44" cm="1">
        <f t="array" ref="DU218">SumByColor(DU219:DU254,REFERENCE!$G$3)</f>
        <v>0</v>
      </c>
      <c r="DV218" s="44" cm="1">
        <f t="array" ref="DV218">SumByColor(DV219:DV254,REFERENCE!$G$3)</f>
        <v>0</v>
      </c>
      <c r="DW218" s="44" cm="1">
        <f t="array" ref="DW218">SumByColor(DW219:DW254,REFERENCE!$G$3)</f>
        <v>0</v>
      </c>
      <c r="DX218" s="44" cm="1">
        <f t="array" ref="DX218">SumByColor(DX219:DX254,REFERENCE!$G$3)</f>
        <v>0</v>
      </c>
      <c r="DY218" s="44" cm="1">
        <f t="array" ref="DY218">SumByColor(DY219:DY254,REFERENCE!$G$3)</f>
        <v>0</v>
      </c>
      <c r="DZ218" s="220"/>
      <c r="EA218" s="234"/>
      <c r="EB218" s="234"/>
      <c r="EC218" s="234"/>
      <c r="ED218" s="234"/>
      <c r="EE218" s="234"/>
      <c r="EF218" s="234"/>
      <c r="EG218" s="234"/>
      <c r="EH218" s="234"/>
      <c r="EI218" s="234"/>
      <c r="EJ218" s="234"/>
      <c r="EK218" s="234"/>
      <c r="EL218" s="234"/>
      <c r="EM218" s="234"/>
      <c r="EN218" s="234"/>
      <c r="EO218" s="234"/>
      <c r="EP218" s="234"/>
      <c r="EQ218" s="234"/>
    </row>
    <row r="219" spans="1:147" customFormat="1" ht="22.5" customHeight="1" outlineLevel="2" x14ac:dyDescent="0.2">
      <c r="A219" s="169" t="s">
        <v>732</v>
      </c>
      <c r="B219" s="170" t="s">
        <v>733</v>
      </c>
      <c r="C219" s="171"/>
      <c r="D219" s="172"/>
      <c r="E219" s="173"/>
      <c r="F219" s="175">
        <f>SUM(F220:F230)</f>
        <v>0</v>
      </c>
      <c r="G219" s="175">
        <f>SUM(G220:G230)</f>
        <v>0</v>
      </c>
      <c r="H219" s="175">
        <f>SUM(H220:H230)</f>
        <v>0</v>
      </c>
      <c r="I219" s="175">
        <f t="shared" ref="I219:BR219" si="63">SUM(I221:I229)</f>
        <v>0</v>
      </c>
      <c r="J219" s="175">
        <f t="shared" si="63"/>
        <v>0</v>
      </c>
      <c r="K219" s="175">
        <f t="shared" si="63"/>
        <v>0</v>
      </c>
      <c r="L219" s="175">
        <f t="shared" si="63"/>
        <v>0</v>
      </c>
      <c r="M219" s="175">
        <f t="shared" si="63"/>
        <v>0</v>
      </c>
      <c r="N219" s="175">
        <f t="shared" si="63"/>
        <v>0</v>
      </c>
      <c r="O219" s="175">
        <f t="shared" si="63"/>
        <v>0</v>
      </c>
      <c r="P219" s="175">
        <f t="shared" si="63"/>
        <v>0</v>
      </c>
      <c r="Q219" s="175">
        <f t="shared" si="63"/>
        <v>0</v>
      </c>
      <c r="R219" s="175">
        <f t="shared" si="63"/>
        <v>0</v>
      </c>
      <c r="S219" s="175">
        <f t="shared" si="63"/>
        <v>0</v>
      </c>
      <c r="T219" s="175">
        <f t="shared" si="63"/>
        <v>0</v>
      </c>
      <c r="U219" s="175">
        <f t="shared" si="63"/>
        <v>0</v>
      </c>
      <c r="V219" s="175">
        <f t="shared" si="63"/>
        <v>0</v>
      </c>
      <c r="W219" s="175">
        <f t="shared" si="63"/>
        <v>0</v>
      </c>
      <c r="X219" s="175">
        <f t="shared" si="63"/>
        <v>0</v>
      </c>
      <c r="Y219" s="175">
        <f t="shared" si="63"/>
        <v>0</v>
      </c>
      <c r="Z219" s="175">
        <f t="shared" si="63"/>
        <v>0</v>
      </c>
      <c r="AA219" s="175">
        <f t="shared" si="63"/>
        <v>0</v>
      </c>
      <c r="AB219" s="175">
        <f t="shared" si="63"/>
        <v>0</v>
      </c>
      <c r="AC219" s="175">
        <f t="shared" si="63"/>
        <v>0</v>
      </c>
      <c r="AD219" s="175">
        <f t="shared" si="63"/>
        <v>0</v>
      </c>
      <c r="AE219" s="175">
        <f t="shared" si="63"/>
        <v>0</v>
      </c>
      <c r="AF219" s="175">
        <f t="shared" si="63"/>
        <v>0</v>
      </c>
      <c r="AG219" s="175">
        <f t="shared" si="63"/>
        <v>0</v>
      </c>
      <c r="AH219" s="175">
        <f t="shared" si="63"/>
        <v>0</v>
      </c>
      <c r="AI219" s="175">
        <f t="shared" si="63"/>
        <v>0</v>
      </c>
      <c r="AJ219" s="175">
        <f t="shared" si="63"/>
        <v>0</v>
      </c>
      <c r="AK219" s="175">
        <f t="shared" si="63"/>
        <v>0</v>
      </c>
      <c r="AL219" s="175">
        <f t="shared" si="63"/>
        <v>0</v>
      </c>
      <c r="AM219" s="175">
        <f t="shared" si="63"/>
        <v>0</v>
      </c>
      <c r="AN219" s="175">
        <f t="shared" si="63"/>
        <v>0</v>
      </c>
      <c r="AO219" s="175">
        <f t="shared" si="63"/>
        <v>0</v>
      </c>
      <c r="AP219" s="175">
        <f t="shared" si="63"/>
        <v>0</v>
      </c>
      <c r="AQ219" s="175">
        <f t="shared" si="63"/>
        <v>0</v>
      </c>
      <c r="AR219" s="175">
        <f t="shared" si="63"/>
        <v>0</v>
      </c>
      <c r="AS219" s="175">
        <f t="shared" si="63"/>
        <v>0</v>
      </c>
      <c r="AT219" s="175">
        <f t="shared" si="63"/>
        <v>0</v>
      </c>
      <c r="AU219" s="175">
        <f t="shared" si="63"/>
        <v>0</v>
      </c>
      <c r="AV219" s="175">
        <f t="shared" si="63"/>
        <v>0</v>
      </c>
      <c r="AW219" s="175">
        <f t="shared" si="63"/>
        <v>0</v>
      </c>
      <c r="AX219" s="175">
        <f t="shared" si="63"/>
        <v>0</v>
      </c>
      <c r="AY219" s="175">
        <f t="shared" si="63"/>
        <v>0</v>
      </c>
      <c r="AZ219" s="175">
        <f t="shared" si="63"/>
        <v>0</v>
      </c>
      <c r="BA219" s="175">
        <f t="shared" si="63"/>
        <v>0</v>
      </c>
      <c r="BB219" s="175">
        <f t="shared" si="63"/>
        <v>0</v>
      </c>
      <c r="BC219" s="175">
        <f t="shared" si="63"/>
        <v>0</v>
      </c>
      <c r="BD219" s="175">
        <f t="shared" si="63"/>
        <v>0</v>
      </c>
      <c r="BE219" s="175">
        <f t="shared" si="63"/>
        <v>0</v>
      </c>
      <c r="BF219" s="175">
        <f t="shared" si="63"/>
        <v>0</v>
      </c>
      <c r="BG219" s="175">
        <f t="shared" si="63"/>
        <v>0</v>
      </c>
      <c r="BH219" s="175">
        <f t="shared" si="63"/>
        <v>0</v>
      </c>
      <c r="BI219" s="175">
        <f t="shared" si="63"/>
        <v>0</v>
      </c>
      <c r="BJ219" s="175">
        <f t="shared" si="63"/>
        <v>0</v>
      </c>
      <c r="BK219" s="175">
        <f t="shared" si="63"/>
        <v>0</v>
      </c>
      <c r="BL219" s="175">
        <f t="shared" si="63"/>
        <v>0</v>
      </c>
      <c r="BM219" s="175">
        <f t="shared" si="63"/>
        <v>0</v>
      </c>
      <c r="BN219" s="175">
        <f t="shared" si="63"/>
        <v>0</v>
      </c>
      <c r="BO219" s="175">
        <f t="shared" si="63"/>
        <v>0</v>
      </c>
      <c r="BP219" s="175">
        <f t="shared" si="63"/>
        <v>0</v>
      </c>
      <c r="BQ219" s="175">
        <f t="shared" si="63"/>
        <v>0</v>
      </c>
      <c r="BR219" s="175">
        <f t="shared" si="63"/>
        <v>0</v>
      </c>
      <c r="BS219" s="175">
        <f t="shared" ref="BS219:DT219" si="64">SUM(BS221:BS229)</f>
        <v>0</v>
      </c>
      <c r="BT219" s="175">
        <f t="shared" si="64"/>
        <v>0</v>
      </c>
      <c r="BU219" s="175">
        <f t="shared" si="64"/>
        <v>0</v>
      </c>
      <c r="BV219" s="175">
        <f t="shared" si="64"/>
        <v>0</v>
      </c>
      <c r="BW219" s="175">
        <f t="shared" si="64"/>
        <v>0</v>
      </c>
      <c r="BX219" s="175">
        <f t="shared" si="64"/>
        <v>0</v>
      </c>
      <c r="BY219" s="175">
        <f t="shared" si="64"/>
        <v>0</v>
      </c>
      <c r="BZ219" s="175">
        <f t="shared" si="64"/>
        <v>0</v>
      </c>
      <c r="CA219" s="175">
        <f t="shared" si="64"/>
        <v>0</v>
      </c>
      <c r="CB219" s="175">
        <f t="shared" si="64"/>
        <v>0</v>
      </c>
      <c r="CC219" s="175">
        <f t="shared" si="64"/>
        <v>0</v>
      </c>
      <c r="CD219" s="175">
        <f t="shared" si="64"/>
        <v>0</v>
      </c>
      <c r="CE219" s="175">
        <f t="shared" si="64"/>
        <v>0</v>
      </c>
      <c r="CF219" s="175">
        <f t="shared" si="64"/>
        <v>0</v>
      </c>
      <c r="CG219" s="175">
        <f t="shared" si="64"/>
        <v>0</v>
      </c>
      <c r="CH219" s="175">
        <f t="shared" si="64"/>
        <v>0</v>
      </c>
      <c r="CI219" s="175">
        <f t="shared" si="64"/>
        <v>0</v>
      </c>
      <c r="CJ219" s="175">
        <f t="shared" si="64"/>
        <v>0</v>
      </c>
      <c r="CK219" s="175">
        <f t="shared" si="64"/>
        <v>0</v>
      </c>
      <c r="CL219" s="175">
        <f t="shared" si="64"/>
        <v>0</v>
      </c>
      <c r="CM219" s="175">
        <f t="shared" si="64"/>
        <v>0</v>
      </c>
      <c r="CN219" s="175">
        <f t="shared" si="64"/>
        <v>0</v>
      </c>
      <c r="CO219" s="175">
        <f t="shared" si="64"/>
        <v>0</v>
      </c>
      <c r="CP219" s="175">
        <f t="shared" si="64"/>
        <v>0</v>
      </c>
      <c r="CQ219" s="175">
        <f t="shared" si="64"/>
        <v>0</v>
      </c>
      <c r="CR219" s="175">
        <f t="shared" si="64"/>
        <v>0</v>
      </c>
      <c r="CS219" s="175">
        <f t="shared" si="64"/>
        <v>0</v>
      </c>
      <c r="CT219" s="175">
        <f t="shared" si="64"/>
        <v>0</v>
      </c>
      <c r="CU219" s="175">
        <f t="shared" si="64"/>
        <v>0</v>
      </c>
      <c r="CV219" s="175">
        <f t="shared" si="64"/>
        <v>0</v>
      </c>
      <c r="CW219" s="175">
        <f t="shared" si="64"/>
        <v>0</v>
      </c>
      <c r="CX219" s="175">
        <f t="shared" si="64"/>
        <v>0</v>
      </c>
      <c r="CY219" s="175">
        <f t="shared" si="64"/>
        <v>0</v>
      </c>
      <c r="CZ219" s="175">
        <f t="shared" si="64"/>
        <v>0</v>
      </c>
      <c r="DA219" s="175">
        <f t="shared" si="64"/>
        <v>0</v>
      </c>
      <c r="DB219" s="175">
        <f t="shared" si="64"/>
        <v>0</v>
      </c>
      <c r="DC219" s="175">
        <f t="shared" si="64"/>
        <v>0</v>
      </c>
      <c r="DD219" s="175">
        <f t="shared" si="64"/>
        <v>0</v>
      </c>
      <c r="DE219" s="175">
        <f t="shared" si="64"/>
        <v>0</v>
      </c>
      <c r="DF219" s="175">
        <f t="shared" si="64"/>
        <v>0</v>
      </c>
      <c r="DG219" s="175">
        <f t="shared" si="64"/>
        <v>0</v>
      </c>
      <c r="DH219" s="175">
        <f t="shared" si="64"/>
        <v>0</v>
      </c>
      <c r="DI219" s="175">
        <f t="shared" si="64"/>
        <v>0</v>
      </c>
      <c r="DJ219" s="175">
        <f t="shared" si="64"/>
        <v>0</v>
      </c>
      <c r="DK219" s="175">
        <f t="shared" si="64"/>
        <v>0</v>
      </c>
      <c r="DL219" s="175">
        <f t="shared" si="64"/>
        <v>0</v>
      </c>
      <c r="DM219" s="175">
        <f t="shared" si="64"/>
        <v>0</v>
      </c>
      <c r="DN219" s="175">
        <f t="shared" si="64"/>
        <v>0</v>
      </c>
      <c r="DO219" s="175">
        <f t="shared" si="64"/>
        <v>0</v>
      </c>
      <c r="DP219" s="175">
        <f t="shared" si="64"/>
        <v>0</v>
      </c>
      <c r="DQ219" s="175">
        <f t="shared" si="64"/>
        <v>0</v>
      </c>
      <c r="DR219" s="175">
        <f t="shared" si="64"/>
        <v>0</v>
      </c>
      <c r="DS219" s="175">
        <f t="shared" si="64"/>
        <v>0</v>
      </c>
      <c r="DT219" s="175">
        <f t="shared" si="64"/>
        <v>0</v>
      </c>
      <c r="DU219" s="175">
        <f>SUMPRODUCT($D$220:$D$229,$E$220:$E$229,DU220:DU229)</f>
        <v>0</v>
      </c>
      <c r="DV219" s="175">
        <f>SUMPRODUCT($D$220:$D$229,$E$220:$E$229,DV220:DV229)</f>
        <v>0</v>
      </c>
      <c r="DW219" s="175">
        <f>SUMPRODUCT($D$220:$D$229,$E$220:$E$229,DW220:DW229)</f>
        <v>0</v>
      </c>
      <c r="DX219" s="175">
        <f>SUMPRODUCT($D$220:$D$229,$E$220:$E$229,DX220:DX229)</f>
        <v>0</v>
      </c>
      <c r="DY219" s="175">
        <f>SUMPRODUCT($D$220:$D$229,$E$220:$E$229,DY220:DY229)</f>
        <v>0</v>
      </c>
      <c r="DZ219" s="221"/>
      <c r="EA219" s="235"/>
      <c r="EB219" s="235"/>
      <c r="EC219" s="235"/>
      <c r="ED219" s="235"/>
      <c r="EE219" s="235"/>
      <c r="EF219" s="235"/>
      <c r="EG219" s="235"/>
      <c r="EH219" s="235"/>
      <c r="EI219" s="235"/>
      <c r="EJ219" s="235"/>
      <c r="EK219" s="235"/>
      <c r="EL219" s="235"/>
      <c r="EM219" s="235"/>
      <c r="EN219" s="235"/>
      <c r="EO219" s="235"/>
      <c r="EP219" s="235"/>
      <c r="EQ219" s="235"/>
    </row>
    <row r="220" spans="1:147" ht="22.9" customHeight="1" outlineLevel="4" x14ac:dyDescent="0.2">
      <c r="A220" s="146" t="s">
        <v>734</v>
      </c>
      <c r="B220" s="53" t="s">
        <v>735</v>
      </c>
      <c r="C220" s="50" t="s">
        <v>100</v>
      </c>
      <c r="D220" s="165">
        <v>1</v>
      </c>
      <c r="E220" s="158">
        <v>1</v>
      </c>
      <c r="F220" s="52">
        <f>SUM(H220:EQ220)*E220*Table1[[#This Row],[Cycles]]</f>
        <v>0</v>
      </c>
      <c r="G220" s="46">
        <f>SUMPRODUCT($H$2:$EQ$2,$H220:$EQ220)*E220*D220</f>
        <v>0</v>
      </c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7"/>
      <c r="BA220" s="47"/>
      <c r="BB220" s="47"/>
      <c r="BC220" s="47"/>
      <c r="BD220" s="47"/>
      <c r="BE220" s="47"/>
      <c r="BF220" s="47"/>
      <c r="BG220" s="47"/>
      <c r="BH220" s="47"/>
      <c r="BI220" s="47"/>
      <c r="BJ220" s="47"/>
      <c r="BK220" s="47"/>
      <c r="BL220" s="47"/>
      <c r="BM220" s="47"/>
      <c r="BN220" s="47"/>
      <c r="BO220" s="47"/>
      <c r="BP220" s="47"/>
      <c r="BQ220" s="47"/>
      <c r="BR220" s="47"/>
      <c r="BS220" s="47"/>
      <c r="BT220" s="47"/>
      <c r="BU220" s="47"/>
      <c r="BV220" s="47"/>
      <c r="BW220" s="47"/>
      <c r="BX220" s="47"/>
      <c r="BY220" s="47"/>
      <c r="BZ220" s="47"/>
      <c r="CA220" s="47"/>
      <c r="CB220" s="47"/>
      <c r="CC220" s="47"/>
      <c r="CD220" s="47"/>
      <c r="CE220" s="47"/>
      <c r="CF220" s="47"/>
      <c r="CG220" s="47"/>
      <c r="CH220" s="47"/>
      <c r="CI220" s="47"/>
      <c r="CJ220" s="47"/>
      <c r="CK220" s="47"/>
      <c r="CL220" s="47"/>
      <c r="CM220" s="47"/>
      <c r="CN220" s="47"/>
      <c r="CO220" s="47"/>
      <c r="CP220" s="47"/>
      <c r="CQ220" s="47"/>
      <c r="CR220" s="47"/>
      <c r="CS220" s="47"/>
      <c r="CT220" s="47"/>
      <c r="CU220" s="47"/>
      <c r="CV220" s="47"/>
      <c r="CW220" s="47"/>
      <c r="CX220" s="47"/>
      <c r="CY220" s="47"/>
      <c r="CZ220" s="47"/>
      <c r="DA220" s="47"/>
      <c r="DB220" s="47"/>
      <c r="DC220" s="47"/>
      <c r="DD220" s="47"/>
      <c r="DE220" s="47"/>
      <c r="DF220" s="47"/>
      <c r="DG220" s="47"/>
      <c r="DH220" s="47"/>
      <c r="DI220" s="47"/>
      <c r="DJ220" s="47"/>
      <c r="DK220" s="47"/>
      <c r="DL220" s="47"/>
      <c r="DM220" s="47"/>
      <c r="DN220" s="47"/>
      <c r="DO220" s="47"/>
      <c r="DP220" s="47"/>
      <c r="DQ220" s="47"/>
      <c r="DR220" s="47"/>
      <c r="DS220" s="47"/>
      <c r="DT220" s="47"/>
      <c r="DU220" s="47"/>
      <c r="DV220" s="47"/>
      <c r="DW220" s="47"/>
      <c r="DX220" s="47"/>
      <c r="DY220" s="47"/>
      <c r="DZ220" s="219"/>
      <c r="EA220" s="231"/>
      <c r="EB220" s="231"/>
      <c r="EC220" s="231"/>
      <c r="ED220" s="231"/>
      <c r="EE220" s="231"/>
      <c r="EF220" s="231"/>
      <c r="EG220" s="231"/>
      <c r="EH220" s="231"/>
      <c r="EI220" s="231"/>
      <c r="EJ220" s="231"/>
      <c r="EK220" s="231"/>
      <c r="EL220" s="231"/>
      <c r="EM220" s="231"/>
      <c r="EN220" s="231"/>
      <c r="EO220" s="231"/>
      <c r="EP220" s="231"/>
      <c r="EQ220" s="231"/>
    </row>
    <row r="221" spans="1:147" ht="22.9" customHeight="1" outlineLevel="4" x14ac:dyDescent="0.2">
      <c r="A221" s="146" t="s">
        <v>736</v>
      </c>
      <c r="B221" s="53" t="s">
        <v>737</v>
      </c>
      <c r="C221" s="50" t="s">
        <v>100</v>
      </c>
      <c r="D221" s="165">
        <v>1</v>
      </c>
      <c r="E221" s="158">
        <v>1</v>
      </c>
      <c r="F221" s="52">
        <f>SUM(H221:DY221)*E221*Table1[[#This Row],[Cycles]]</f>
        <v>0</v>
      </c>
      <c r="G221" s="46">
        <f>SUMPRODUCT($H$2:$DY$2,$H221:$DY221)*E221*D221</f>
        <v>0</v>
      </c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7"/>
      <c r="BA221" s="47"/>
      <c r="BB221" s="47"/>
      <c r="BC221" s="47"/>
      <c r="BD221" s="47"/>
      <c r="BE221" s="47"/>
      <c r="BF221" s="47"/>
      <c r="BG221" s="47"/>
      <c r="BH221" s="47"/>
      <c r="BI221" s="47"/>
      <c r="BJ221" s="47"/>
      <c r="BK221" s="47"/>
      <c r="BL221" s="47"/>
      <c r="BM221" s="47"/>
      <c r="BN221" s="47"/>
      <c r="BO221" s="47"/>
      <c r="BP221" s="47"/>
      <c r="BQ221" s="47"/>
      <c r="BR221" s="47"/>
      <c r="BS221" s="47"/>
      <c r="BT221" s="47"/>
      <c r="BU221" s="47"/>
      <c r="BV221" s="47"/>
      <c r="BW221" s="47"/>
      <c r="BX221" s="47"/>
      <c r="BY221" s="47"/>
      <c r="BZ221" s="47"/>
      <c r="CA221" s="47"/>
      <c r="CB221" s="47"/>
      <c r="CC221" s="47"/>
      <c r="CD221" s="47"/>
      <c r="CE221" s="47"/>
      <c r="CF221" s="47"/>
      <c r="CG221" s="47"/>
      <c r="CH221" s="47"/>
      <c r="CI221" s="47"/>
      <c r="CJ221" s="47"/>
      <c r="CK221" s="47"/>
      <c r="CL221" s="47"/>
      <c r="CM221" s="47"/>
      <c r="CN221" s="47"/>
      <c r="CO221" s="47"/>
      <c r="CP221" s="47"/>
      <c r="CQ221" s="47"/>
      <c r="CR221" s="47"/>
      <c r="CS221" s="47"/>
      <c r="CT221" s="47"/>
      <c r="CU221" s="47"/>
      <c r="CV221" s="47"/>
      <c r="CW221" s="47"/>
      <c r="CX221" s="47"/>
      <c r="CY221" s="47"/>
      <c r="CZ221" s="47"/>
      <c r="DA221" s="47"/>
      <c r="DB221" s="47"/>
      <c r="DC221" s="47"/>
      <c r="DD221" s="47"/>
      <c r="DE221" s="47"/>
      <c r="DF221" s="47"/>
      <c r="DG221" s="47"/>
      <c r="DH221" s="47"/>
      <c r="DI221" s="47"/>
      <c r="DJ221" s="47"/>
      <c r="DK221" s="47"/>
      <c r="DL221" s="47"/>
      <c r="DM221" s="47"/>
      <c r="DN221" s="47"/>
      <c r="DO221" s="47"/>
      <c r="DP221" s="47"/>
      <c r="DQ221" s="47"/>
      <c r="DR221" s="47"/>
      <c r="DS221" s="47"/>
      <c r="DT221" s="47"/>
      <c r="DU221" s="47"/>
      <c r="DV221" s="47"/>
      <c r="DW221" s="47"/>
      <c r="DX221" s="47"/>
      <c r="DY221" s="47"/>
      <c r="DZ221" s="219"/>
      <c r="EA221" s="231"/>
      <c r="EB221" s="231"/>
      <c r="EC221" s="231"/>
      <c r="ED221" s="231"/>
      <c r="EE221" s="231"/>
      <c r="EF221" s="231"/>
      <c r="EG221" s="231"/>
      <c r="EH221" s="231"/>
      <c r="EI221" s="231"/>
      <c r="EJ221" s="231"/>
      <c r="EK221" s="231"/>
      <c r="EL221" s="231"/>
      <c r="EM221" s="231"/>
      <c r="EN221" s="231"/>
      <c r="EO221" s="231"/>
      <c r="EP221" s="231"/>
      <c r="EQ221" s="231"/>
    </row>
    <row r="222" spans="1:147" ht="21.75" customHeight="1" outlineLevel="4" x14ac:dyDescent="0.2">
      <c r="A222" s="146" t="s">
        <v>738</v>
      </c>
      <c r="B222" s="53" t="s">
        <v>739</v>
      </c>
      <c r="C222" s="50" t="s">
        <v>100</v>
      </c>
      <c r="D222" s="165">
        <v>1</v>
      </c>
      <c r="E222" s="158">
        <v>1</v>
      </c>
      <c r="F222" s="52">
        <f>SUM(H222:DY222)*E222*Table1[[#This Row],[Cycles]]</f>
        <v>0</v>
      </c>
      <c r="G222" s="46">
        <f t="shared" ref="G222:G229" si="65">SUMPRODUCT($H$2:$DY$2,$H222:$DY222)*E222*D222</f>
        <v>0</v>
      </c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  <c r="AN222" s="47"/>
      <c r="AO222" s="47"/>
      <c r="AP222" s="47"/>
      <c r="AQ222" s="47"/>
      <c r="AR222" s="47"/>
      <c r="AS222" s="47"/>
      <c r="AT222" s="47"/>
      <c r="AU222" s="47"/>
      <c r="AV222" s="47"/>
      <c r="AW222" s="47"/>
      <c r="AX222" s="47"/>
      <c r="AY222" s="47"/>
      <c r="AZ222" s="47"/>
      <c r="BA222" s="47"/>
      <c r="BB222" s="47"/>
      <c r="BC222" s="47"/>
      <c r="BD222" s="47"/>
      <c r="BE222" s="47"/>
      <c r="BF222" s="47"/>
      <c r="BG222" s="47"/>
      <c r="BH222" s="47"/>
      <c r="BI222" s="47"/>
      <c r="BJ222" s="47"/>
      <c r="BK222" s="47"/>
      <c r="BL222" s="47"/>
      <c r="BM222" s="47"/>
      <c r="BN222" s="47"/>
      <c r="BO222" s="47"/>
      <c r="BP222" s="47"/>
      <c r="BQ222" s="47"/>
      <c r="BR222" s="47"/>
      <c r="BS222" s="47"/>
      <c r="BT222" s="47"/>
      <c r="BU222" s="47"/>
      <c r="BV222" s="47"/>
      <c r="BW222" s="47"/>
      <c r="BX222" s="47"/>
      <c r="BY222" s="47"/>
      <c r="BZ222" s="47"/>
      <c r="CA222" s="47"/>
      <c r="CB222" s="47"/>
      <c r="CC222" s="47"/>
      <c r="CD222" s="47"/>
      <c r="CE222" s="47"/>
      <c r="CF222" s="47"/>
      <c r="CG222" s="47"/>
      <c r="CH222" s="47"/>
      <c r="CI222" s="47"/>
      <c r="CJ222" s="47"/>
      <c r="CK222" s="47"/>
      <c r="CL222" s="47"/>
      <c r="CM222" s="47"/>
      <c r="CN222" s="47"/>
      <c r="CO222" s="47"/>
      <c r="CP222" s="47"/>
      <c r="CQ222" s="47"/>
      <c r="CR222" s="47"/>
      <c r="CS222" s="47"/>
      <c r="CT222" s="47"/>
      <c r="CU222" s="47"/>
      <c r="CV222" s="47"/>
      <c r="CW222" s="47"/>
      <c r="CX222" s="47"/>
      <c r="CY222" s="47"/>
      <c r="CZ222" s="47"/>
      <c r="DA222" s="47"/>
      <c r="DB222" s="47"/>
      <c r="DC222" s="47"/>
      <c r="DD222" s="47"/>
      <c r="DE222" s="47"/>
      <c r="DF222" s="47"/>
      <c r="DG222" s="47"/>
      <c r="DH222" s="47"/>
      <c r="DI222" s="47"/>
      <c r="DJ222" s="47"/>
      <c r="DK222" s="47"/>
      <c r="DL222" s="47"/>
      <c r="DM222" s="47"/>
      <c r="DN222" s="47"/>
      <c r="DO222" s="47"/>
      <c r="DP222" s="47"/>
      <c r="DQ222" s="47"/>
      <c r="DR222" s="47"/>
      <c r="DS222" s="47"/>
      <c r="DT222" s="47"/>
      <c r="DU222" s="47"/>
      <c r="DV222" s="47"/>
      <c r="DW222" s="47"/>
      <c r="DX222" s="47"/>
      <c r="DY222" s="47"/>
      <c r="DZ222" s="219"/>
      <c r="EA222" s="231"/>
      <c r="EB222" s="231"/>
      <c r="EC222" s="231"/>
      <c r="ED222" s="231"/>
      <c r="EE222" s="231"/>
      <c r="EF222" s="231"/>
      <c r="EG222" s="231"/>
      <c r="EH222" s="231"/>
      <c r="EI222" s="231"/>
      <c r="EJ222" s="231"/>
      <c r="EK222" s="231"/>
      <c r="EL222" s="231"/>
      <c r="EM222" s="231"/>
      <c r="EN222" s="231"/>
      <c r="EO222" s="231"/>
      <c r="EP222" s="231"/>
      <c r="EQ222" s="231"/>
    </row>
    <row r="223" spans="1:147" ht="22.9" customHeight="1" outlineLevel="4" x14ac:dyDescent="0.2">
      <c r="A223" s="146" t="s">
        <v>740</v>
      </c>
      <c r="B223" s="53" t="s">
        <v>741</v>
      </c>
      <c r="C223" s="50" t="s">
        <v>100</v>
      </c>
      <c r="D223" s="165">
        <v>1</v>
      </c>
      <c r="E223" s="158">
        <v>1</v>
      </c>
      <c r="F223" s="52">
        <f>SUM(H223:DY223)*E223*Table1[[#This Row],[Cycles]]</f>
        <v>0</v>
      </c>
      <c r="G223" s="46">
        <f t="shared" si="65"/>
        <v>0</v>
      </c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47"/>
      <c r="AO223" s="47"/>
      <c r="AP223" s="47"/>
      <c r="AQ223" s="47"/>
      <c r="AR223" s="47"/>
      <c r="AS223" s="47"/>
      <c r="AT223" s="47"/>
      <c r="AU223" s="47"/>
      <c r="AV223" s="47"/>
      <c r="AW223" s="47"/>
      <c r="AX223" s="47"/>
      <c r="AY223" s="47"/>
      <c r="AZ223" s="47"/>
      <c r="BA223" s="47"/>
      <c r="BB223" s="47"/>
      <c r="BC223" s="47"/>
      <c r="BD223" s="47"/>
      <c r="BE223" s="47"/>
      <c r="BF223" s="47"/>
      <c r="BG223" s="47"/>
      <c r="BH223" s="47"/>
      <c r="BI223" s="47"/>
      <c r="BJ223" s="47"/>
      <c r="BK223" s="47"/>
      <c r="BL223" s="47"/>
      <c r="BM223" s="47"/>
      <c r="BN223" s="47"/>
      <c r="BO223" s="47"/>
      <c r="BP223" s="47"/>
      <c r="BQ223" s="47"/>
      <c r="BR223" s="47"/>
      <c r="BS223" s="47"/>
      <c r="BT223" s="47"/>
      <c r="BU223" s="47"/>
      <c r="BV223" s="47"/>
      <c r="BW223" s="47"/>
      <c r="BX223" s="47"/>
      <c r="BY223" s="47"/>
      <c r="BZ223" s="47"/>
      <c r="CA223" s="47"/>
      <c r="CB223" s="47"/>
      <c r="CC223" s="47"/>
      <c r="CD223" s="47"/>
      <c r="CE223" s="47"/>
      <c r="CF223" s="47"/>
      <c r="CG223" s="47"/>
      <c r="CH223" s="47"/>
      <c r="CI223" s="47"/>
      <c r="CJ223" s="47"/>
      <c r="CK223" s="47"/>
      <c r="CL223" s="47"/>
      <c r="CM223" s="47"/>
      <c r="CN223" s="47"/>
      <c r="CO223" s="47"/>
      <c r="CP223" s="47"/>
      <c r="CQ223" s="47"/>
      <c r="CR223" s="47"/>
      <c r="CS223" s="47"/>
      <c r="CT223" s="47"/>
      <c r="CU223" s="47"/>
      <c r="CV223" s="47"/>
      <c r="CW223" s="47"/>
      <c r="CX223" s="47"/>
      <c r="CY223" s="47"/>
      <c r="CZ223" s="47"/>
      <c r="DA223" s="47"/>
      <c r="DB223" s="47"/>
      <c r="DC223" s="47"/>
      <c r="DD223" s="47"/>
      <c r="DE223" s="47"/>
      <c r="DF223" s="47"/>
      <c r="DG223" s="47"/>
      <c r="DH223" s="47"/>
      <c r="DI223" s="47"/>
      <c r="DJ223" s="47"/>
      <c r="DK223" s="47"/>
      <c r="DL223" s="47"/>
      <c r="DM223" s="47"/>
      <c r="DN223" s="47"/>
      <c r="DO223" s="47"/>
      <c r="DP223" s="47"/>
      <c r="DQ223" s="47"/>
      <c r="DR223" s="47"/>
      <c r="DS223" s="47"/>
      <c r="DT223" s="47"/>
      <c r="DU223" s="47"/>
      <c r="DV223" s="47"/>
      <c r="DW223" s="47"/>
      <c r="DX223" s="47"/>
      <c r="DY223" s="47"/>
      <c r="DZ223" s="219"/>
      <c r="EA223" s="231"/>
      <c r="EB223" s="231"/>
      <c r="EC223" s="231"/>
      <c r="ED223" s="231"/>
      <c r="EE223" s="231"/>
      <c r="EF223" s="231"/>
      <c r="EG223" s="231"/>
      <c r="EH223" s="231"/>
      <c r="EI223" s="231"/>
      <c r="EJ223" s="231"/>
      <c r="EK223" s="231"/>
      <c r="EL223" s="231"/>
      <c r="EM223" s="231"/>
      <c r="EN223" s="231"/>
      <c r="EO223" s="231"/>
      <c r="EP223" s="231"/>
      <c r="EQ223" s="231"/>
    </row>
    <row r="224" spans="1:147" ht="22.9" customHeight="1" outlineLevel="4" x14ac:dyDescent="0.2">
      <c r="A224" s="146" t="s">
        <v>742</v>
      </c>
      <c r="B224" s="53" t="s">
        <v>743</v>
      </c>
      <c r="C224" s="50" t="s">
        <v>100</v>
      </c>
      <c r="D224" s="165">
        <v>1</v>
      </c>
      <c r="E224" s="158">
        <v>1</v>
      </c>
      <c r="F224" s="52">
        <f>SUM(H224:DY224)*E224*Table1[[#This Row],[Cycles]]</f>
        <v>0</v>
      </c>
      <c r="G224" s="46">
        <f t="shared" si="65"/>
        <v>0</v>
      </c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47"/>
      <c r="AO224" s="47"/>
      <c r="AP224" s="47"/>
      <c r="AQ224" s="47"/>
      <c r="AR224" s="47"/>
      <c r="AS224" s="47"/>
      <c r="AT224" s="47"/>
      <c r="AU224" s="47"/>
      <c r="AV224" s="47"/>
      <c r="AW224" s="47"/>
      <c r="AX224" s="47"/>
      <c r="AY224" s="47"/>
      <c r="AZ224" s="47"/>
      <c r="BA224" s="47"/>
      <c r="BB224" s="47"/>
      <c r="BC224" s="47"/>
      <c r="BD224" s="47"/>
      <c r="BE224" s="47"/>
      <c r="BF224" s="47"/>
      <c r="BG224" s="47"/>
      <c r="BH224" s="47"/>
      <c r="BI224" s="47"/>
      <c r="BJ224" s="47"/>
      <c r="BK224" s="47"/>
      <c r="BL224" s="47"/>
      <c r="BM224" s="47"/>
      <c r="BN224" s="47"/>
      <c r="BO224" s="47"/>
      <c r="BP224" s="47"/>
      <c r="BQ224" s="47"/>
      <c r="BR224" s="47"/>
      <c r="BS224" s="47"/>
      <c r="BT224" s="47"/>
      <c r="BU224" s="47"/>
      <c r="BV224" s="47"/>
      <c r="BW224" s="47"/>
      <c r="BX224" s="47"/>
      <c r="BY224" s="47"/>
      <c r="BZ224" s="47"/>
      <c r="CA224" s="47"/>
      <c r="CB224" s="47"/>
      <c r="CC224" s="47"/>
      <c r="CD224" s="47"/>
      <c r="CE224" s="47"/>
      <c r="CF224" s="47"/>
      <c r="CG224" s="47"/>
      <c r="CH224" s="47"/>
      <c r="CI224" s="47"/>
      <c r="CJ224" s="47"/>
      <c r="CK224" s="47"/>
      <c r="CL224" s="47"/>
      <c r="CM224" s="47"/>
      <c r="CN224" s="47"/>
      <c r="CO224" s="47"/>
      <c r="CP224" s="47"/>
      <c r="CQ224" s="47"/>
      <c r="CR224" s="47"/>
      <c r="CS224" s="47"/>
      <c r="CT224" s="47"/>
      <c r="CU224" s="47"/>
      <c r="CV224" s="47"/>
      <c r="CW224" s="47"/>
      <c r="CX224" s="47"/>
      <c r="CY224" s="47"/>
      <c r="CZ224" s="47"/>
      <c r="DA224" s="47"/>
      <c r="DB224" s="47"/>
      <c r="DC224" s="47"/>
      <c r="DD224" s="47"/>
      <c r="DE224" s="47"/>
      <c r="DF224" s="47"/>
      <c r="DG224" s="47"/>
      <c r="DH224" s="47"/>
      <c r="DI224" s="47"/>
      <c r="DJ224" s="47"/>
      <c r="DK224" s="47"/>
      <c r="DL224" s="47"/>
      <c r="DM224" s="47"/>
      <c r="DN224" s="47"/>
      <c r="DO224" s="47"/>
      <c r="DP224" s="47"/>
      <c r="DQ224" s="47"/>
      <c r="DR224" s="47"/>
      <c r="DS224" s="47"/>
      <c r="DT224" s="47"/>
      <c r="DU224" s="47"/>
      <c r="DV224" s="47"/>
      <c r="DW224" s="47"/>
      <c r="DX224" s="47"/>
      <c r="DY224" s="47"/>
      <c r="DZ224" s="219"/>
      <c r="EA224" s="231"/>
      <c r="EB224" s="231"/>
      <c r="EC224" s="231"/>
      <c r="ED224" s="231"/>
      <c r="EE224" s="231"/>
      <c r="EF224" s="231"/>
      <c r="EG224" s="231"/>
      <c r="EH224" s="231"/>
      <c r="EI224" s="231"/>
      <c r="EJ224" s="231"/>
      <c r="EK224" s="231"/>
      <c r="EL224" s="231"/>
      <c r="EM224" s="231"/>
      <c r="EN224" s="231"/>
      <c r="EO224" s="231"/>
      <c r="EP224" s="231"/>
      <c r="EQ224" s="231"/>
    </row>
    <row r="225" spans="1:147" ht="22.9" customHeight="1" outlineLevel="4" x14ac:dyDescent="0.2">
      <c r="A225" s="146" t="s">
        <v>744</v>
      </c>
      <c r="B225" s="53" t="s">
        <v>745</v>
      </c>
      <c r="C225" s="50" t="s">
        <v>100</v>
      </c>
      <c r="D225" s="165">
        <v>1</v>
      </c>
      <c r="E225" s="158">
        <v>1</v>
      </c>
      <c r="F225" s="52">
        <f>SUM(H225:DY225)*E225*Table1[[#This Row],[Cycles]]</f>
        <v>0</v>
      </c>
      <c r="G225" s="46">
        <f t="shared" si="65"/>
        <v>0</v>
      </c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  <c r="AN225" s="47"/>
      <c r="AO225" s="47"/>
      <c r="AP225" s="47"/>
      <c r="AQ225" s="47"/>
      <c r="AR225" s="47"/>
      <c r="AS225" s="47"/>
      <c r="AT225" s="47"/>
      <c r="AU225" s="47"/>
      <c r="AV225" s="47"/>
      <c r="AW225" s="47"/>
      <c r="AX225" s="47"/>
      <c r="AY225" s="47"/>
      <c r="AZ225" s="47"/>
      <c r="BA225" s="47"/>
      <c r="BB225" s="47"/>
      <c r="BC225" s="47"/>
      <c r="BD225" s="47"/>
      <c r="BE225" s="47"/>
      <c r="BF225" s="47"/>
      <c r="BG225" s="47"/>
      <c r="BH225" s="47"/>
      <c r="BI225" s="47"/>
      <c r="BJ225" s="47"/>
      <c r="BK225" s="47"/>
      <c r="BL225" s="47"/>
      <c r="BM225" s="47"/>
      <c r="BN225" s="47"/>
      <c r="BO225" s="47"/>
      <c r="BP225" s="47"/>
      <c r="BQ225" s="47"/>
      <c r="BR225" s="47"/>
      <c r="BS225" s="47"/>
      <c r="BT225" s="47"/>
      <c r="BU225" s="47"/>
      <c r="BV225" s="47"/>
      <c r="BW225" s="47"/>
      <c r="BX225" s="47"/>
      <c r="BY225" s="47"/>
      <c r="BZ225" s="47"/>
      <c r="CA225" s="47"/>
      <c r="CB225" s="47"/>
      <c r="CC225" s="47"/>
      <c r="CD225" s="47"/>
      <c r="CE225" s="47"/>
      <c r="CF225" s="47"/>
      <c r="CG225" s="47"/>
      <c r="CH225" s="47"/>
      <c r="CI225" s="47"/>
      <c r="CJ225" s="47"/>
      <c r="CK225" s="47"/>
      <c r="CL225" s="47"/>
      <c r="CM225" s="47"/>
      <c r="CN225" s="47"/>
      <c r="CO225" s="47"/>
      <c r="CP225" s="47"/>
      <c r="CQ225" s="47"/>
      <c r="CR225" s="47"/>
      <c r="CS225" s="47"/>
      <c r="CT225" s="47"/>
      <c r="CU225" s="47"/>
      <c r="CV225" s="47"/>
      <c r="CW225" s="47"/>
      <c r="CX225" s="47"/>
      <c r="CY225" s="47"/>
      <c r="CZ225" s="47"/>
      <c r="DA225" s="47"/>
      <c r="DB225" s="47"/>
      <c r="DC225" s="47"/>
      <c r="DD225" s="47"/>
      <c r="DE225" s="47"/>
      <c r="DF225" s="47"/>
      <c r="DG225" s="47"/>
      <c r="DH225" s="47"/>
      <c r="DI225" s="47"/>
      <c r="DJ225" s="47"/>
      <c r="DK225" s="47"/>
      <c r="DL225" s="47"/>
      <c r="DM225" s="47"/>
      <c r="DN225" s="47"/>
      <c r="DO225" s="47"/>
      <c r="DP225" s="47"/>
      <c r="DQ225" s="47"/>
      <c r="DR225" s="47"/>
      <c r="DS225" s="47"/>
      <c r="DT225" s="47"/>
      <c r="DU225" s="47"/>
      <c r="DV225" s="47"/>
      <c r="DW225" s="47"/>
      <c r="DX225" s="47"/>
      <c r="DY225" s="47"/>
      <c r="DZ225" s="219"/>
      <c r="EA225" s="231"/>
      <c r="EB225" s="231"/>
      <c r="EC225" s="231"/>
      <c r="ED225" s="231"/>
      <c r="EE225" s="231"/>
      <c r="EF225" s="231"/>
      <c r="EG225" s="231"/>
      <c r="EH225" s="231"/>
      <c r="EI225" s="231"/>
      <c r="EJ225" s="231"/>
      <c r="EK225" s="231"/>
      <c r="EL225" s="231"/>
      <c r="EM225" s="231"/>
      <c r="EN225" s="231"/>
      <c r="EO225" s="231"/>
      <c r="EP225" s="231"/>
      <c r="EQ225" s="231"/>
    </row>
    <row r="226" spans="1:147" ht="22.9" customHeight="1" outlineLevel="4" x14ac:dyDescent="0.2">
      <c r="A226" s="146" t="s">
        <v>746</v>
      </c>
      <c r="B226" s="53" t="s">
        <v>747</v>
      </c>
      <c r="C226" s="50" t="s">
        <v>100</v>
      </c>
      <c r="D226" s="165">
        <v>1</v>
      </c>
      <c r="E226" s="158">
        <v>1</v>
      </c>
      <c r="F226" s="52">
        <f>SUM(H226:DY226)*E226*Table1[[#This Row],[Cycles]]</f>
        <v>0</v>
      </c>
      <c r="G226" s="46">
        <f t="shared" si="65"/>
        <v>0</v>
      </c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  <c r="AN226" s="47"/>
      <c r="AO226" s="47"/>
      <c r="AP226" s="47"/>
      <c r="AQ226" s="47"/>
      <c r="AR226" s="47"/>
      <c r="AS226" s="47"/>
      <c r="AT226" s="47"/>
      <c r="AU226" s="47"/>
      <c r="AV226" s="47"/>
      <c r="AW226" s="47"/>
      <c r="AX226" s="47"/>
      <c r="AY226" s="47"/>
      <c r="AZ226" s="47"/>
      <c r="BA226" s="47"/>
      <c r="BB226" s="47"/>
      <c r="BC226" s="47"/>
      <c r="BD226" s="47"/>
      <c r="BE226" s="47"/>
      <c r="BF226" s="47"/>
      <c r="BG226" s="47"/>
      <c r="BH226" s="47"/>
      <c r="BI226" s="47"/>
      <c r="BJ226" s="47"/>
      <c r="BK226" s="47"/>
      <c r="BL226" s="47"/>
      <c r="BM226" s="47"/>
      <c r="BN226" s="47"/>
      <c r="BO226" s="47"/>
      <c r="BP226" s="47"/>
      <c r="BQ226" s="47"/>
      <c r="BR226" s="47"/>
      <c r="BS226" s="47"/>
      <c r="BT226" s="47"/>
      <c r="BU226" s="47"/>
      <c r="BV226" s="47"/>
      <c r="BW226" s="47"/>
      <c r="BX226" s="47"/>
      <c r="BY226" s="47"/>
      <c r="BZ226" s="47"/>
      <c r="CA226" s="47"/>
      <c r="CB226" s="47"/>
      <c r="CC226" s="47"/>
      <c r="CD226" s="47"/>
      <c r="CE226" s="47"/>
      <c r="CF226" s="47"/>
      <c r="CG226" s="47"/>
      <c r="CH226" s="47"/>
      <c r="CI226" s="47"/>
      <c r="CJ226" s="47"/>
      <c r="CK226" s="47"/>
      <c r="CL226" s="47"/>
      <c r="CM226" s="47"/>
      <c r="CN226" s="47"/>
      <c r="CO226" s="47"/>
      <c r="CP226" s="47"/>
      <c r="CQ226" s="47"/>
      <c r="CR226" s="47"/>
      <c r="CS226" s="47"/>
      <c r="CT226" s="47"/>
      <c r="CU226" s="47"/>
      <c r="CV226" s="47"/>
      <c r="CW226" s="47"/>
      <c r="CX226" s="47"/>
      <c r="CY226" s="47"/>
      <c r="CZ226" s="47"/>
      <c r="DA226" s="47"/>
      <c r="DB226" s="47"/>
      <c r="DC226" s="47"/>
      <c r="DD226" s="47"/>
      <c r="DE226" s="47"/>
      <c r="DF226" s="47"/>
      <c r="DG226" s="47"/>
      <c r="DH226" s="47"/>
      <c r="DI226" s="47"/>
      <c r="DJ226" s="47"/>
      <c r="DK226" s="47"/>
      <c r="DL226" s="47"/>
      <c r="DM226" s="47"/>
      <c r="DN226" s="47"/>
      <c r="DO226" s="47"/>
      <c r="DP226" s="47"/>
      <c r="DQ226" s="47"/>
      <c r="DR226" s="47"/>
      <c r="DS226" s="47"/>
      <c r="DT226" s="47"/>
      <c r="DU226" s="47"/>
      <c r="DV226" s="47"/>
      <c r="DW226" s="47"/>
      <c r="DX226" s="47"/>
      <c r="DY226" s="47"/>
      <c r="DZ226" s="219"/>
      <c r="EA226" s="231"/>
      <c r="EB226" s="231"/>
      <c r="EC226" s="231"/>
      <c r="ED226" s="231"/>
      <c r="EE226" s="231"/>
      <c r="EF226" s="231"/>
      <c r="EG226" s="231"/>
      <c r="EH226" s="231"/>
      <c r="EI226" s="231"/>
      <c r="EJ226" s="231"/>
      <c r="EK226" s="231"/>
      <c r="EL226" s="231"/>
      <c r="EM226" s="231"/>
      <c r="EN226" s="231"/>
      <c r="EO226" s="231"/>
      <c r="EP226" s="231"/>
      <c r="EQ226" s="231"/>
    </row>
    <row r="227" spans="1:147" ht="22.9" customHeight="1" outlineLevel="4" x14ac:dyDescent="0.2">
      <c r="A227" s="146" t="s">
        <v>748</v>
      </c>
      <c r="B227" s="53" t="s">
        <v>749</v>
      </c>
      <c r="C227" s="50" t="s">
        <v>100</v>
      </c>
      <c r="D227" s="165">
        <v>1</v>
      </c>
      <c r="E227" s="158">
        <v>1</v>
      </c>
      <c r="F227" s="52">
        <f>SUM(H227:DY227)*E227*Table1[[#This Row],[Cycles]]</f>
        <v>0</v>
      </c>
      <c r="G227" s="46">
        <f t="shared" si="65"/>
        <v>0</v>
      </c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  <c r="AN227" s="47"/>
      <c r="AO227" s="47"/>
      <c r="AP227" s="47"/>
      <c r="AQ227" s="47"/>
      <c r="AR227" s="47"/>
      <c r="AS227" s="47"/>
      <c r="AT227" s="47"/>
      <c r="AU227" s="47"/>
      <c r="AV227" s="47"/>
      <c r="AW227" s="47"/>
      <c r="AX227" s="47"/>
      <c r="AY227" s="47"/>
      <c r="AZ227" s="47"/>
      <c r="BA227" s="47"/>
      <c r="BB227" s="47"/>
      <c r="BC227" s="47"/>
      <c r="BD227" s="47"/>
      <c r="BE227" s="47"/>
      <c r="BF227" s="47"/>
      <c r="BG227" s="47"/>
      <c r="BH227" s="47"/>
      <c r="BI227" s="47"/>
      <c r="BJ227" s="47"/>
      <c r="BK227" s="47"/>
      <c r="BL227" s="47"/>
      <c r="BM227" s="47"/>
      <c r="BN227" s="47"/>
      <c r="BO227" s="47"/>
      <c r="BP227" s="47"/>
      <c r="BQ227" s="47"/>
      <c r="BR227" s="47"/>
      <c r="BS227" s="47"/>
      <c r="BT227" s="47"/>
      <c r="BU227" s="47"/>
      <c r="BV227" s="47"/>
      <c r="BW227" s="47"/>
      <c r="BX227" s="47"/>
      <c r="BY227" s="47"/>
      <c r="BZ227" s="47"/>
      <c r="CA227" s="47"/>
      <c r="CB227" s="47"/>
      <c r="CC227" s="47"/>
      <c r="CD227" s="47"/>
      <c r="CE227" s="47"/>
      <c r="CF227" s="47"/>
      <c r="CG227" s="47"/>
      <c r="CH227" s="47"/>
      <c r="CI227" s="47"/>
      <c r="CJ227" s="47"/>
      <c r="CK227" s="47"/>
      <c r="CL227" s="47"/>
      <c r="CM227" s="47"/>
      <c r="CN227" s="47"/>
      <c r="CO227" s="47"/>
      <c r="CP227" s="47"/>
      <c r="CQ227" s="47"/>
      <c r="CR227" s="47"/>
      <c r="CS227" s="47"/>
      <c r="CT227" s="47"/>
      <c r="CU227" s="47"/>
      <c r="CV227" s="47"/>
      <c r="CW227" s="47"/>
      <c r="CX227" s="47"/>
      <c r="CY227" s="47"/>
      <c r="CZ227" s="47"/>
      <c r="DA227" s="47"/>
      <c r="DB227" s="47"/>
      <c r="DC227" s="47"/>
      <c r="DD227" s="47"/>
      <c r="DE227" s="47"/>
      <c r="DF227" s="47"/>
      <c r="DG227" s="47"/>
      <c r="DH227" s="47"/>
      <c r="DI227" s="47"/>
      <c r="DJ227" s="47"/>
      <c r="DK227" s="47"/>
      <c r="DL227" s="47"/>
      <c r="DM227" s="47"/>
      <c r="DN227" s="47"/>
      <c r="DO227" s="47"/>
      <c r="DP227" s="47"/>
      <c r="DQ227" s="47"/>
      <c r="DR227" s="47"/>
      <c r="DS227" s="47"/>
      <c r="DT227" s="47"/>
      <c r="DU227" s="47"/>
      <c r="DV227" s="47"/>
      <c r="DW227" s="47"/>
      <c r="DX227" s="47"/>
      <c r="DY227" s="47"/>
      <c r="DZ227" s="219"/>
      <c r="EA227" s="231"/>
      <c r="EB227" s="231"/>
      <c r="EC227" s="231"/>
      <c r="ED227" s="231"/>
      <c r="EE227" s="231"/>
      <c r="EF227" s="231"/>
      <c r="EG227" s="231"/>
      <c r="EH227" s="231"/>
      <c r="EI227" s="231"/>
      <c r="EJ227" s="231"/>
      <c r="EK227" s="231"/>
      <c r="EL227" s="231"/>
      <c r="EM227" s="231"/>
      <c r="EN227" s="231"/>
      <c r="EO227" s="231"/>
      <c r="EP227" s="231"/>
      <c r="EQ227" s="231"/>
    </row>
    <row r="228" spans="1:147" ht="22.9" customHeight="1" outlineLevel="4" x14ac:dyDescent="0.2">
      <c r="A228" s="146" t="s">
        <v>750</v>
      </c>
      <c r="B228" s="53" t="s">
        <v>751</v>
      </c>
      <c r="C228" s="50" t="s">
        <v>100</v>
      </c>
      <c r="D228" s="165">
        <v>1</v>
      </c>
      <c r="E228" s="158">
        <v>1</v>
      </c>
      <c r="F228" s="52">
        <f>SUM(H228:DY228)*E228*Table1[[#This Row],[Cycles]]</f>
        <v>0</v>
      </c>
      <c r="G228" s="46">
        <f t="shared" si="65"/>
        <v>0</v>
      </c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  <c r="BS228" s="47"/>
      <c r="BT228" s="47"/>
      <c r="BU228" s="47"/>
      <c r="BV228" s="47"/>
      <c r="BW228" s="47"/>
      <c r="BX228" s="47"/>
      <c r="BY228" s="47"/>
      <c r="BZ228" s="47"/>
      <c r="CA228" s="47"/>
      <c r="CB228" s="47"/>
      <c r="CC228" s="47"/>
      <c r="CD228" s="47"/>
      <c r="CE228" s="47"/>
      <c r="CF228" s="47"/>
      <c r="CG228" s="47"/>
      <c r="CH228" s="47"/>
      <c r="CI228" s="47"/>
      <c r="CJ228" s="47"/>
      <c r="CK228" s="47"/>
      <c r="CL228" s="47"/>
      <c r="CM228" s="47"/>
      <c r="CN228" s="47"/>
      <c r="CO228" s="47"/>
      <c r="CP228" s="47"/>
      <c r="CQ228" s="47"/>
      <c r="CR228" s="47"/>
      <c r="CS228" s="47"/>
      <c r="CT228" s="47"/>
      <c r="CU228" s="47"/>
      <c r="CV228" s="47"/>
      <c r="CW228" s="47"/>
      <c r="CX228" s="47"/>
      <c r="CY228" s="47"/>
      <c r="CZ228" s="47"/>
      <c r="DA228" s="47"/>
      <c r="DB228" s="47"/>
      <c r="DC228" s="47"/>
      <c r="DD228" s="47"/>
      <c r="DE228" s="47"/>
      <c r="DF228" s="47"/>
      <c r="DG228" s="47"/>
      <c r="DH228" s="47"/>
      <c r="DI228" s="47"/>
      <c r="DJ228" s="47"/>
      <c r="DK228" s="47"/>
      <c r="DL228" s="47"/>
      <c r="DM228" s="47"/>
      <c r="DN228" s="47"/>
      <c r="DO228" s="47"/>
      <c r="DP228" s="47"/>
      <c r="DQ228" s="47"/>
      <c r="DR228" s="47"/>
      <c r="DS228" s="47"/>
      <c r="DT228" s="47"/>
      <c r="DU228" s="47"/>
      <c r="DV228" s="47"/>
      <c r="DW228" s="47"/>
      <c r="DX228" s="47"/>
      <c r="DY228" s="47"/>
      <c r="DZ228" s="219"/>
      <c r="EA228" s="231"/>
      <c r="EB228" s="231"/>
      <c r="EC228" s="231"/>
      <c r="ED228" s="231"/>
      <c r="EE228" s="231"/>
      <c r="EF228" s="231"/>
      <c r="EG228" s="231"/>
      <c r="EH228" s="231"/>
      <c r="EI228" s="231"/>
      <c r="EJ228" s="231"/>
      <c r="EK228" s="231"/>
      <c r="EL228" s="231"/>
      <c r="EM228" s="231"/>
      <c r="EN228" s="231"/>
      <c r="EO228" s="231"/>
      <c r="EP228" s="231"/>
      <c r="EQ228" s="231"/>
    </row>
    <row r="229" spans="1:147" ht="22.9" customHeight="1" outlineLevel="4" x14ac:dyDescent="0.2">
      <c r="A229" s="146" t="s">
        <v>795</v>
      </c>
      <c r="B229" s="53" t="s">
        <v>796</v>
      </c>
      <c r="C229" s="50" t="s">
        <v>100</v>
      </c>
      <c r="D229" s="165">
        <v>1</v>
      </c>
      <c r="E229" s="158">
        <v>1</v>
      </c>
      <c r="F229" s="52">
        <f>SUM(H229:DY229)*E229*Table1[[#This Row],[Cycles]]</f>
        <v>0</v>
      </c>
      <c r="G229" s="46">
        <f t="shared" si="65"/>
        <v>0</v>
      </c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  <c r="AN229" s="47"/>
      <c r="AO229" s="47"/>
      <c r="AP229" s="47"/>
      <c r="AQ229" s="47"/>
      <c r="AR229" s="47"/>
      <c r="AS229" s="47"/>
      <c r="AT229" s="47"/>
      <c r="AU229" s="47"/>
      <c r="AV229" s="47"/>
      <c r="AW229" s="47"/>
      <c r="AX229" s="47"/>
      <c r="AY229" s="47"/>
      <c r="AZ229" s="47"/>
      <c r="BA229" s="47"/>
      <c r="BB229" s="47"/>
      <c r="BC229" s="47"/>
      <c r="BD229" s="47"/>
      <c r="BE229" s="47"/>
      <c r="BF229" s="47"/>
      <c r="BG229" s="47"/>
      <c r="BH229" s="47"/>
      <c r="BI229" s="47"/>
      <c r="BJ229" s="47"/>
      <c r="BK229" s="47"/>
      <c r="BL229" s="47"/>
      <c r="BM229" s="47"/>
      <c r="BN229" s="47"/>
      <c r="BO229" s="47"/>
      <c r="BP229" s="47"/>
      <c r="BQ229" s="47"/>
      <c r="BR229" s="47"/>
      <c r="BS229" s="47"/>
      <c r="BT229" s="47"/>
      <c r="BU229" s="47"/>
      <c r="BV229" s="47"/>
      <c r="BW229" s="47"/>
      <c r="BX229" s="47"/>
      <c r="BY229" s="47"/>
      <c r="BZ229" s="47"/>
      <c r="CA229" s="47"/>
      <c r="CB229" s="47"/>
      <c r="CC229" s="47"/>
      <c r="CD229" s="47"/>
      <c r="CE229" s="47"/>
      <c r="CF229" s="47"/>
      <c r="CG229" s="47"/>
      <c r="CH229" s="47"/>
      <c r="CI229" s="47"/>
      <c r="CJ229" s="47"/>
      <c r="CK229" s="47"/>
      <c r="CL229" s="47"/>
      <c r="CM229" s="47"/>
      <c r="CN229" s="47"/>
      <c r="CO229" s="47"/>
      <c r="CP229" s="47"/>
      <c r="CQ229" s="47"/>
      <c r="CR229" s="47"/>
      <c r="CS229" s="47"/>
      <c r="CT229" s="47"/>
      <c r="CU229" s="47"/>
      <c r="CV229" s="47"/>
      <c r="CW229" s="47"/>
      <c r="CX229" s="47"/>
      <c r="CY229" s="47"/>
      <c r="CZ229" s="47"/>
      <c r="DA229" s="47"/>
      <c r="DB229" s="47"/>
      <c r="DC229" s="47"/>
      <c r="DD229" s="47"/>
      <c r="DE229" s="47"/>
      <c r="DF229" s="47"/>
      <c r="DG229" s="47"/>
      <c r="DH229" s="47"/>
      <c r="DI229" s="47"/>
      <c r="DJ229" s="47"/>
      <c r="DK229" s="47"/>
      <c r="DL229" s="47"/>
      <c r="DM229" s="47"/>
      <c r="DN229" s="47"/>
      <c r="DO229" s="47"/>
      <c r="DP229" s="47"/>
      <c r="DQ229" s="47"/>
      <c r="DR229" s="47"/>
      <c r="DS229" s="47"/>
      <c r="DT229" s="47"/>
      <c r="DU229" s="47"/>
      <c r="DV229" s="47"/>
      <c r="DW229" s="47"/>
      <c r="DX229" s="47"/>
      <c r="DY229" s="47"/>
      <c r="DZ229" s="219"/>
      <c r="EA229" s="231"/>
      <c r="EB229" s="231"/>
      <c r="EC229" s="231"/>
      <c r="ED229" s="231"/>
      <c r="EE229" s="231"/>
      <c r="EF229" s="231"/>
      <c r="EG229" s="231"/>
      <c r="EH229" s="231"/>
      <c r="EI229" s="231"/>
      <c r="EJ229" s="231"/>
      <c r="EK229" s="231"/>
      <c r="EL229" s="231"/>
      <c r="EM229" s="231"/>
      <c r="EN229" s="231"/>
      <c r="EO229" s="231"/>
      <c r="EP229" s="231"/>
      <c r="EQ229" s="231"/>
    </row>
    <row r="230" spans="1:147" ht="22.9" customHeight="1" outlineLevel="4" x14ac:dyDescent="0.2">
      <c r="A230" s="146" t="s">
        <v>797</v>
      </c>
      <c r="B230" s="53" t="s">
        <v>798</v>
      </c>
      <c r="C230" s="50" t="s">
        <v>100</v>
      </c>
      <c r="D230" s="165">
        <v>1</v>
      </c>
      <c r="E230" s="158">
        <v>1</v>
      </c>
      <c r="F230" s="52">
        <f>SUM(H230:EQ230)*E230*Table1[[#This Row],[Cycles]]</f>
        <v>0</v>
      </c>
      <c r="G230" s="46">
        <f>SUMPRODUCT($H$2:$EQ$2,$H230:$EQ230)*E230*D230</f>
        <v>0</v>
      </c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  <c r="AX230" s="47"/>
      <c r="AY230" s="47"/>
      <c r="AZ230" s="47"/>
      <c r="BA230" s="47"/>
      <c r="BB230" s="47"/>
      <c r="BC230" s="47"/>
      <c r="BD230" s="47"/>
      <c r="BE230" s="47"/>
      <c r="BF230" s="47"/>
      <c r="BG230" s="47"/>
      <c r="BH230" s="47"/>
      <c r="BI230" s="47"/>
      <c r="BJ230" s="47"/>
      <c r="BK230" s="47"/>
      <c r="BL230" s="47"/>
      <c r="BM230" s="47"/>
      <c r="BN230" s="47"/>
      <c r="BO230" s="47"/>
      <c r="BP230" s="47"/>
      <c r="BQ230" s="47"/>
      <c r="BR230" s="47"/>
      <c r="BS230" s="47"/>
      <c r="BT230" s="47"/>
      <c r="BU230" s="47"/>
      <c r="BV230" s="47"/>
      <c r="BW230" s="47"/>
      <c r="BX230" s="47"/>
      <c r="BY230" s="47"/>
      <c r="BZ230" s="47"/>
      <c r="CA230" s="47"/>
      <c r="CB230" s="47"/>
      <c r="CC230" s="47"/>
      <c r="CD230" s="47"/>
      <c r="CE230" s="47"/>
      <c r="CF230" s="47"/>
      <c r="CG230" s="47"/>
      <c r="CH230" s="47"/>
      <c r="CI230" s="47"/>
      <c r="CJ230" s="47"/>
      <c r="CK230" s="47"/>
      <c r="CL230" s="47"/>
      <c r="CM230" s="47"/>
      <c r="CN230" s="47"/>
      <c r="CO230" s="47"/>
      <c r="CP230" s="47"/>
      <c r="CQ230" s="47"/>
      <c r="CR230" s="47"/>
      <c r="CS230" s="47"/>
      <c r="CT230" s="47"/>
      <c r="CU230" s="47"/>
      <c r="CV230" s="47"/>
      <c r="CW230" s="47"/>
      <c r="CX230" s="47"/>
      <c r="CY230" s="47"/>
      <c r="CZ230" s="47"/>
      <c r="DA230" s="47"/>
      <c r="DB230" s="47"/>
      <c r="DC230" s="47"/>
      <c r="DD230" s="47"/>
      <c r="DE230" s="47"/>
      <c r="DF230" s="47"/>
      <c r="DG230" s="47"/>
      <c r="DH230" s="47"/>
      <c r="DI230" s="47"/>
      <c r="DJ230" s="47"/>
      <c r="DK230" s="47"/>
      <c r="DL230" s="47"/>
      <c r="DM230" s="47"/>
      <c r="DN230" s="47"/>
      <c r="DO230" s="47"/>
      <c r="DP230" s="47"/>
      <c r="DQ230" s="47"/>
      <c r="DR230" s="47"/>
      <c r="DS230" s="47"/>
      <c r="DT230" s="47"/>
      <c r="DU230" s="47"/>
      <c r="DV230" s="47"/>
      <c r="DW230" s="47"/>
      <c r="DX230" s="47"/>
      <c r="DY230" s="47"/>
      <c r="DZ230" s="219"/>
      <c r="EA230" s="231"/>
      <c r="EB230" s="231"/>
      <c r="EC230" s="231"/>
      <c r="ED230" s="231"/>
      <c r="EE230" s="231"/>
      <c r="EF230" s="231"/>
      <c r="EG230" s="231"/>
      <c r="EH230" s="231"/>
      <c r="EI230" s="231"/>
      <c r="EJ230" s="231"/>
      <c r="EK230" s="231"/>
      <c r="EL230" s="231"/>
      <c r="EM230" s="231"/>
      <c r="EN230" s="231"/>
      <c r="EO230" s="231"/>
      <c r="EP230" s="231"/>
      <c r="EQ230" s="231"/>
    </row>
    <row r="231" spans="1:147" customFormat="1" ht="22.5" customHeight="1" outlineLevel="2" x14ac:dyDescent="0.2">
      <c r="A231" s="169" t="s">
        <v>752</v>
      </c>
      <c r="B231" s="170" t="s">
        <v>753</v>
      </c>
      <c r="C231" s="171"/>
      <c r="D231" s="172"/>
      <c r="E231" s="173"/>
      <c r="F231" s="175">
        <f>SUM(F232:F243)</f>
        <v>0</v>
      </c>
      <c r="G231" s="213">
        <f>SUM(G232:G243)</f>
        <v>0</v>
      </c>
      <c r="H231" s="138">
        <f>SUM(H232:H243)</f>
        <v>0</v>
      </c>
      <c r="I231" s="138">
        <f>SUM(I232:I243)</f>
        <v>0</v>
      </c>
      <c r="J231" s="138">
        <f t="shared" ref="J231" si="66">SUM(J232:J243)</f>
        <v>0</v>
      </c>
      <c r="K231" s="138">
        <f t="shared" ref="K231" si="67">SUM(K232:K243)</f>
        <v>0</v>
      </c>
      <c r="L231" s="138">
        <f t="shared" ref="L231" si="68">SUM(L232:L243)</f>
        <v>0</v>
      </c>
      <c r="M231" s="138">
        <f t="shared" ref="M231" si="69">SUM(M232:M243)</f>
        <v>0</v>
      </c>
      <c r="N231" s="138">
        <f t="shared" ref="N231" si="70">SUM(N232:N243)</f>
        <v>0</v>
      </c>
      <c r="O231" s="138">
        <f t="shared" ref="O231" si="71">SUM(O232:O243)</f>
        <v>0</v>
      </c>
      <c r="P231" s="138">
        <f t="shared" ref="P231" si="72">SUM(P232:P243)</f>
        <v>0</v>
      </c>
      <c r="Q231" s="138">
        <f t="shared" ref="Q231" si="73">SUM(Q232:Q243)</f>
        <v>0</v>
      </c>
      <c r="R231" s="138">
        <f t="shared" ref="R231" si="74">SUM(R232:R243)</f>
        <v>0</v>
      </c>
      <c r="S231" s="138">
        <f t="shared" ref="S231" si="75">SUM(S232:S243)</f>
        <v>0</v>
      </c>
      <c r="T231" s="138">
        <f t="shared" ref="T231" si="76">SUM(T232:T243)</f>
        <v>0</v>
      </c>
      <c r="U231" s="138">
        <f t="shared" ref="U231" si="77">SUM(U232:U243)</f>
        <v>0</v>
      </c>
      <c r="V231" s="138">
        <f t="shared" ref="V231" si="78">SUM(V232:V243)</f>
        <v>0</v>
      </c>
      <c r="W231" s="138">
        <f t="shared" ref="W231" si="79">SUM(W232:W243)</f>
        <v>0</v>
      </c>
      <c r="X231" s="138">
        <f t="shared" ref="X231" si="80">SUM(X232:X243)</f>
        <v>0</v>
      </c>
      <c r="Y231" s="138">
        <f t="shared" ref="Y231" si="81">SUM(Y232:Y243)</f>
        <v>0</v>
      </c>
      <c r="Z231" s="138">
        <f t="shared" ref="Z231" si="82">SUM(Z232:Z243)</f>
        <v>0</v>
      </c>
      <c r="AA231" s="138">
        <f t="shared" ref="AA231" si="83">SUM(AA232:AA243)</f>
        <v>0</v>
      </c>
      <c r="AB231" s="138">
        <f t="shared" ref="AB231" si="84">SUM(AB232:AB243)</f>
        <v>0</v>
      </c>
      <c r="AC231" s="138">
        <f t="shared" ref="AC231" si="85">SUM(AC232:AC243)</f>
        <v>0</v>
      </c>
      <c r="AD231" s="138">
        <f t="shared" ref="AD231" si="86">SUM(AD232:AD243)</f>
        <v>0</v>
      </c>
      <c r="AE231" s="138">
        <f t="shared" ref="AE231" si="87">SUM(AE232:AE243)</f>
        <v>0</v>
      </c>
      <c r="AF231" s="138">
        <f t="shared" ref="AF231" si="88">SUM(AF232:AF243)</f>
        <v>0</v>
      </c>
      <c r="AG231" s="138">
        <f t="shared" ref="AG231" si="89">SUM(AG232:AG243)</f>
        <v>0</v>
      </c>
      <c r="AH231" s="138">
        <f t="shared" ref="AH231" si="90">SUM(AH232:AH243)</f>
        <v>0</v>
      </c>
      <c r="AI231" s="138">
        <f t="shared" ref="AI231" si="91">SUM(AI232:AI243)</f>
        <v>0</v>
      </c>
      <c r="AJ231" s="138">
        <f t="shared" ref="AJ231" si="92">SUM(AJ232:AJ243)</f>
        <v>0</v>
      </c>
      <c r="AK231" s="138">
        <f t="shared" ref="AK231" si="93">SUM(AK232:AK243)</f>
        <v>0</v>
      </c>
      <c r="AL231" s="138">
        <f t="shared" ref="AL231" si="94">SUM(AL232:AL243)</f>
        <v>0</v>
      </c>
      <c r="AM231" s="138">
        <f t="shared" ref="AM231" si="95">SUM(AM232:AM243)</f>
        <v>0</v>
      </c>
      <c r="AN231" s="138">
        <f t="shared" ref="AN231" si="96">SUM(AN232:AN243)</f>
        <v>0</v>
      </c>
      <c r="AO231" s="138">
        <f t="shared" ref="AO231" si="97">SUM(AO232:AO243)</f>
        <v>0</v>
      </c>
      <c r="AP231" s="138">
        <f t="shared" ref="AP231" si="98">SUM(AP232:AP243)</f>
        <v>0</v>
      </c>
      <c r="AQ231" s="138">
        <f t="shared" ref="AQ231" si="99">SUM(AQ232:AQ243)</f>
        <v>0</v>
      </c>
      <c r="AR231" s="138">
        <f t="shared" ref="AR231" si="100">SUM(AR232:AR243)</f>
        <v>0</v>
      </c>
      <c r="AS231" s="138">
        <f t="shared" ref="AS231" si="101">SUM(AS232:AS243)</f>
        <v>0</v>
      </c>
      <c r="AT231" s="138">
        <f t="shared" ref="AT231" si="102">SUM(AT232:AT243)</f>
        <v>0</v>
      </c>
      <c r="AU231" s="138">
        <f t="shared" ref="AU231" si="103">SUM(AU232:AU243)</f>
        <v>0</v>
      </c>
      <c r="AV231" s="138">
        <f t="shared" ref="AV231" si="104">SUM(AV232:AV243)</f>
        <v>0</v>
      </c>
      <c r="AW231" s="138">
        <f t="shared" ref="AW231" si="105">SUM(AW232:AW243)</f>
        <v>0</v>
      </c>
      <c r="AX231" s="138">
        <f t="shared" ref="AX231" si="106">SUM(AX232:AX243)</f>
        <v>0</v>
      </c>
      <c r="AY231" s="138">
        <f t="shared" ref="AY231" si="107">SUM(AY232:AY243)</f>
        <v>0</v>
      </c>
      <c r="AZ231" s="138">
        <f t="shared" ref="AZ231" si="108">SUM(AZ232:AZ243)</f>
        <v>0</v>
      </c>
      <c r="BA231" s="138">
        <f t="shared" ref="BA231" si="109">SUM(BA232:BA243)</f>
        <v>0</v>
      </c>
      <c r="BB231" s="138">
        <f t="shared" ref="BB231" si="110">SUM(BB232:BB243)</f>
        <v>0</v>
      </c>
      <c r="BC231" s="138">
        <f t="shared" ref="BC231" si="111">SUM(BC232:BC243)</f>
        <v>0</v>
      </c>
      <c r="BD231" s="138">
        <f t="shared" ref="BD231" si="112">SUM(BD232:BD243)</f>
        <v>0</v>
      </c>
      <c r="BE231" s="138">
        <f t="shared" ref="BE231" si="113">SUM(BE232:BE243)</f>
        <v>0</v>
      </c>
      <c r="BF231" s="138">
        <f t="shared" ref="BF231" si="114">SUM(BF232:BF243)</f>
        <v>0</v>
      </c>
      <c r="BG231" s="138">
        <f t="shared" ref="BG231" si="115">SUM(BG232:BG243)</f>
        <v>0</v>
      </c>
      <c r="BH231" s="138">
        <f t="shared" ref="BH231" si="116">SUM(BH232:BH243)</f>
        <v>0</v>
      </c>
      <c r="BI231" s="138">
        <f t="shared" ref="BI231" si="117">SUM(BI232:BI243)</f>
        <v>0</v>
      </c>
      <c r="BJ231" s="138">
        <f t="shared" ref="BJ231" si="118">SUM(BJ232:BJ243)</f>
        <v>0</v>
      </c>
      <c r="BK231" s="138">
        <f t="shared" ref="BK231" si="119">SUM(BK232:BK243)</f>
        <v>0</v>
      </c>
      <c r="BL231" s="138">
        <f t="shared" ref="BL231" si="120">SUM(BL232:BL243)</f>
        <v>0</v>
      </c>
      <c r="BM231" s="138">
        <f t="shared" ref="BM231" si="121">SUM(BM232:BM243)</f>
        <v>0</v>
      </c>
      <c r="BN231" s="138">
        <f t="shared" ref="BN231" si="122">SUM(BN232:BN243)</f>
        <v>0</v>
      </c>
      <c r="BO231" s="138">
        <f t="shared" ref="BO231" si="123">SUM(BO232:BO243)</f>
        <v>0</v>
      </c>
      <c r="BP231" s="138">
        <f t="shared" ref="BP231" si="124">SUM(BP232:BP243)</f>
        <v>0</v>
      </c>
      <c r="BQ231" s="138">
        <f t="shared" ref="BQ231" si="125">SUM(BQ232:BQ243)</f>
        <v>0</v>
      </c>
      <c r="BR231" s="138">
        <f t="shared" ref="BR231" si="126">SUM(BR232:BR243)</f>
        <v>0</v>
      </c>
      <c r="BS231" s="138">
        <f t="shared" ref="BS231" si="127">SUM(BS232:BS243)</f>
        <v>0</v>
      </c>
      <c r="BT231" s="138">
        <f t="shared" ref="BT231" si="128">SUM(BT232:BT243)</f>
        <v>0</v>
      </c>
      <c r="BU231" s="138">
        <f t="shared" ref="BU231" si="129">SUM(BU232:BU243)</f>
        <v>0</v>
      </c>
      <c r="BV231" s="138">
        <f t="shared" ref="BV231" si="130">SUM(BV232:BV243)</f>
        <v>0</v>
      </c>
      <c r="BW231" s="138">
        <f t="shared" ref="BW231" si="131">SUM(BW232:BW243)</f>
        <v>0</v>
      </c>
      <c r="BX231" s="138">
        <f t="shared" ref="BX231" si="132">SUM(BX232:BX243)</f>
        <v>0</v>
      </c>
      <c r="BY231" s="138">
        <f t="shared" ref="BY231" si="133">SUM(BY232:BY243)</f>
        <v>0</v>
      </c>
      <c r="BZ231" s="138">
        <f t="shared" ref="BZ231" si="134">SUM(BZ232:BZ243)</f>
        <v>0</v>
      </c>
      <c r="CA231" s="138">
        <f t="shared" ref="CA231" si="135">SUM(CA232:CA243)</f>
        <v>0</v>
      </c>
      <c r="CB231" s="138">
        <f t="shared" ref="CB231" si="136">SUM(CB232:CB243)</f>
        <v>0</v>
      </c>
      <c r="CC231" s="138">
        <f t="shared" ref="CC231" si="137">SUM(CC232:CC243)</f>
        <v>0</v>
      </c>
      <c r="CD231" s="138">
        <f t="shared" ref="CD231" si="138">SUM(CD232:CD243)</f>
        <v>0</v>
      </c>
      <c r="CE231" s="138">
        <f t="shared" ref="CE231" si="139">SUM(CE232:CE243)</f>
        <v>0</v>
      </c>
      <c r="CF231" s="138">
        <f t="shared" ref="CF231" si="140">SUM(CF232:CF243)</f>
        <v>0</v>
      </c>
      <c r="CG231" s="138">
        <f t="shared" ref="CG231" si="141">SUM(CG232:CG243)</f>
        <v>0</v>
      </c>
      <c r="CH231" s="138">
        <f t="shared" ref="CH231" si="142">SUM(CH232:CH243)</f>
        <v>0</v>
      </c>
      <c r="CI231" s="138">
        <f t="shared" ref="CI231" si="143">SUM(CI232:CI243)</f>
        <v>0</v>
      </c>
      <c r="CJ231" s="138">
        <f t="shared" ref="CJ231" si="144">SUM(CJ232:CJ243)</f>
        <v>0</v>
      </c>
      <c r="CK231" s="138">
        <f t="shared" ref="CK231" si="145">SUM(CK232:CK243)</f>
        <v>0</v>
      </c>
      <c r="CL231" s="138">
        <f t="shared" ref="CL231" si="146">SUM(CL232:CL243)</f>
        <v>0</v>
      </c>
      <c r="CM231" s="138">
        <f t="shared" ref="CM231" si="147">SUM(CM232:CM243)</f>
        <v>0</v>
      </c>
      <c r="CN231" s="138">
        <f t="shared" ref="CN231" si="148">SUM(CN232:CN243)</f>
        <v>0</v>
      </c>
      <c r="CO231" s="138">
        <f t="shared" ref="CO231" si="149">SUM(CO232:CO243)</f>
        <v>0</v>
      </c>
      <c r="CP231" s="138">
        <f t="shared" ref="CP231" si="150">SUM(CP232:CP243)</f>
        <v>0</v>
      </c>
      <c r="CQ231" s="138">
        <f t="shared" ref="CQ231" si="151">SUM(CQ232:CQ243)</f>
        <v>0</v>
      </c>
      <c r="CR231" s="138">
        <f t="shared" ref="CR231" si="152">SUM(CR232:CR243)</f>
        <v>0</v>
      </c>
      <c r="CS231" s="138">
        <f t="shared" ref="CS231" si="153">SUM(CS232:CS243)</f>
        <v>0</v>
      </c>
      <c r="CT231" s="138">
        <f t="shared" ref="CT231" si="154">SUM(CT232:CT243)</f>
        <v>0</v>
      </c>
      <c r="CU231" s="138">
        <f t="shared" ref="CU231" si="155">SUM(CU232:CU243)</f>
        <v>0</v>
      </c>
      <c r="CV231" s="138">
        <f t="shared" ref="CV231" si="156">SUM(CV232:CV243)</f>
        <v>0</v>
      </c>
      <c r="CW231" s="138">
        <f t="shared" ref="CW231" si="157">SUM(CW232:CW243)</f>
        <v>0</v>
      </c>
      <c r="CX231" s="138">
        <f t="shared" ref="CX231" si="158">SUM(CX232:CX243)</f>
        <v>0</v>
      </c>
      <c r="CY231" s="138">
        <f t="shared" ref="CY231" si="159">SUM(CY232:CY243)</f>
        <v>0</v>
      </c>
      <c r="CZ231" s="138">
        <f t="shared" ref="CZ231" si="160">SUM(CZ232:CZ243)</f>
        <v>0</v>
      </c>
      <c r="DA231" s="138">
        <f t="shared" ref="DA231" si="161">SUM(DA232:DA243)</f>
        <v>0</v>
      </c>
      <c r="DB231" s="138">
        <f t="shared" ref="DB231" si="162">SUM(DB232:DB243)</f>
        <v>0</v>
      </c>
      <c r="DC231" s="138">
        <f t="shared" ref="DC231" si="163">SUM(DC232:DC243)</f>
        <v>0</v>
      </c>
      <c r="DD231" s="138">
        <f t="shared" ref="DD231" si="164">SUM(DD232:DD243)</f>
        <v>0</v>
      </c>
      <c r="DE231" s="138">
        <f t="shared" ref="DE231" si="165">SUM(DE232:DE243)</f>
        <v>0</v>
      </c>
      <c r="DF231" s="138">
        <f t="shared" ref="DF231" si="166">SUM(DF232:DF243)</f>
        <v>0</v>
      </c>
      <c r="DG231" s="138">
        <f t="shared" ref="DG231" si="167">SUM(DG232:DG243)</f>
        <v>0</v>
      </c>
      <c r="DH231" s="138">
        <f t="shared" ref="DH231" si="168">SUM(DH232:DH243)</f>
        <v>0</v>
      </c>
      <c r="DI231" s="138">
        <f t="shared" ref="DI231" si="169">SUM(DI232:DI243)</f>
        <v>0</v>
      </c>
      <c r="DJ231" s="138">
        <f t="shared" ref="DJ231" si="170">SUM(DJ232:DJ243)</f>
        <v>0</v>
      </c>
      <c r="DK231" s="138">
        <f t="shared" ref="DK231" si="171">SUM(DK232:DK243)</f>
        <v>0</v>
      </c>
      <c r="DL231" s="138">
        <f t="shared" ref="DL231" si="172">SUM(DL232:DL243)</f>
        <v>0</v>
      </c>
      <c r="DM231" s="138">
        <f t="shared" ref="DM231" si="173">SUM(DM232:DM243)</f>
        <v>0</v>
      </c>
      <c r="DN231" s="138">
        <f t="shared" ref="DN231" si="174">SUM(DN232:DN243)</f>
        <v>0</v>
      </c>
      <c r="DO231" s="138">
        <f t="shared" ref="DO231" si="175">SUM(DO232:DO243)</f>
        <v>0</v>
      </c>
      <c r="DP231" s="138">
        <f t="shared" ref="DP231" si="176">SUM(DP232:DP243)</f>
        <v>0</v>
      </c>
      <c r="DQ231" s="138">
        <f t="shared" ref="DQ231" si="177">SUM(DQ232:DQ243)</f>
        <v>0</v>
      </c>
      <c r="DR231" s="138">
        <f t="shared" ref="DR231" si="178">SUM(DR232:DR243)</f>
        <v>0</v>
      </c>
      <c r="DS231" s="138">
        <f t="shared" ref="DS231" si="179">SUM(DS232:DS243)</f>
        <v>0</v>
      </c>
      <c r="DT231" s="138">
        <f t="shared" ref="DT231" si="180">SUM(DT232:DT243)</f>
        <v>0</v>
      </c>
      <c r="DU231" s="138">
        <f t="shared" ref="DU231" si="181">SUM(DU232:DU243)</f>
        <v>0</v>
      </c>
      <c r="DV231" s="138">
        <f t="shared" ref="DV231" si="182">SUM(DV232:DV243)</f>
        <v>0</v>
      </c>
      <c r="DW231" s="138">
        <f t="shared" ref="DW231" si="183">SUM(DW232:DW243)</f>
        <v>0</v>
      </c>
      <c r="DX231" s="138">
        <f t="shared" ref="DX231" si="184">SUM(DX232:DX243)</f>
        <v>0</v>
      </c>
      <c r="DY231" s="138">
        <f t="shared" ref="DY231" si="185">SUM(DY232:DY243)</f>
        <v>0</v>
      </c>
      <c r="DZ231" s="218"/>
      <c r="EA231" s="231"/>
      <c r="EB231" s="231"/>
      <c r="EC231" s="231"/>
      <c r="ED231" s="231"/>
      <c r="EE231" s="231"/>
      <c r="EF231" s="231"/>
      <c r="EG231" s="231"/>
      <c r="EH231" s="231"/>
      <c r="EI231" s="231"/>
      <c r="EJ231" s="231"/>
      <c r="EK231" s="231"/>
      <c r="EL231" s="231"/>
      <c r="EM231" s="231"/>
      <c r="EN231" s="231"/>
      <c r="EO231" s="231"/>
      <c r="EP231" s="231"/>
      <c r="EQ231" s="231"/>
    </row>
    <row r="232" spans="1:147" ht="22.9" customHeight="1" outlineLevel="4" x14ac:dyDescent="0.2">
      <c r="A232" s="146" t="s">
        <v>754</v>
      </c>
      <c r="B232" s="53" t="s">
        <v>755</v>
      </c>
      <c r="C232" s="50" t="s">
        <v>100</v>
      </c>
      <c r="D232" s="165" t="s">
        <v>454</v>
      </c>
      <c r="E232" s="158">
        <v>1</v>
      </c>
      <c r="F232" s="52">
        <f>SUM(H232:DY232)*E232*Table1[[#This Row],[Cycles]]</f>
        <v>0</v>
      </c>
      <c r="G232" s="46">
        <f>SUMPRODUCT($H$2:$DY$2,$H232:$DY232)*E232*D232</f>
        <v>0</v>
      </c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4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221"/>
      <c r="EA232" s="231"/>
      <c r="EB232" s="231"/>
      <c r="EC232" s="231"/>
      <c r="ED232" s="231"/>
      <c r="EE232" s="231"/>
      <c r="EF232" s="231"/>
      <c r="EG232" s="231"/>
      <c r="EH232" s="231"/>
      <c r="EI232" s="231"/>
      <c r="EJ232" s="231"/>
      <c r="EK232" s="231"/>
      <c r="EL232" s="231"/>
      <c r="EM232" s="231"/>
      <c r="EN232" s="231"/>
      <c r="EO232" s="231"/>
      <c r="EP232" s="231"/>
      <c r="EQ232" s="231"/>
    </row>
    <row r="233" spans="1:147" ht="22.9" customHeight="1" outlineLevel="4" x14ac:dyDescent="0.2">
      <c r="A233" s="146" t="s">
        <v>756</v>
      </c>
      <c r="B233" s="53" t="s">
        <v>757</v>
      </c>
      <c r="C233" s="50" t="s">
        <v>100</v>
      </c>
      <c r="D233" s="165" t="s">
        <v>454</v>
      </c>
      <c r="E233" s="158">
        <v>1</v>
      </c>
      <c r="F233" s="52">
        <f>SUM(H233:DY233)*E233*Table1[[#This Row],[Cycles]]</f>
        <v>0</v>
      </c>
      <c r="G233" s="46">
        <f>SUMPRODUCT($H$2:$DY$2,$H233:$DY233)*E233*D233</f>
        <v>0</v>
      </c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  <c r="BH233" s="94"/>
      <c r="BI233" s="94"/>
      <c r="BJ233" s="94"/>
      <c r="BK233" s="94"/>
      <c r="BL233" s="94"/>
      <c r="BM233" s="94"/>
      <c r="BN233" s="94"/>
      <c r="BO233" s="94"/>
      <c r="BP233" s="115"/>
      <c r="BQ233" s="115"/>
      <c r="BR233" s="115"/>
      <c r="BS233" s="115"/>
      <c r="BT233" s="115"/>
      <c r="BU233" s="115"/>
      <c r="BV233" s="94"/>
      <c r="BW233" s="94"/>
      <c r="BX233" s="94"/>
      <c r="BY233" s="94"/>
      <c r="BZ233" s="94"/>
      <c r="CA233" s="94"/>
      <c r="CB233" s="94"/>
      <c r="CC233" s="94"/>
      <c r="CD233" s="94"/>
      <c r="CE233" s="94"/>
      <c r="CF233" s="94"/>
      <c r="CG233" s="94"/>
      <c r="CH233" s="94"/>
      <c r="CI233" s="94"/>
      <c r="CJ233" s="94"/>
      <c r="CK233" s="94"/>
      <c r="CL233" s="94"/>
      <c r="CM233" s="94"/>
      <c r="CN233" s="94"/>
      <c r="CO233" s="94"/>
      <c r="CP233" s="94"/>
      <c r="CQ233" s="94"/>
      <c r="CR233" s="94"/>
      <c r="CS233" s="94"/>
      <c r="CT233" s="94"/>
      <c r="CU233" s="94"/>
      <c r="CV233" s="94"/>
      <c r="CW233" s="94"/>
      <c r="CX233" s="94"/>
      <c r="CY233" s="94"/>
      <c r="CZ233" s="94"/>
      <c r="DA233" s="94"/>
      <c r="DB233" s="94"/>
      <c r="DC233" s="94"/>
      <c r="DD233" s="94"/>
      <c r="DE233" s="94"/>
      <c r="DF233" s="94"/>
      <c r="DG233" s="94"/>
      <c r="DH233" s="94"/>
      <c r="DI233" s="94"/>
      <c r="DJ233" s="94"/>
      <c r="DK233" s="94"/>
      <c r="DL233" s="94"/>
      <c r="DM233" s="94"/>
      <c r="DN233" s="94"/>
      <c r="DO233" s="94"/>
      <c r="DP233" s="94"/>
      <c r="DQ233" s="94"/>
      <c r="DR233" s="94"/>
      <c r="DS233" s="94"/>
      <c r="DT233" s="94"/>
      <c r="DU233" s="94"/>
      <c r="DV233" s="94"/>
      <c r="DW233" s="94"/>
      <c r="DX233" s="94"/>
      <c r="DY233" s="94"/>
      <c r="DZ233" s="218"/>
      <c r="EA233" s="231"/>
      <c r="EB233" s="231"/>
      <c r="EC233" s="231"/>
      <c r="ED233" s="231"/>
      <c r="EE233" s="231"/>
      <c r="EF233" s="231"/>
      <c r="EG233" s="231"/>
      <c r="EH233" s="231"/>
      <c r="EI233" s="231"/>
      <c r="EJ233" s="231"/>
      <c r="EK233" s="231"/>
      <c r="EL233" s="231"/>
      <c r="EM233" s="231"/>
      <c r="EN233" s="231"/>
      <c r="EO233" s="231"/>
      <c r="EP233" s="231"/>
      <c r="EQ233" s="231"/>
    </row>
    <row r="234" spans="1:147" ht="22.9" customHeight="1" outlineLevel="4" x14ac:dyDescent="0.2">
      <c r="A234" s="146" t="s">
        <v>758</v>
      </c>
      <c r="B234" s="53" t="s">
        <v>759</v>
      </c>
      <c r="C234" s="50" t="s">
        <v>100</v>
      </c>
      <c r="D234" s="165" t="s">
        <v>454</v>
      </c>
      <c r="E234" s="158">
        <v>1</v>
      </c>
      <c r="F234" s="52">
        <f>SUM(H234:DY234)*E234*Table1[[#This Row],[Cycles]]</f>
        <v>0</v>
      </c>
      <c r="G234" s="46">
        <f t="shared" ref="G234:G243" si="186">SUMPRODUCT($H$2:$DY$2,$H234:$DY234)*E234*D234</f>
        <v>0</v>
      </c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4"/>
      <c r="BL234" s="94"/>
      <c r="BM234" s="94"/>
      <c r="BN234" s="94"/>
      <c r="BO234" s="94"/>
      <c r="BP234" s="115"/>
      <c r="BQ234" s="115"/>
      <c r="BR234" s="115"/>
      <c r="BS234" s="115"/>
      <c r="BT234" s="115"/>
      <c r="BU234" s="115"/>
      <c r="BV234" s="94"/>
      <c r="BW234" s="94"/>
      <c r="BX234" s="94"/>
      <c r="BY234" s="94"/>
      <c r="BZ234" s="94"/>
      <c r="CA234" s="94"/>
      <c r="CB234" s="94"/>
      <c r="CC234" s="94"/>
      <c r="CD234" s="94"/>
      <c r="CE234" s="94"/>
      <c r="CF234" s="94"/>
      <c r="CG234" s="94"/>
      <c r="CH234" s="94"/>
      <c r="CI234" s="94"/>
      <c r="CJ234" s="94"/>
      <c r="CK234" s="94"/>
      <c r="CL234" s="94"/>
      <c r="CM234" s="94"/>
      <c r="CN234" s="94"/>
      <c r="CO234" s="94"/>
      <c r="CP234" s="94"/>
      <c r="CQ234" s="94"/>
      <c r="CR234" s="94"/>
      <c r="CS234" s="94"/>
      <c r="CT234" s="94"/>
      <c r="CU234" s="94"/>
      <c r="CV234" s="94"/>
      <c r="CW234" s="94"/>
      <c r="CX234" s="94"/>
      <c r="CY234" s="94"/>
      <c r="CZ234" s="94"/>
      <c r="DA234" s="94"/>
      <c r="DB234" s="94"/>
      <c r="DC234" s="94"/>
      <c r="DD234" s="94"/>
      <c r="DE234" s="94"/>
      <c r="DF234" s="94"/>
      <c r="DG234" s="94"/>
      <c r="DH234" s="94"/>
      <c r="DI234" s="94"/>
      <c r="DJ234" s="94"/>
      <c r="DK234" s="94"/>
      <c r="DL234" s="94"/>
      <c r="DM234" s="94"/>
      <c r="DN234" s="94"/>
      <c r="DO234" s="94"/>
      <c r="DP234" s="94"/>
      <c r="DQ234" s="94"/>
      <c r="DR234" s="94"/>
      <c r="DS234" s="94"/>
      <c r="DT234" s="94"/>
      <c r="DU234" s="94"/>
      <c r="DV234" s="94"/>
      <c r="DW234" s="94"/>
      <c r="DX234" s="94"/>
      <c r="DY234" s="94"/>
      <c r="DZ234" s="218"/>
      <c r="EA234" s="231"/>
      <c r="EB234" s="231"/>
      <c r="EC234" s="231"/>
      <c r="ED234" s="231"/>
      <c r="EE234" s="231"/>
      <c r="EF234" s="231"/>
      <c r="EG234" s="231"/>
      <c r="EH234" s="231"/>
      <c r="EI234" s="231"/>
      <c r="EJ234" s="231"/>
      <c r="EK234" s="231"/>
      <c r="EL234" s="231"/>
      <c r="EM234" s="231"/>
      <c r="EN234" s="231"/>
      <c r="EO234" s="231"/>
      <c r="EP234" s="231"/>
      <c r="EQ234" s="231"/>
    </row>
    <row r="235" spans="1:147" ht="22.9" customHeight="1" outlineLevel="4" x14ac:dyDescent="0.2">
      <c r="A235" s="146" t="s">
        <v>760</v>
      </c>
      <c r="B235" s="53" t="s">
        <v>761</v>
      </c>
      <c r="C235" s="50" t="s">
        <v>100</v>
      </c>
      <c r="D235" s="165" t="s">
        <v>454</v>
      </c>
      <c r="E235" s="158">
        <v>1</v>
      </c>
      <c r="F235" s="52">
        <f>SUM(H235:DY235)*E235*Table1[[#This Row],[Cycles]]</f>
        <v>0</v>
      </c>
      <c r="G235" s="46">
        <f t="shared" si="186"/>
        <v>0</v>
      </c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4"/>
      <c r="BL235" s="94"/>
      <c r="BM235" s="94"/>
      <c r="BN235" s="94"/>
      <c r="BO235" s="94"/>
      <c r="BP235" s="115"/>
      <c r="BQ235" s="115"/>
      <c r="BR235" s="115"/>
      <c r="BS235" s="115"/>
      <c r="BT235" s="115"/>
      <c r="BU235" s="115"/>
      <c r="BV235" s="94"/>
      <c r="BW235" s="94"/>
      <c r="BX235" s="94"/>
      <c r="BY235" s="94"/>
      <c r="BZ235" s="94"/>
      <c r="CA235" s="94"/>
      <c r="CB235" s="94"/>
      <c r="CC235" s="94"/>
      <c r="CD235" s="94"/>
      <c r="CE235" s="94"/>
      <c r="CF235" s="94"/>
      <c r="CG235" s="94"/>
      <c r="CH235" s="94"/>
      <c r="CI235" s="94"/>
      <c r="CJ235" s="94"/>
      <c r="CK235" s="94"/>
      <c r="CL235" s="94"/>
      <c r="CM235" s="94"/>
      <c r="CN235" s="94"/>
      <c r="CO235" s="94"/>
      <c r="CP235" s="94"/>
      <c r="CQ235" s="94"/>
      <c r="CR235" s="94"/>
      <c r="CS235" s="94"/>
      <c r="CT235" s="94"/>
      <c r="CU235" s="94"/>
      <c r="CV235" s="94"/>
      <c r="CW235" s="94"/>
      <c r="CX235" s="94"/>
      <c r="CY235" s="94"/>
      <c r="CZ235" s="94"/>
      <c r="DA235" s="94"/>
      <c r="DB235" s="94"/>
      <c r="DC235" s="94"/>
      <c r="DD235" s="94"/>
      <c r="DE235" s="94"/>
      <c r="DF235" s="94"/>
      <c r="DG235" s="94"/>
      <c r="DH235" s="94"/>
      <c r="DI235" s="94"/>
      <c r="DJ235" s="94"/>
      <c r="DK235" s="94"/>
      <c r="DL235" s="94"/>
      <c r="DM235" s="94"/>
      <c r="DN235" s="94"/>
      <c r="DO235" s="94"/>
      <c r="DP235" s="94"/>
      <c r="DQ235" s="94"/>
      <c r="DR235" s="94"/>
      <c r="DS235" s="94"/>
      <c r="DT235" s="94"/>
      <c r="DU235" s="94"/>
      <c r="DV235" s="94"/>
      <c r="DW235" s="94"/>
      <c r="DX235" s="94"/>
      <c r="DY235" s="94"/>
      <c r="DZ235" s="218"/>
      <c r="EA235" s="231"/>
      <c r="EB235" s="231"/>
      <c r="EC235" s="231"/>
      <c r="ED235" s="231"/>
      <c r="EE235" s="231"/>
      <c r="EF235" s="231"/>
      <c r="EG235" s="231"/>
      <c r="EH235" s="231"/>
      <c r="EI235" s="231"/>
      <c r="EJ235" s="231"/>
      <c r="EK235" s="231"/>
      <c r="EL235" s="231"/>
      <c r="EM235" s="231"/>
      <c r="EN235" s="231"/>
      <c r="EO235" s="231"/>
      <c r="EP235" s="231"/>
      <c r="EQ235" s="231"/>
    </row>
    <row r="236" spans="1:147" ht="22.9" customHeight="1" outlineLevel="4" x14ac:dyDescent="0.2">
      <c r="A236" s="146" t="s">
        <v>762</v>
      </c>
      <c r="B236" s="53" t="s">
        <v>763</v>
      </c>
      <c r="C236" s="50" t="s">
        <v>100</v>
      </c>
      <c r="D236" s="165" t="s">
        <v>454</v>
      </c>
      <c r="E236" s="158">
        <v>1</v>
      </c>
      <c r="F236" s="52">
        <f>SUM(H236:DY236)*E236*Table1[[#This Row],[Cycles]]</f>
        <v>0</v>
      </c>
      <c r="G236" s="46">
        <f t="shared" si="186"/>
        <v>0</v>
      </c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4"/>
      <c r="BL236" s="94"/>
      <c r="BM236" s="94"/>
      <c r="BN236" s="94"/>
      <c r="BO236" s="94"/>
      <c r="BP236" s="115"/>
      <c r="BQ236" s="115"/>
      <c r="BR236" s="115"/>
      <c r="BS236" s="115"/>
      <c r="BT236" s="115"/>
      <c r="BU236" s="115"/>
      <c r="BV236" s="94"/>
      <c r="BW236" s="94"/>
      <c r="BX236" s="94"/>
      <c r="BY236" s="94"/>
      <c r="BZ236" s="94"/>
      <c r="CA236" s="94"/>
      <c r="CB236" s="94"/>
      <c r="CC236" s="94"/>
      <c r="CD236" s="94"/>
      <c r="CE236" s="94"/>
      <c r="CF236" s="94"/>
      <c r="CG236" s="94"/>
      <c r="CH236" s="94"/>
      <c r="CI236" s="94"/>
      <c r="CJ236" s="94"/>
      <c r="CK236" s="94"/>
      <c r="CL236" s="94"/>
      <c r="CM236" s="94"/>
      <c r="CN236" s="94"/>
      <c r="CO236" s="94"/>
      <c r="CP236" s="94"/>
      <c r="CQ236" s="94"/>
      <c r="CR236" s="94"/>
      <c r="CS236" s="94"/>
      <c r="CT236" s="94"/>
      <c r="CU236" s="94"/>
      <c r="CV236" s="94"/>
      <c r="CW236" s="94"/>
      <c r="CX236" s="94"/>
      <c r="CY236" s="94"/>
      <c r="CZ236" s="94"/>
      <c r="DA236" s="94"/>
      <c r="DB236" s="94"/>
      <c r="DC236" s="94"/>
      <c r="DD236" s="94"/>
      <c r="DE236" s="94"/>
      <c r="DF236" s="94"/>
      <c r="DG236" s="94"/>
      <c r="DH236" s="94"/>
      <c r="DI236" s="94"/>
      <c r="DJ236" s="94"/>
      <c r="DK236" s="94"/>
      <c r="DL236" s="94"/>
      <c r="DM236" s="94"/>
      <c r="DN236" s="94"/>
      <c r="DO236" s="94"/>
      <c r="DP236" s="94"/>
      <c r="DQ236" s="94"/>
      <c r="DR236" s="94"/>
      <c r="DS236" s="94"/>
      <c r="DT236" s="94"/>
      <c r="DU236" s="94"/>
      <c r="DV236" s="94"/>
      <c r="DW236" s="94"/>
      <c r="DX236" s="94"/>
      <c r="DY236" s="94"/>
      <c r="DZ236" s="218"/>
      <c r="EA236" s="231"/>
      <c r="EB236" s="231"/>
      <c r="EC236" s="231"/>
      <c r="ED236" s="231"/>
      <c r="EE236" s="231"/>
      <c r="EF236" s="231"/>
      <c r="EG236" s="231"/>
      <c r="EH236" s="231"/>
      <c r="EI236" s="231"/>
      <c r="EJ236" s="231"/>
      <c r="EK236" s="231"/>
      <c r="EL236" s="231"/>
      <c r="EM236" s="231"/>
      <c r="EN236" s="231"/>
      <c r="EO236" s="231"/>
      <c r="EP236" s="231"/>
      <c r="EQ236" s="231"/>
    </row>
    <row r="237" spans="1:147" ht="22.9" customHeight="1" outlineLevel="4" x14ac:dyDescent="0.2">
      <c r="A237" s="146" t="s">
        <v>764</v>
      </c>
      <c r="B237" s="53" t="s">
        <v>765</v>
      </c>
      <c r="C237" s="50" t="s">
        <v>100</v>
      </c>
      <c r="D237" s="165" t="s">
        <v>454</v>
      </c>
      <c r="E237" s="158">
        <v>1</v>
      </c>
      <c r="F237" s="52">
        <f>SUM(H237:DY237)*E237*Table1[[#This Row],[Cycles]]</f>
        <v>0</v>
      </c>
      <c r="G237" s="46">
        <f t="shared" si="186"/>
        <v>0</v>
      </c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4"/>
      <c r="BL237" s="94"/>
      <c r="BM237" s="94"/>
      <c r="BN237" s="94"/>
      <c r="BO237" s="94"/>
      <c r="BP237" s="115"/>
      <c r="BQ237" s="115"/>
      <c r="BR237" s="115"/>
      <c r="BS237" s="115"/>
      <c r="BT237" s="115"/>
      <c r="BU237" s="115"/>
      <c r="BV237" s="94"/>
      <c r="BW237" s="94"/>
      <c r="BX237" s="94"/>
      <c r="BY237" s="94"/>
      <c r="BZ237" s="94"/>
      <c r="CA237" s="94"/>
      <c r="CB237" s="94"/>
      <c r="CC237" s="94"/>
      <c r="CD237" s="94"/>
      <c r="CE237" s="94"/>
      <c r="CF237" s="94"/>
      <c r="CG237" s="94"/>
      <c r="CH237" s="94"/>
      <c r="CI237" s="94"/>
      <c r="CJ237" s="94"/>
      <c r="CK237" s="94"/>
      <c r="CL237" s="94"/>
      <c r="CM237" s="94"/>
      <c r="CN237" s="94"/>
      <c r="CO237" s="94"/>
      <c r="CP237" s="94"/>
      <c r="CQ237" s="94"/>
      <c r="CR237" s="94"/>
      <c r="CS237" s="94"/>
      <c r="CT237" s="94"/>
      <c r="CU237" s="94"/>
      <c r="CV237" s="94"/>
      <c r="CW237" s="94"/>
      <c r="CX237" s="94"/>
      <c r="CY237" s="94"/>
      <c r="CZ237" s="94"/>
      <c r="DA237" s="94"/>
      <c r="DB237" s="94"/>
      <c r="DC237" s="94"/>
      <c r="DD237" s="94"/>
      <c r="DE237" s="94"/>
      <c r="DF237" s="94"/>
      <c r="DG237" s="94"/>
      <c r="DH237" s="94"/>
      <c r="DI237" s="94"/>
      <c r="DJ237" s="94"/>
      <c r="DK237" s="94"/>
      <c r="DL237" s="94"/>
      <c r="DM237" s="94"/>
      <c r="DN237" s="94"/>
      <c r="DO237" s="94"/>
      <c r="DP237" s="94"/>
      <c r="DQ237" s="94"/>
      <c r="DR237" s="94"/>
      <c r="DS237" s="94"/>
      <c r="DT237" s="94"/>
      <c r="DU237" s="94"/>
      <c r="DV237" s="94"/>
      <c r="DW237" s="94"/>
      <c r="DX237" s="94"/>
      <c r="DY237" s="94"/>
      <c r="DZ237" s="218"/>
      <c r="EA237" s="231"/>
      <c r="EB237" s="231"/>
      <c r="EC237" s="231"/>
      <c r="ED237" s="231"/>
      <c r="EE237" s="231"/>
      <c r="EF237" s="231"/>
      <c r="EG237" s="231"/>
      <c r="EH237" s="231"/>
      <c r="EI237" s="231"/>
      <c r="EJ237" s="231"/>
      <c r="EK237" s="231"/>
      <c r="EL237" s="231"/>
      <c r="EM237" s="231"/>
      <c r="EN237" s="231"/>
      <c r="EO237" s="231"/>
      <c r="EP237" s="231"/>
      <c r="EQ237" s="231"/>
    </row>
    <row r="238" spans="1:147" ht="22.9" customHeight="1" outlineLevel="4" x14ac:dyDescent="0.2">
      <c r="A238" s="146" t="s">
        <v>766</v>
      </c>
      <c r="B238" s="53" t="s">
        <v>767</v>
      </c>
      <c r="C238" s="50" t="s">
        <v>100</v>
      </c>
      <c r="D238" s="165" t="s">
        <v>454</v>
      </c>
      <c r="E238" s="158">
        <v>1</v>
      </c>
      <c r="F238" s="52">
        <f>SUM(H238:DY238)*E238*Table1[[#This Row],[Cycles]]</f>
        <v>0</v>
      </c>
      <c r="G238" s="46">
        <f t="shared" si="186"/>
        <v>0</v>
      </c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4"/>
      <c r="BL238" s="94"/>
      <c r="BM238" s="94"/>
      <c r="BN238" s="94"/>
      <c r="BO238" s="94"/>
      <c r="BP238" s="115"/>
      <c r="BQ238" s="115"/>
      <c r="BR238" s="115"/>
      <c r="BS238" s="115"/>
      <c r="BT238" s="115"/>
      <c r="BU238" s="115"/>
      <c r="BV238" s="94"/>
      <c r="BW238" s="94"/>
      <c r="BX238" s="94"/>
      <c r="BY238" s="94"/>
      <c r="BZ238" s="94"/>
      <c r="CA238" s="94"/>
      <c r="CB238" s="94"/>
      <c r="CC238" s="94"/>
      <c r="CD238" s="94"/>
      <c r="CE238" s="94"/>
      <c r="CF238" s="94"/>
      <c r="CG238" s="94"/>
      <c r="CH238" s="94"/>
      <c r="CI238" s="94"/>
      <c r="CJ238" s="94"/>
      <c r="CK238" s="94"/>
      <c r="CL238" s="94"/>
      <c r="CM238" s="94"/>
      <c r="CN238" s="94"/>
      <c r="CO238" s="94"/>
      <c r="CP238" s="94"/>
      <c r="CQ238" s="94"/>
      <c r="CR238" s="94"/>
      <c r="CS238" s="94"/>
      <c r="CT238" s="94"/>
      <c r="CU238" s="94"/>
      <c r="CV238" s="94"/>
      <c r="CW238" s="94"/>
      <c r="CX238" s="94"/>
      <c r="CY238" s="94"/>
      <c r="CZ238" s="94"/>
      <c r="DA238" s="94"/>
      <c r="DB238" s="94"/>
      <c r="DC238" s="94"/>
      <c r="DD238" s="94"/>
      <c r="DE238" s="94"/>
      <c r="DF238" s="94"/>
      <c r="DG238" s="94"/>
      <c r="DH238" s="94"/>
      <c r="DI238" s="94"/>
      <c r="DJ238" s="94"/>
      <c r="DK238" s="94"/>
      <c r="DL238" s="94"/>
      <c r="DM238" s="94"/>
      <c r="DN238" s="94"/>
      <c r="DO238" s="94"/>
      <c r="DP238" s="94"/>
      <c r="DQ238" s="94"/>
      <c r="DR238" s="94"/>
      <c r="DS238" s="94"/>
      <c r="DT238" s="94"/>
      <c r="DU238" s="94"/>
      <c r="DV238" s="94"/>
      <c r="DW238" s="94"/>
      <c r="DX238" s="94"/>
      <c r="DY238" s="94"/>
      <c r="DZ238" s="218"/>
      <c r="EA238" s="231"/>
      <c r="EB238" s="231"/>
      <c r="EC238" s="231"/>
      <c r="ED238" s="231"/>
      <c r="EE238" s="231"/>
      <c r="EF238" s="231"/>
      <c r="EG238" s="231"/>
      <c r="EH238" s="231"/>
      <c r="EI238" s="231"/>
      <c r="EJ238" s="231"/>
      <c r="EK238" s="231"/>
      <c r="EL238" s="231"/>
      <c r="EM238" s="231"/>
      <c r="EN238" s="231"/>
      <c r="EO238" s="231"/>
      <c r="EP238" s="231"/>
      <c r="EQ238" s="231"/>
    </row>
    <row r="239" spans="1:147" ht="22.9" customHeight="1" outlineLevel="4" x14ac:dyDescent="0.2">
      <c r="A239" s="146" t="s">
        <v>768</v>
      </c>
      <c r="B239" s="53" t="s">
        <v>769</v>
      </c>
      <c r="C239" s="50" t="s">
        <v>100</v>
      </c>
      <c r="D239" s="165" t="s">
        <v>454</v>
      </c>
      <c r="E239" s="158">
        <v>1</v>
      </c>
      <c r="F239" s="52">
        <f>SUM(H239:DY239)*E239*Table1[[#This Row],[Cycles]]</f>
        <v>0</v>
      </c>
      <c r="G239" s="46">
        <f t="shared" si="186"/>
        <v>0</v>
      </c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  <c r="BH239" s="94"/>
      <c r="BI239" s="94"/>
      <c r="BJ239" s="94"/>
      <c r="BK239" s="94"/>
      <c r="BL239" s="94"/>
      <c r="BM239" s="94"/>
      <c r="BN239" s="94"/>
      <c r="BO239" s="94"/>
      <c r="BP239" s="115"/>
      <c r="BQ239" s="115"/>
      <c r="BR239" s="115"/>
      <c r="BS239" s="115"/>
      <c r="BT239" s="115"/>
      <c r="BU239" s="115"/>
      <c r="BV239" s="94"/>
      <c r="BW239" s="94"/>
      <c r="BX239" s="94"/>
      <c r="BY239" s="94"/>
      <c r="BZ239" s="94"/>
      <c r="CA239" s="94"/>
      <c r="CB239" s="94"/>
      <c r="CC239" s="94"/>
      <c r="CD239" s="94"/>
      <c r="CE239" s="94"/>
      <c r="CF239" s="94"/>
      <c r="CG239" s="94"/>
      <c r="CH239" s="94"/>
      <c r="CI239" s="94"/>
      <c r="CJ239" s="94"/>
      <c r="CK239" s="94"/>
      <c r="CL239" s="94"/>
      <c r="CM239" s="94"/>
      <c r="CN239" s="94"/>
      <c r="CO239" s="94"/>
      <c r="CP239" s="94"/>
      <c r="CQ239" s="94"/>
      <c r="CR239" s="94"/>
      <c r="CS239" s="94"/>
      <c r="CT239" s="94"/>
      <c r="CU239" s="94"/>
      <c r="CV239" s="94"/>
      <c r="CW239" s="94"/>
      <c r="CX239" s="94"/>
      <c r="CY239" s="94"/>
      <c r="CZ239" s="94"/>
      <c r="DA239" s="94"/>
      <c r="DB239" s="94"/>
      <c r="DC239" s="94"/>
      <c r="DD239" s="94"/>
      <c r="DE239" s="94"/>
      <c r="DF239" s="94"/>
      <c r="DG239" s="94"/>
      <c r="DH239" s="94"/>
      <c r="DI239" s="94"/>
      <c r="DJ239" s="94"/>
      <c r="DK239" s="94"/>
      <c r="DL239" s="94"/>
      <c r="DM239" s="94"/>
      <c r="DN239" s="94"/>
      <c r="DO239" s="94"/>
      <c r="DP239" s="94"/>
      <c r="DQ239" s="94"/>
      <c r="DR239" s="94"/>
      <c r="DS239" s="94"/>
      <c r="DT239" s="94"/>
      <c r="DU239" s="94"/>
      <c r="DV239" s="94"/>
      <c r="DW239" s="94"/>
      <c r="DX239" s="94"/>
      <c r="DY239" s="94"/>
      <c r="DZ239" s="218"/>
      <c r="EA239" s="231"/>
      <c r="EB239" s="231"/>
      <c r="EC239" s="231"/>
      <c r="ED239" s="231"/>
      <c r="EE239" s="231"/>
      <c r="EF239" s="231"/>
      <c r="EG239" s="231"/>
      <c r="EH239" s="231"/>
      <c r="EI239" s="231"/>
      <c r="EJ239" s="231"/>
      <c r="EK239" s="231"/>
      <c r="EL239" s="231"/>
      <c r="EM239" s="231"/>
      <c r="EN239" s="231"/>
      <c r="EO239" s="231"/>
      <c r="EP239" s="231"/>
      <c r="EQ239" s="231"/>
    </row>
    <row r="240" spans="1:147" ht="22.9" customHeight="1" outlineLevel="4" x14ac:dyDescent="0.2">
      <c r="A240" s="146" t="s">
        <v>770</v>
      </c>
      <c r="B240" s="53" t="s">
        <v>771</v>
      </c>
      <c r="C240" s="50" t="s">
        <v>100</v>
      </c>
      <c r="D240" s="165" t="s">
        <v>454</v>
      </c>
      <c r="E240" s="158">
        <v>1</v>
      </c>
      <c r="F240" s="52">
        <f>SUM(H240:DY240)*E240*Table1[[#This Row],[Cycles]]</f>
        <v>0</v>
      </c>
      <c r="G240" s="46">
        <f t="shared" si="186"/>
        <v>0</v>
      </c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  <c r="BH240" s="94"/>
      <c r="BI240" s="94"/>
      <c r="BJ240" s="94"/>
      <c r="BK240" s="94"/>
      <c r="BL240" s="94"/>
      <c r="BM240" s="94"/>
      <c r="BN240" s="94"/>
      <c r="BO240" s="94"/>
      <c r="BP240" s="115"/>
      <c r="BQ240" s="115"/>
      <c r="BR240" s="115"/>
      <c r="BS240" s="115"/>
      <c r="BT240" s="115"/>
      <c r="BU240" s="115"/>
      <c r="BV240" s="94"/>
      <c r="BW240" s="94"/>
      <c r="BX240" s="94"/>
      <c r="BY240" s="94"/>
      <c r="BZ240" s="94"/>
      <c r="CA240" s="94"/>
      <c r="CB240" s="94"/>
      <c r="CC240" s="94"/>
      <c r="CD240" s="94"/>
      <c r="CE240" s="94"/>
      <c r="CF240" s="94"/>
      <c r="CG240" s="94"/>
      <c r="CH240" s="94"/>
      <c r="CI240" s="94"/>
      <c r="CJ240" s="94"/>
      <c r="CK240" s="94"/>
      <c r="CL240" s="94"/>
      <c r="CM240" s="94"/>
      <c r="CN240" s="94"/>
      <c r="CO240" s="94"/>
      <c r="CP240" s="94"/>
      <c r="CQ240" s="94"/>
      <c r="CR240" s="94"/>
      <c r="CS240" s="94"/>
      <c r="CT240" s="94"/>
      <c r="CU240" s="94"/>
      <c r="CV240" s="94"/>
      <c r="CW240" s="94"/>
      <c r="CX240" s="94"/>
      <c r="CY240" s="94"/>
      <c r="CZ240" s="94"/>
      <c r="DA240" s="94"/>
      <c r="DB240" s="94"/>
      <c r="DC240" s="94"/>
      <c r="DD240" s="94"/>
      <c r="DE240" s="94"/>
      <c r="DF240" s="94"/>
      <c r="DG240" s="94"/>
      <c r="DH240" s="94"/>
      <c r="DI240" s="94"/>
      <c r="DJ240" s="94"/>
      <c r="DK240" s="94"/>
      <c r="DL240" s="94"/>
      <c r="DM240" s="94"/>
      <c r="DN240" s="94"/>
      <c r="DO240" s="94"/>
      <c r="DP240" s="94"/>
      <c r="DQ240" s="94"/>
      <c r="DR240" s="94"/>
      <c r="DS240" s="94"/>
      <c r="DT240" s="94"/>
      <c r="DU240" s="94"/>
      <c r="DV240" s="94"/>
      <c r="DW240" s="94"/>
      <c r="DX240" s="94"/>
      <c r="DY240" s="94"/>
      <c r="DZ240" s="218"/>
      <c r="EA240" s="231"/>
      <c r="EB240" s="231"/>
      <c r="EC240" s="231"/>
      <c r="ED240" s="231"/>
      <c r="EE240" s="231"/>
      <c r="EF240" s="231"/>
      <c r="EG240" s="231"/>
      <c r="EH240" s="231"/>
      <c r="EI240" s="231"/>
      <c r="EJ240" s="231"/>
      <c r="EK240" s="231"/>
      <c r="EL240" s="231"/>
      <c r="EM240" s="231"/>
      <c r="EN240" s="231"/>
      <c r="EO240" s="231"/>
      <c r="EP240" s="231"/>
      <c r="EQ240" s="231"/>
    </row>
    <row r="241" spans="1:147" ht="22.9" customHeight="1" outlineLevel="4" x14ac:dyDescent="0.2">
      <c r="A241" s="146" t="s">
        <v>772</v>
      </c>
      <c r="B241" s="53" t="s">
        <v>773</v>
      </c>
      <c r="C241" s="50" t="s">
        <v>100</v>
      </c>
      <c r="D241" s="165" t="s">
        <v>454</v>
      </c>
      <c r="E241" s="158">
        <v>1</v>
      </c>
      <c r="F241" s="52">
        <f>SUM(H241:DY241)*E241*Table1[[#This Row],[Cycles]]</f>
        <v>0</v>
      </c>
      <c r="G241" s="46">
        <f t="shared" si="186"/>
        <v>0</v>
      </c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  <c r="AX241" s="94"/>
      <c r="AY241" s="94"/>
      <c r="AZ241" s="94"/>
      <c r="BA241" s="94"/>
      <c r="BB241" s="94"/>
      <c r="BC241" s="94"/>
      <c r="BD241" s="94"/>
      <c r="BE241" s="94"/>
      <c r="BF241" s="94"/>
      <c r="BG241" s="94"/>
      <c r="BH241" s="94"/>
      <c r="BI241" s="94"/>
      <c r="BJ241" s="94"/>
      <c r="BK241" s="94"/>
      <c r="BL241" s="94"/>
      <c r="BM241" s="94"/>
      <c r="BN241" s="94"/>
      <c r="BO241" s="94"/>
      <c r="BP241" s="115"/>
      <c r="BQ241" s="115"/>
      <c r="BR241" s="115"/>
      <c r="BS241" s="115"/>
      <c r="BT241" s="115"/>
      <c r="BU241" s="115"/>
      <c r="BV241" s="94"/>
      <c r="BW241" s="94"/>
      <c r="BX241" s="94"/>
      <c r="BY241" s="94"/>
      <c r="BZ241" s="94"/>
      <c r="CA241" s="94"/>
      <c r="CB241" s="94"/>
      <c r="CC241" s="94"/>
      <c r="CD241" s="94"/>
      <c r="CE241" s="94"/>
      <c r="CF241" s="94"/>
      <c r="CG241" s="94"/>
      <c r="CH241" s="94"/>
      <c r="CI241" s="94"/>
      <c r="CJ241" s="94"/>
      <c r="CK241" s="94"/>
      <c r="CL241" s="94"/>
      <c r="CM241" s="94"/>
      <c r="CN241" s="94"/>
      <c r="CO241" s="94"/>
      <c r="CP241" s="94"/>
      <c r="CQ241" s="94"/>
      <c r="CR241" s="94"/>
      <c r="CS241" s="94"/>
      <c r="CT241" s="94"/>
      <c r="CU241" s="94"/>
      <c r="CV241" s="94"/>
      <c r="CW241" s="94"/>
      <c r="CX241" s="94"/>
      <c r="CY241" s="94"/>
      <c r="CZ241" s="94"/>
      <c r="DA241" s="94"/>
      <c r="DB241" s="94"/>
      <c r="DC241" s="94"/>
      <c r="DD241" s="94"/>
      <c r="DE241" s="94"/>
      <c r="DF241" s="94"/>
      <c r="DG241" s="94"/>
      <c r="DH241" s="94"/>
      <c r="DI241" s="94"/>
      <c r="DJ241" s="94"/>
      <c r="DK241" s="94"/>
      <c r="DL241" s="94"/>
      <c r="DM241" s="94"/>
      <c r="DN241" s="94"/>
      <c r="DO241" s="94"/>
      <c r="DP241" s="94"/>
      <c r="DQ241" s="94"/>
      <c r="DR241" s="94"/>
      <c r="DS241" s="94"/>
      <c r="DT241" s="94"/>
      <c r="DU241" s="94"/>
      <c r="DV241" s="94"/>
      <c r="DW241" s="94"/>
      <c r="DX241" s="94"/>
      <c r="DY241" s="94"/>
      <c r="DZ241" s="218"/>
      <c r="EA241" s="231"/>
      <c r="EB241" s="231"/>
      <c r="EC241" s="231"/>
      <c r="ED241" s="231"/>
      <c r="EE241" s="231"/>
      <c r="EF241" s="231"/>
      <c r="EG241" s="231"/>
      <c r="EH241" s="231"/>
      <c r="EI241" s="231"/>
      <c r="EJ241" s="231"/>
      <c r="EK241" s="231"/>
      <c r="EL241" s="231"/>
      <c r="EM241" s="231"/>
      <c r="EN241" s="231"/>
      <c r="EO241" s="231"/>
      <c r="EP241" s="231"/>
      <c r="EQ241" s="231"/>
    </row>
    <row r="242" spans="1:147" ht="22.9" customHeight="1" outlineLevel="4" x14ac:dyDescent="0.2">
      <c r="A242" s="146" t="s">
        <v>774</v>
      </c>
      <c r="B242" s="53" t="s">
        <v>775</v>
      </c>
      <c r="C242" s="50" t="s">
        <v>100</v>
      </c>
      <c r="D242" s="165" t="s">
        <v>454</v>
      </c>
      <c r="E242" s="158">
        <v>1</v>
      </c>
      <c r="F242" s="52">
        <f>SUM(H242:DY242)*E242*Table1[[#This Row],[Cycles]]</f>
        <v>0</v>
      </c>
      <c r="G242" s="46">
        <f t="shared" si="186"/>
        <v>0</v>
      </c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  <c r="BA242" s="94"/>
      <c r="BB242" s="94"/>
      <c r="BC242" s="94"/>
      <c r="BD242" s="94"/>
      <c r="BE242" s="94"/>
      <c r="BF242" s="94"/>
      <c r="BG242" s="94"/>
      <c r="BH242" s="94"/>
      <c r="BI242" s="94"/>
      <c r="BJ242" s="94"/>
      <c r="BK242" s="94"/>
      <c r="BL242" s="94"/>
      <c r="BM242" s="94"/>
      <c r="BN242" s="94"/>
      <c r="BO242" s="94"/>
      <c r="BP242" s="115"/>
      <c r="BQ242" s="115"/>
      <c r="BR242" s="115"/>
      <c r="BS242" s="115"/>
      <c r="BT242" s="115"/>
      <c r="BU242" s="115"/>
      <c r="BV242" s="94"/>
      <c r="BW242" s="94"/>
      <c r="BX242" s="94"/>
      <c r="BY242" s="94"/>
      <c r="BZ242" s="94"/>
      <c r="CA242" s="94"/>
      <c r="CB242" s="94"/>
      <c r="CC242" s="94"/>
      <c r="CD242" s="94"/>
      <c r="CE242" s="94"/>
      <c r="CF242" s="94"/>
      <c r="CG242" s="94"/>
      <c r="CH242" s="94"/>
      <c r="CI242" s="94"/>
      <c r="CJ242" s="94"/>
      <c r="CK242" s="94"/>
      <c r="CL242" s="94"/>
      <c r="CM242" s="94"/>
      <c r="CN242" s="94"/>
      <c r="CO242" s="94"/>
      <c r="CP242" s="94"/>
      <c r="CQ242" s="94"/>
      <c r="CR242" s="94"/>
      <c r="CS242" s="94"/>
      <c r="CT242" s="94"/>
      <c r="CU242" s="94"/>
      <c r="CV242" s="94"/>
      <c r="CW242" s="94"/>
      <c r="CX242" s="94"/>
      <c r="CY242" s="94"/>
      <c r="CZ242" s="94"/>
      <c r="DA242" s="94"/>
      <c r="DB242" s="94"/>
      <c r="DC242" s="94"/>
      <c r="DD242" s="94"/>
      <c r="DE242" s="94"/>
      <c r="DF242" s="94"/>
      <c r="DG242" s="94"/>
      <c r="DH242" s="94"/>
      <c r="DI242" s="94"/>
      <c r="DJ242" s="94"/>
      <c r="DK242" s="94"/>
      <c r="DL242" s="94"/>
      <c r="DM242" s="94"/>
      <c r="DN242" s="94"/>
      <c r="DO242" s="94"/>
      <c r="DP242" s="94"/>
      <c r="DQ242" s="94"/>
      <c r="DR242" s="94"/>
      <c r="DS242" s="94"/>
      <c r="DT242" s="94"/>
      <c r="DU242" s="94"/>
      <c r="DV242" s="94"/>
      <c r="DW242" s="94"/>
      <c r="DX242" s="94"/>
      <c r="DY242" s="94"/>
      <c r="DZ242" s="218"/>
      <c r="EA242" s="231"/>
      <c r="EB242" s="231"/>
      <c r="EC242" s="231"/>
      <c r="ED242" s="231"/>
      <c r="EE242" s="231"/>
      <c r="EF242" s="231"/>
      <c r="EG242" s="231"/>
      <c r="EH242" s="231"/>
      <c r="EI242" s="231"/>
      <c r="EJ242" s="231"/>
      <c r="EK242" s="231"/>
      <c r="EL242" s="231"/>
      <c r="EM242" s="231"/>
      <c r="EN242" s="231"/>
      <c r="EO242" s="231"/>
      <c r="EP242" s="231"/>
      <c r="EQ242" s="231"/>
    </row>
    <row r="243" spans="1:147" ht="22.9" customHeight="1" outlineLevel="4" x14ac:dyDescent="0.2">
      <c r="A243" s="146" t="s">
        <v>776</v>
      </c>
      <c r="B243" s="53" t="s">
        <v>777</v>
      </c>
      <c r="C243" s="50" t="s">
        <v>100</v>
      </c>
      <c r="D243" s="165" t="s">
        <v>454</v>
      </c>
      <c r="E243" s="158">
        <v>1</v>
      </c>
      <c r="F243" s="52">
        <f>SUM(H243:DY243)*E243*Table1[[#This Row],[Cycles]]</f>
        <v>0</v>
      </c>
      <c r="G243" s="46">
        <f t="shared" si="186"/>
        <v>0</v>
      </c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  <c r="BH243" s="94"/>
      <c r="BI243" s="94"/>
      <c r="BJ243" s="94"/>
      <c r="BK243" s="94"/>
      <c r="BL243" s="94"/>
      <c r="BM243" s="94"/>
      <c r="BN243" s="94"/>
      <c r="BO243" s="94"/>
      <c r="BP243" s="115"/>
      <c r="BQ243" s="115"/>
      <c r="BR243" s="115"/>
      <c r="BS243" s="115"/>
      <c r="BT243" s="115"/>
      <c r="BU243" s="115"/>
      <c r="BV243" s="94"/>
      <c r="BW243" s="94"/>
      <c r="BX243" s="94"/>
      <c r="BY243" s="94"/>
      <c r="BZ243" s="94"/>
      <c r="CA243" s="94"/>
      <c r="CB243" s="94"/>
      <c r="CC243" s="94"/>
      <c r="CD243" s="94"/>
      <c r="CE243" s="94"/>
      <c r="CF243" s="94"/>
      <c r="CG243" s="94"/>
      <c r="CH243" s="94"/>
      <c r="CI243" s="94"/>
      <c r="CJ243" s="94"/>
      <c r="CK243" s="94"/>
      <c r="CL243" s="94"/>
      <c r="CM243" s="94"/>
      <c r="CN243" s="94"/>
      <c r="CO243" s="94"/>
      <c r="CP243" s="94"/>
      <c r="CQ243" s="94"/>
      <c r="CR243" s="94"/>
      <c r="CS243" s="94"/>
      <c r="CT243" s="94"/>
      <c r="CU243" s="94"/>
      <c r="CV243" s="94"/>
      <c r="CW243" s="94"/>
      <c r="CX243" s="94"/>
      <c r="CY243" s="94"/>
      <c r="CZ243" s="94"/>
      <c r="DA243" s="94"/>
      <c r="DB243" s="94"/>
      <c r="DC243" s="94"/>
      <c r="DD243" s="94"/>
      <c r="DE243" s="94"/>
      <c r="DF243" s="94"/>
      <c r="DG243" s="94"/>
      <c r="DH243" s="94"/>
      <c r="DI243" s="94"/>
      <c r="DJ243" s="94"/>
      <c r="DK243" s="94"/>
      <c r="DL243" s="94"/>
      <c r="DM243" s="94"/>
      <c r="DN243" s="94"/>
      <c r="DO243" s="94"/>
      <c r="DP243" s="94"/>
      <c r="DQ243" s="94"/>
      <c r="DR243" s="94"/>
      <c r="DS243" s="94"/>
      <c r="DT243" s="94"/>
      <c r="DU243" s="94"/>
      <c r="DV243" s="94"/>
      <c r="DW243" s="94"/>
      <c r="DX243" s="94"/>
      <c r="DY243" s="94"/>
      <c r="DZ243" s="218"/>
      <c r="EA243" s="231"/>
      <c r="EB243" s="231"/>
      <c r="EC243" s="231"/>
      <c r="ED243" s="231"/>
      <c r="EE243" s="231"/>
      <c r="EF243" s="231"/>
      <c r="EG243" s="231"/>
      <c r="EH243" s="231"/>
      <c r="EI243" s="231"/>
      <c r="EJ243" s="231"/>
      <c r="EK243" s="231"/>
      <c r="EL243" s="231"/>
      <c r="EM243" s="231"/>
      <c r="EN243" s="231"/>
      <c r="EO243" s="231"/>
      <c r="EP243" s="231"/>
      <c r="EQ243" s="231"/>
    </row>
    <row r="244" spans="1:147" customFormat="1" ht="22.5" customHeight="1" outlineLevel="2" x14ac:dyDescent="0.2">
      <c r="A244" s="169" t="s">
        <v>778</v>
      </c>
      <c r="B244" s="170" t="s">
        <v>801</v>
      </c>
      <c r="C244" s="171"/>
      <c r="D244" s="172"/>
      <c r="E244" s="173"/>
      <c r="F244" s="175">
        <f>SUM(F245:F249)</f>
        <v>0</v>
      </c>
      <c r="G244" s="174">
        <f t="shared" ref="G244:BR244" si="187">SUM(G245:G249)</f>
        <v>0</v>
      </c>
      <c r="H244" s="175">
        <f t="shared" si="187"/>
        <v>0</v>
      </c>
      <c r="I244" s="175">
        <f t="shared" si="187"/>
        <v>0</v>
      </c>
      <c r="J244" s="175">
        <f t="shared" si="187"/>
        <v>0</v>
      </c>
      <c r="K244" s="175">
        <f t="shared" si="187"/>
        <v>0</v>
      </c>
      <c r="L244" s="175">
        <f t="shared" si="187"/>
        <v>0</v>
      </c>
      <c r="M244" s="175">
        <f t="shared" si="187"/>
        <v>0</v>
      </c>
      <c r="N244" s="175">
        <f t="shared" si="187"/>
        <v>0</v>
      </c>
      <c r="O244" s="175">
        <f t="shared" si="187"/>
        <v>0</v>
      </c>
      <c r="P244" s="175">
        <f t="shared" si="187"/>
        <v>0</v>
      </c>
      <c r="Q244" s="175">
        <f t="shared" si="187"/>
        <v>0</v>
      </c>
      <c r="R244" s="175">
        <f t="shared" si="187"/>
        <v>0</v>
      </c>
      <c r="S244" s="175">
        <f t="shared" si="187"/>
        <v>0</v>
      </c>
      <c r="T244" s="175">
        <f t="shared" si="187"/>
        <v>0</v>
      </c>
      <c r="U244" s="175">
        <f t="shared" si="187"/>
        <v>0</v>
      </c>
      <c r="V244" s="175">
        <f t="shared" si="187"/>
        <v>0</v>
      </c>
      <c r="W244" s="175">
        <f t="shared" si="187"/>
        <v>0</v>
      </c>
      <c r="X244" s="175">
        <f t="shared" si="187"/>
        <v>0</v>
      </c>
      <c r="Y244" s="175">
        <f t="shared" si="187"/>
        <v>0</v>
      </c>
      <c r="Z244" s="175">
        <f t="shared" si="187"/>
        <v>0</v>
      </c>
      <c r="AA244" s="175">
        <f t="shared" si="187"/>
        <v>0</v>
      </c>
      <c r="AB244" s="175">
        <f t="shared" si="187"/>
        <v>0</v>
      </c>
      <c r="AC244" s="175">
        <f t="shared" si="187"/>
        <v>0</v>
      </c>
      <c r="AD244" s="175">
        <f t="shared" si="187"/>
        <v>0</v>
      </c>
      <c r="AE244" s="175">
        <f t="shared" si="187"/>
        <v>0</v>
      </c>
      <c r="AF244" s="175">
        <f t="shared" si="187"/>
        <v>0</v>
      </c>
      <c r="AG244" s="175">
        <f t="shared" si="187"/>
        <v>0</v>
      </c>
      <c r="AH244" s="175">
        <f t="shared" si="187"/>
        <v>0</v>
      </c>
      <c r="AI244" s="175">
        <f t="shared" si="187"/>
        <v>0</v>
      </c>
      <c r="AJ244" s="175">
        <f t="shared" si="187"/>
        <v>0</v>
      </c>
      <c r="AK244" s="175">
        <f t="shared" si="187"/>
        <v>0</v>
      </c>
      <c r="AL244" s="175">
        <f t="shared" si="187"/>
        <v>0</v>
      </c>
      <c r="AM244" s="175">
        <f t="shared" si="187"/>
        <v>0</v>
      </c>
      <c r="AN244" s="175">
        <f t="shared" si="187"/>
        <v>0</v>
      </c>
      <c r="AO244" s="175">
        <f t="shared" si="187"/>
        <v>0</v>
      </c>
      <c r="AP244" s="175">
        <f t="shared" si="187"/>
        <v>0</v>
      </c>
      <c r="AQ244" s="175">
        <f t="shared" si="187"/>
        <v>0</v>
      </c>
      <c r="AR244" s="175">
        <f t="shared" si="187"/>
        <v>0</v>
      </c>
      <c r="AS244" s="175">
        <f t="shared" si="187"/>
        <v>0</v>
      </c>
      <c r="AT244" s="175">
        <f t="shared" si="187"/>
        <v>0</v>
      </c>
      <c r="AU244" s="175">
        <f t="shared" si="187"/>
        <v>0</v>
      </c>
      <c r="AV244" s="175">
        <f t="shared" si="187"/>
        <v>0</v>
      </c>
      <c r="AW244" s="175">
        <f t="shared" si="187"/>
        <v>0</v>
      </c>
      <c r="AX244" s="175">
        <f t="shared" si="187"/>
        <v>0</v>
      </c>
      <c r="AY244" s="175">
        <f t="shared" si="187"/>
        <v>0</v>
      </c>
      <c r="AZ244" s="175">
        <f t="shared" si="187"/>
        <v>0</v>
      </c>
      <c r="BA244" s="175">
        <f t="shared" si="187"/>
        <v>0</v>
      </c>
      <c r="BB244" s="175">
        <f t="shared" si="187"/>
        <v>0</v>
      </c>
      <c r="BC244" s="175">
        <f t="shared" si="187"/>
        <v>0</v>
      </c>
      <c r="BD244" s="175">
        <f t="shared" si="187"/>
        <v>0</v>
      </c>
      <c r="BE244" s="175">
        <f t="shared" si="187"/>
        <v>0</v>
      </c>
      <c r="BF244" s="175">
        <f t="shared" si="187"/>
        <v>0</v>
      </c>
      <c r="BG244" s="175">
        <f t="shared" si="187"/>
        <v>0</v>
      </c>
      <c r="BH244" s="175">
        <f t="shared" si="187"/>
        <v>0</v>
      </c>
      <c r="BI244" s="175">
        <f t="shared" si="187"/>
        <v>0</v>
      </c>
      <c r="BJ244" s="175">
        <f t="shared" si="187"/>
        <v>0</v>
      </c>
      <c r="BK244" s="175">
        <f t="shared" si="187"/>
        <v>0</v>
      </c>
      <c r="BL244" s="175">
        <f t="shared" si="187"/>
        <v>0</v>
      </c>
      <c r="BM244" s="175">
        <f t="shared" si="187"/>
        <v>0</v>
      </c>
      <c r="BN244" s="175">
        <f t="shared" si="187"/>
        <v>0</v>
      </c>
      <c r="BO244" s="175">
        <f t="shared" si="187"/>
        <v>0</v>
      </c>
      <c r="BP244" s="175">
        <f t="shared" si="187"/>
        <v>0</v>
      </c>
      <c r="BQ244" s="175">
        <f t="shared" si="187"/>
        <v>0</v>
      </c>
      <c r="BR244" s="175">
        <f t="shared" si="187"/>
        <v>0</v>
      </c>
      <c r="BS244" s="175">
        <f t="shared" ref="BS244:DW244" si="188">SUM(BS245:BS249)</f>
        <v>0</v>
      </c>
      <c r="BT244" s="175">
        <f t="shared" si="188"/>
        <v>0</v>
      </c>
      <c r="BU244" s="175">
        <f t="shared" si="188"/>
        <v>0</v>
      </c>
      <c r="BV244" s="175">
        <f t="shared" si="188"/>
        <v>0</v>
      </c>
      <c r="BW244" s="175">
        <f t="shared" si="188"/>
        <v>0</v>
      </c>
      <c r="BX244" s="175">
        <f t="shared" si="188"/>
        <v>0</v>
      </c>
      <c r="BY244" s="175">
        <f t="shared" si="188"/>
        <v>0</v>
      </c>
      <c r="BZ244" s="175">
        <f t="shared" si="188"/>
        <v>0</v>
      </c>
      <c r="CA244" s="175">
        <f t="shared" si="188"/>
        <v>0</v>
      </c>
      <c r="CB244" s="175">
        <f t="shared" si="188"/>
        <v>0</v>
      </c>
      <c r="CC244" s="175">
        <f t="shared" si="188"/>
        <v>0</v>
      </c>
      <c r="CD244" s="175">
        <f t="shared" si="188"/>
        <v>0</v>
      </c>
      <c r="CE244" s="175">
        <f t="shared" si="188"/>
        <v>0</v>
      </c>
      <c r="CF244" s="175">
        <f t="shared" si="188"/>
        <v>0</v>
      </c>
      <c r="CG244" s="175">
        <f t="shared" si="188"/>
        <v>0</v>
      </c>
      <c r="CH244" s="175">
        <f t="shared" si="188"/>
        <v>0</v>
      </c>
      <c r="CI244" s="175">
        <f t="shared" si="188"/>
        <v>0</v>
      </c>
      <c r="CJ244" s="175">
        <f t="shared" si="188"/>
        <v>0</v>
      </c>
      <c r="CK244" s="175">
        <f t="shared" si="188"/>
        <v>0</v>
      </c>
      <c r="CL244" s="175">
        <f t="shared" si="188"/>
        <v>0</v>
      </c>
      <c r="CM244" s="175">
        <f t="shared" si="188"/>
        <v>0</v>
      </c>
      <c r="CN244" s="175">
        <f t="shared" si="188"/>
        <v>0</v>
      </c>
      <c r="CO244" s="175">
        <f t="shared" si="188"/>
        <v>0</v>
      </c>
      <c r="CP244" s="175">
        <f t="shared" si="188"/>
        <v>0</v>
      </c>
      <c r="CQ244" s="175">
        <f t="shared" si="188"/>
        <v>0</v>
      </c>
      <c r="CR244" s="175">
        <f t="shared" si="188"/>
        <v>0</v>
      </c>
      <c r="CS244" s="175">
        <f t="shared" si="188"/>
        <v>0</v>
      </c>
      <c r="CT244" s="175">
        <f t="shared" si="188"/>
        <v>0</v>
      </c>
      <c r="CU244" s="175">
        <f t="shared" si="188"/>
        <v>0</v>
      </c>
      <c r="CV244" s="175">
        <f t="shared" si="188"/>
        <v>0</v>
      </c>
      <c r="CW244" s="175">
        <f t="shared" si="188"/>
        <v>0</v>
      </c>
      <c r="CX244" s="175">
        <f t="shared" si="188"/>
        <v>0</v>
      </c>
      <c r="CY244" s="175">
        <f t="shared" si="188"/>
        <v>0</v>
      </c>
      <c r="CZ244" s="175">
        <f t="shared" si="188"/>
        <v>0</v>
      </c>
      <c r="DA244" s="175">
        <f t="shared" si="188"/>
        <v>0</v>
      </c>
      <c r="DB244" s="175">
        <f t="shared" si="188"/>
        <v>0</v>
      </c>
      <c r="DC244" s="175">
        <f t="shared" si="188"/>
        <v>0</v>
      </c>
      <c r="DD244" s="175">
        <f t="shared" si="188"/>
        <v>0</v>
      </c>
      <c r="DE244" s="175">
        <f t="shared" si="188"/>
        <v>0</v>
      </c>
      <c r="DF244" s="175">
        <f t="shared" si="188"/>
        <v>0</v>
      </c>
      <c r="DG244" s="175">
        <f t="shared" si="188"/>
        <v>0</v>
      </c>
      <c r="DH244" s="175">
        <f t="shared" si="188"/>
        <v>0</v>
      </c>
      <c r="DI244" s="175">
        <f t="shared" si="188"/>
        <v>0</v>
      </c>
      <c r="DJ244" s="175">
        <f t="shared" si="188"/>
        <v>0</v>
      </c>
      <c r="DK244" s="175">
        <f t="shared" si="188"/>
        <v>0</v>
      </c>
      <c r="DL244" s="175">
        <f t="shared" si="188"/>
        <v>0</v>
      </c>
      <c r="DM244" s="175">
        <f t="shared" si="188"/>
        <v>0</v>
      </c>
      <c r="DN244" s="175">
        <f t="shared" si="188"/>
        <v>0</v>
      </c>
      <c r="DO244" s="175">
        <f t="shared" si="188"/>
        <v>0</v>
      </c>
      <c r="DP244" s="175">
        <f t="shared" si="188"/>
        <v>0</v>
      </c>
      <c r="DQ244" s="175">
        <f t="shared" si="188"/>
        <v>0</v>
      </c>
      <c r="DR244" s="175">
        <f t="shared" si="188"/>
        <v>0</v>
      </c>
      <c r="DS244" s="175">
        <f t="shared" si="188"/>
        <v>0</v>
      </c>
      <c r="DT244" s="175">
        <f t="shared" si="188"/>
        <v>0</v>
      </c>
      <c r="DU244" s="175">
        <f>SUM(DU245:DU249)</f>
        <v>0</v>
      </c>
      <c r="DV244" s="175">
        <f t="shared" si="188"/>
        <v>0</v>
      </c>
      <c r="DW244" s="175">
        <f t="shared" si="188"/>
        <v>0</v>
      </c>
      <c r="DX244" s="175">
        <f>SUMPRODUCT($D$245:$D$254,$E$245:$E$254,DX245:DX254)</f>
        <v>0</v>
      </c>
      <c r="DY244" s="175">
        <f>SUMPRODUCT($D$245:$D$254,$E$245:$E$254,DY245:DY254)</f>
        <v>0</v>
      </c>
      <c r="DZ244" s="221"/>
      <c r="EA244" s="235"/>
      <c r="EB244" s="235"/>
      <c r="EC244" s="235"/>
      <c r="ED244" s="235"/>
      <c r="EE244" s="235"/>
      <c r="EF244" s="235"/>
      <c r="EG244" s="235"/>
      <c r="EH244" s="235"/>
      <c r="EI244" s="235"/>
      <c r="EJ244" s="235"/>
      <c r="EK244" s="235"/>
      <c r="EL244" s="235"/>
      <c r="EM244" s="235"/>
      <c r="EN244" s="235"/>
      <c r="EO244" s="235"/>
      <c r="EP244" s="235"/>
      <c r="EQ244" s="235"/>
    </row>
    <row r="245" spans="1:147" ht="22.9" customHeight="1" outlineLevel="3" x14ac:dyDescent="0.2">
      <c r="A245" s="150" t="s">
        <v>779</v>
      </c>
      <c r="B245" s="53" t="s">
        <v>780</v>
      </c>
      <c r="C245" s="50" t="s">
        <v>100</v>
      </c>
      <c r="D245" s="165">
        <v>1</v>
      </c>
      <c r="E245" s="158">
        <v>1</v>
      </c>
      <c r="F245" s="52">
        <f>SUM(H245:DY245)*E245*Table1[[#This Row],[Cycles]]</f>
        <v>0</v>
      </c>
      <c r="G245" s="46">
        <f>SUMPRODUCT($H$2:$DY$2,$H245:$DY245)*E245*D245</f>
        <v>0</v>
      </c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  <c r="AX245" s="94"/>
      <c r="AY245" s="94"/>
      <c r="AZ245" s="94"/>
      <c r="BA245" s="94"/>
      <c r="BB245" s="94"/>
      <c r="BC245" s="94"/>
      <c r="BD245" s="94"/>
      <c r="BE245" s="94"/>
      <c r="BF245" s="94"/>
      <c r="BG245" s="94"/>
      <c r="BH245" s="94"/>
      <c r="BI245" s="94"/>
      <c r="BJ245" s="94"/>
      <c r="BK245" s="94"/>
      <c r="BL245" s="94"/>
      <c r="BM245" s="94"/>
      <c r="BN245" s="94"/>
      <c r="BO245" s="94"/>
      <c r="BP245" s="115"/>
      <c r="BQ245" s="115"/>
      <c r="BR245" s="115"/>
      <c r="BS245" s="115"/>
      <c r="BT245" s="115"/>
      <c r="BU245" s="115"/>
      <c r="BV245" s="94"/>
      <c r="BW245" s="94"/>
      <c r="BX245" s="94"/>
      <c r="BY245" s="94"/>
      <c r="BZ245" s="94"/>
      <c r="CA245" s="94"/>
      <c r="CB245" s="94"/>
      <c r="CC245" s="94"/>
      <c r="CD245" s="94"/>
      <c r="CE245" s="94"/>
      <c r="CF245" s="94"/>
      <c r="CG245" s="94"/>
      <c r="CH245" s="94"/>
      <c r="CI245" s="94"/>
      <c r="CJ245" s="94"/>
      <c r="CK245" s="94"/>
      <c r="CL245" s="94"/>
      <c r="CM245" s="94"/>
      <c r="CN245" s="94"/>
      <c r="CO245" s="94"/>
      <c r="CP245" s="94"/>
      <c r="CQ245" s="94"/>
      <c r="CR245" s="94"/>
      <c r="CS245" s="94"/>
      <c r="CT245" s="94"/>
      <c r="CU245" s="94"/>
      <c r="CV245" s="94"/>
      <c r="CW245" s="94"/>
      <c r="CX245" s="94"/>
      <c r="CY245" s="94"/>
      <c r="CZ245" s="94"/>
      <c r="DA245" s="94"/>
      <c r="DB245" s="94"/>
      <c r="DC245" s="94"/>
      <c r="DD245" s="94"/>
      <c r="DE245" s="94"/>
      <c r="DF245" s="94"/>
      <c r="DG245" s="94"/>
      <c r="DH245" s="94"/>
      <c r="DI245" s="94"/>
      <c r="DJ245" s="94"/>
      <c r="DK245" s="94"/>
      <c r="DL245" s="94"/>
      <c r="DM245" s="94"/>
      <c r="DN245" s="94"/>
      <c r="DO245" s="94"/>
      <c r="DP245" s="94"/>
      <c r="DQ245" s="94"/>
      <c r="DR245" s="94"/>
      <c r="DS245" s="94"/>
      <c r="DT245" s="94"/>
      <c r="DU245" s="94"/>
      <c r="DV245" s="94"/>
      <c r="DW245" s="94"/>
      <c r="DX245" s="94"/>
      <c r="DY245" s="94"/>
      <c r="DZ245" s="218"/>
      <c r="EA245" s="231"/>
      <c r="EB245" s="231"/>
      <c r="EC245" s="231"/>
      <c r="ED245" s="231"/>
      <c r="EE245" s="231"/>
      <c r="EF245" s="231"/>
      <c r="EG245" s="231"/>
      <c r="EH245" s="231"/>
      <c r="EI245" s="231"/>
      <c r="EJ245" s="231"/>
      <c r="EK245" s="231"/>
      <c r="EL245" s="231"/>
      <c r="EM245" s="231"/>
      <c r="EN245" s="231"/>
      <c r="EO245" s="231"/>
      <c r="EP245" s="231"/>
      <c r="EQ245" s="231"/>
    </row>
    <row r="246" spans="1:147" ht="22.9" customHeight="1" outlineLevel="3" x14ac:dyDescent="0.2">
      <c r="A246" s="150" t="s">
        <v>781</v>
      </c>
      <c r="B246" s="53" t="s">
        <v>782</v>
      </c>
      <c r="C246" s="50" t="s">
        <v>100</v>
      </c>
      <c r="D246" s="165">
        <v>1</v>
      </c>
      <c r="E246" s="158">
        <v>1</v>
      </c>
      <c r="F246" s="52">
        <f>SUM(H246:DY246)*E246*Table1[[#This Row],[Cycles]]</f>
        <v>0</v>
      </c>
      <c r="G246" s="46">
        <f>SUMPRODUCT($H$2:$DY$2,$H246:$DY246)*E246*D246</f>
        <v>0</v>
      </c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  <c r="BH246" s="94"/>
      <c r="BI246" s="94"/>
      <c r="BJ246" s="94"/>
      <c r="BK246" s="94"/>
      <c r="BL246" s="94"/>
      <c r="BM246" s="94"/>
      <c r="BN246" s="94"/>
      <c r="BO246" s="94"/>
      <c r="BP246" s="115"/>
      <c r="BQ246" s="115"/>
      <c r="BR246" s="115"/>
      <c r="BS246" s="115"/>
      <c r="BT246" s="115"/>
      <c r="BU246" s="115"/>
      <c r="BV246" s="94"/>
      <c r="BW246" s="94"/>
      <c r="BX246" s="94"/>
      <c r="BY246" s="94"/>
      <c r="BZ246" s="94"/>
      <c r="CA246" s="94"/>
      <c r="CB246" s="94"/>
      <c r="CC246" s="94"/>
      <c r="CD246" s="94"/>
      <c r="CE246" s="94"/>
      <c r="CF246" s="94"/>
      <c r="CG246" s="94"/>
      <c r="CH246" s="94"/>
      <c r="CI246" s="94"/>
      <c r="CJ246" s="94"/>
      <c r="CK246" s="94"/>
      <c r="CL246" s="94"/>
      <c r="CM246" s="94"/>
      <c r="CN246" s="94"/>
      <c r="CO246" s="94"/>
      <c r="CP246" s="94"/>
      <c r="CQ246" s="94"/>
      <c r="CR246" s="94"/>
      <c r="CS246" s="94"/>
      <c r="CT246" s="94"/>
      <c r="CU246" s="94"/>
      <c r="CV246" s="94"/>
      <c r="CW246" s="94"/>
      <c r="CX246" s="94"/>
      <c r="CY246" s="94"/>
      <c r="CZ246" s="94"/>
      <c r="DA246" s="94"/>
      <c r="DB246" s="94"/>
      <c r="DC246" s="94"/>
      <c r="DD246" s="94"/>
      <c r="DE246" s="94"/>
      <c r="DF246" s="94"/>
      <c r="DG246" s="94"/>
      <c r="DH246" s="94"/>
      <c r="DI246" s="94"/>
      <c r="DJ246" s="94"/>
      <c r="DK246" s="94"/>
      <c r="DL246" s="94"/>
      <c r="DM246" s="94"/>
      <c r="DN246" s="94"/>
      <c r="DO246" s="94"/>
      <c r="DP246" s="94"/>
      <c r="DQ246" s="94"/>
      <c r="DR246" s="94"/>
      <c r="DS246" s="94"/>
      <c r="DT246" s="94"/>
      <c r="DU246" s="94"/>
      <c r="DV246" s="94"/>
      <c r="DW246" s="94"/>
      <c r="DX246" s="94"/>
      <c r="DY246" s="94"/>
      <c r="DZ246" s="218"/>
      <c r="EA246" s="231"/>
      <c r="EB246" s="231"/>
      <c r="EC246" s="231"/>
      <c r="ED246" s="231"/>
      <c r="EE246" s="231"/>
      <c r="EF246" s="231"/>
      <c r="EG246" s="231"/>
      <c r="EH246" s="231"/>
      <c r="EI246" s="231"/>
      <c r="EJ246" s="231"/>
      <c r="EK246" s="231"/>
      <c r="EL246" s="231"/>
      <c r="EM246" s="231"/>
      <c r="EN246" s="231"/>
      <c r="EO246" s="231"/>
      <c r="EP246" s="231"/>
      <c r="EQ246" s="231"/>
    </row>
    <row r="247" spans="1:147" ht="22.9" customHeight="1" outlineLevel="3" x14ac:dyDescent="0.2">
      <c r="A247" s="150" t="s">
        <v>783</v>
      </c>
      <c r="B247" s="53" t="s">
        <v>784</v>
      </c>
      <c r="C247" s="50" t="s">
        <v>100</v>
      </c>
      <c r="D247" s="165">
        <v>1</v>
      </c>
      <c r="E247" s="158">
        <v>1</v>
      </c>
      <c r="F247" s="52">
        <f>SUM(H247:DY247)*E247*Table1[[#This Row],[Cycles]]</f>
        <v>0</v>
      </c>
      <c r="G247" s="46">
        <f>SUMPRODUCT($H$2:$DY$2,$H247:$DY247)*E247*D247</f>
        <v>0</v>
      </c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  <c r="BH247" s="94"/>
      <c r="BI247" s="94"/>
      <c r="BJ247" s="94"/>
      <c r="BK247" s="94"/>
      <c r="BL247" s="94"/>
      <c r="BM247" s="94"/>
      <c r="BN247" s="94"/>
      <c r="BO247" s="94"/>
      <c r="BP247" s="115"/>
      <c r="BQ247" s="115"/>
      <c r="BR247" s="115"/>
      <c r="BS247" s="115"/>
      <c r="BT247" s="115"/>
      <c r="BU247" s="115"/>
      <c r="BV247" s="94"/>
      <c r="BW247" s="94"/>
      <c r="BX247" s="94"/>
      <c r="BY247" s="94"/>
      <c r="BZ247" s="94"/>
      <c r="CA247" s="94"/>
      <c r="CB247" s="94"/>
      <c r="CC247" s="94"/>
      <c r="CD247" s="94"/>
      <c r="CE247" s="94"/>
      <c r="CF247" s="94"/>
      <c r="CG247" s="94"/>
      <c r="CH247" s="94"/>
      <c r="CI247" s="94"/>
      <c r="CJ247" s="94"/>
      <c r="CK247" s="94"/>
      <c r="CL247" s="94"/>
      <c r="CM247" s="94"/>
      <c r="CN247" s="94"/>
      <c r="CO247" s="94"/>
      <c r="CP247" s="94"/>
      <c r="CQ247" s="94"/>
      <c r="CR247" s="94"/>
      <c r="CS247" s="94"/>
      <c r="CT247" s="94"/>
      <c r="CU247" s="94"/>
      <c r="CV247" s="94"/>
      <c r="CW247" s="94"/>
      <c r="CX247" s="94"/>
      <c r="CY247" s="94"/>
      <c r="CZ247" s="94"/>
      <c r="DA247" s="94"/>
      <c r="DB247" s="94"/>
      <c r="DC247" s="94"/>
      <c r="DD247" s="94"/>
      <c r="DE247" s="94"/>
      <c r="DF247" s="94"/>
      <c r="DG247" s="94"/>
      <c r="DH247" s="94"/>
      <c r="DI247" s="94"/>
      <c r="DJ247" s="94"/>
      <c r="DK247" s="94"/>
      <c r="DL247" s="94"/>
      <c r="DM247" s="94"/>
      <c r="DN247" s="94"/>
      <c r="DO247" s="94"/>
      <c r="DP247" s="94"/>
      <c r="DQ247" s="94"/>
      <c r="DR247" s="94"/>
      <c r="DS247" s="94"/>
      <c r="DT247" s="94"/>
      <c r="DU247" s="94"/>
      <c r="DV247" s="94"/>
      <c r="DW247" s="94"/>
      <c r="DX247" s="94"/>
      <c r="DY247" s="94"/>
      <c r="DZ247" s="218"/>
      <c r="EA247" s="231"/>
      <c r="EB247" s="231"/>
      <c r="EC247" s="231"/>
      <c r="ED247" s="231"/>
      <c r="EE247" s="231"/>
      <c r="EF247" s="231"/>
      <c r="EG247" s="231"/>
      <c r="EH247" s="231"/>
      <c r="EI247" s="231"/>
      <c r="EJ247" s="231"/>
      <c r="EK247" s="231"/>
      <c r="EL247" s="231"/>
      <c r="EM247" s="231"/>
      <c r="EN247" s="231"/>
      <c r="EO247" s="231"/>
      <c r="EP247" s="231"/>
      <c r="EQ247" s="231"/>
    </row>
    <row r="248" spans="1:147" ht="22.9" customHeight="1" outlineLevel="4" x14ac:dyDescent="0.2">
      <c r="A248" s="150" t="s">
        <v>802</v>
      </c>
      <c r="B248" s="53" t="s">
        <v>785</v>
      </c>
      <c r="C248" s="50" t="s">
        <v>100</v>
      </c>
      <c r="D248" s="165">
        <v>1</v>
      </c>
      <c r="E248" s="158">
        <v>1</v>
      </c>
      <c r="F248" s="52">
        <f>SUM(H248:DY248)*E248*Table1[[#This Row],[Cycles]]</f>
        <v>0</v>
      </c>
      <c r="G248" s="46">
        <f>SUMPRODUCT($H$2:$DY$2,$H248:$DY248)*E248*D248</f>
        <v>0</v>
      </c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BK248" s="94"/>
      <c r="BL248" s="94"/>
      <c r="BM248" s="94"/>
      <c r="BN248" s="94"/>
      <c r="BO248" s="94"/>
      <c r="BP248" s="94"/>
      <c r="BQ248" s="94"/>
      <c r="BR248" s="94"/>
      <c r="BS248" s="94"/>
      <c r="BT248" s="94"/>
      <c r="BU248" s="94"/>
      <c r="BV248" s="94"/>
      <c r="BW248" s="94"/>
      <c r="BX248" s="94"/>
      <c r="BY248" s="94"/>
      <c r="BZ248" s="94"/>
      <c r="CA248" s="94"/>
      <c r="CB248" s="94"/>
      <c r="CC248" s="94"/>
      <c r="CD248" s="94"/>
      <c r="CE248" s="94"/>
      <c r="CF248" s="94"/>
      <c r="CG248" s="94"/>
      <c r="CH248" s="94"/>
      <c r="CI248" s="94"/>
      <c r="CJ248" s="94"/>
      <c r="CK248" s="94"/>
      <c r="CL248" s="94"/>
      <c r="CM248" s="94"/>
      <c r="CN248" s="94"/>
      <c r="CO248" s="94"/>
      <c r="CP248" s="94"/>
      <c r="CQ248" s="94"/>
      <c r="CR248" s="94"/>
      <c r="CS248" s="94"/>
      <c r="CT248" s="94"/>
      <c r="CU248" s="94"/>
      <c r="CV248" s="94"/>
      <c r="CW248" s="94"/>
      <c r="CX248" s="94"/>
      <c r="CY248" s="94"/>
      <c r="CZ248" s="94"/>
      <c r="DA248" s="94"/>
      <c r="DB248" s="94"/>
      <c r="DC248" s="94"/>
      <c r="DD248" s="94"/>
      <c r="DE248" s="94"/>
      <c r="DF248" s="94"/>
      <c r="DG248" s="94"/>
      <c r="DH248" s="94"/>
      <c r="DI248" s="94"/>
      <c r="DJ248" s="94"/>
      <c r="DK248" s="94"/>
      <c r="DL248" s="94"/>
      <c r="DM248" s="94"/>
      <c r="DN248" s="94"/>
      <c r="DO248" s="94"/>
      <c r="DP248" s="94"/>
      <c r="DQ248" s="94"/>
      <c r="DR248" s="94"/>
      <c r="DS248" s="94"/>
      <c r="DT248" s="94"/>
      <c r="DU248" s="94"/>
      <c r="DV248" s="94"/>
      <c r="DW248" s="94"/>
      <c r="DX248" s="94"/>
      <c r="DY248" s="94"/>
      <c r="DZ248" s="218"/>
      <c r="EA248" s="231"/>
      <c r="EB248" s="231"/>
      <c r="EC248" s="231"/>
      <c r="ED248" s="231"/>
      <c r="EE248" s="231"/>
      <c r="EF248" s="231"/>
      <c r="EG248" s="231"/>
      <c r="EH248" s="231"/>
      <c r="EI248" s="231"/>
      <c r="EJ248" s="231"/>
      <c r="EK248" s="231"/>
      <c r="EL248" s="231"/>
      <c r="EM248" s="231"/>
      <c r="EN248" s="231"/>
      <c r="EO248" s="231"/>
      <c r="EP248" s="231"/>
      <c r="EQ248" s="231"/>
    </row>
    <row r="249" spans="1:147" ht="22.9" customHeight="1" outlineLevel="4" x14ac:dyDescent="0.2">
      <c r="A249" s="150" t="s">
        <v>803</v>
      </c>
      <c r="B249" s="53" t="s">
        <v>786</v>
      </c>
      <c r="C249" s="50" t="s">
        <v>100</v>
      </c>
      <c r="D249" s="165">
        <v>1</v>
      </c>
      <c r="E249" s="158">
        <v>1</v>
      </c>
      <c r="F249" s="52">
        <f>SUM(H249:DY249)*E249*Table1[[#This Row],[Cycles]]</f>
        <v>0</v>
      </c>
      <c r="G249" s="46">
        <f>SUMPRODUCT($H$2:$DY$2,$H249:$DY249)*E249*D249</f>
        <v>0</v>
      </c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BK249" s="94"/>
      <c r="BL249" s="94"/>
      <c r="BM249" s="94"/>
      <c r="BN249" s="94"/>
      <c r="BO249" s="94"/>
      <c r="BP249" s="115"/>
      <c r="BQ249" s="115"/>
      <c r="BR249" s="115"/>
      <c r="BS249" s="115"/>
      <c r="BT249" s="115"/>
      <c r="BU249" s="115"/>
      <c r="BV249" s="94"/>
      <c r="BW249" s="94"/>
      <c r="BX249" s="94"/>
      <c r="BY249" s="94"/>
      <c r="BZ249" s="94"/>
      <c r="CA249" s="94"/>
      <c r="CB249" s="94"/>
      <c r="CC249" s="94"/>
      <c r="CD249" s="94"/>
      <c r="CE249" s="94"/>
      <c r="CF249" s="94"/>
      <c r="CG249" s="94"/>
      <c r="CH249" s="94"/>
      <c r="CI249" s="94"/>
      <c r="CJ249" s="94"/>
      <c r="CK249" s="94"/>
      <c r="CL249" s="94"/>
      <c r="CM249" s="94"/>
      <c r="CN249" s="94"/>
      <c r="CO249" s="94"/>
      <c r="CP249" s="94"/>
      <c r="CQ249" s="94"/>
      <c r="CR249" s="94"/>
      <c r="CS249" s="94"/>
      <c r="CT249" s="94"/>
      <c r="CU249" s="94"/>
      <c r="CV249" s="94"/>
      <c r="CW249" s="94"/>
      <c r="CX249" s="94"/>
      <c r="CY249" s="94"/>
      <c r="CZ249" s="94"/>
      <c r="DA249" s="94"/>
      <c r="DB249" s="94"/>
      <c r="DC249" s="94"/>
      <c r="DD249" s="94"/>
      <c r="DE249" s="94"/>
      <c r="DF249" s="94"/>
      <c r="DG249" s="94"/>
      <c r="DH249" s="94"/>
      <c r="DI249" s="94"/>
      <c r="DJ249" s="94"/>
      <c r="DK249" s="94"/>
      <c r="DL249" s="94"/>
      <c r="DM249" s="94"/>
      <c r="DN249" s="94"/>
      <c r="DO249" s="94"/>
      <c r="DP249" s="94"/>
      <c r="DQ249" s="94"/>
      <c r="DR249" s="94"/>
      <c r="DS249" s="94"/>
      <c r="DT249" s="94"/>
      <c r="DU249" s="94"/>
      <c r="DV249" s="94"/>
      <c r="DW249" s="94"/>
      <c r="DX249" s="94"/>
      <c r="DY249" s="94"/>
      <c r="DZ249" s="218"/>
      <c r="EA249" s="231"/>
      <c r="EB249" s="231"/>
      <c r="EC249" s="231"/>
      <c r="ED249" s="231"/>
      <c r="EE249" s="231"/>
      <c r="EF249" s="231"/>
      <c r="EG249" s="231"/>
      <c r="EH249" s="231"/>
      <c r="EI249" s="231"/>
      <c r="EJ249" s="231"/>
      <c r="EK249" s="231"/>
      <c r="EL249" s="231"/>
      <c r="EM249" s="231"/>
      <c r="EN249" s="231"/>
      <c r="EO249" s="231"/>
      <c r="EP249" s="231"/>
      <c r="EQ249" s="231"/>
    </row>
    <row r="250" spans="1:147" ht="22.9" customHeight="1" outlineLevel="4" x14ac:dyDescent="0.2">
      <c r="A250" s="150" t="s">
        <v>804</v>
      </c>
      <c r="B250" s="53" t="s">
        <v>787</v>
      </c>
      <c r="C250" s="50" t="s">
        <v>100</v>
      </c>
      <c r="D250" s="165">
        <v>1</v>
      </c>
      <c r="E250" s="158">
        <v>1</v>
      </c>
      <c r="F250" s="52">
        <f>SUM(H250:EQ250)*E250*Table1[[#This Row],[Cycles]]</f>
        <v>0</v>
      </c>
      <c r="G250" s="46">
        <f>SUMPRODUCT($H$2:$EQ$2,$H250:$EQ250)*E250*D250</f>
        <v>0</v>
      </c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BK250" s="94"/>
      <c r="BL250" s="94"/>
      <c r="BM250" s="94"/>
      <c r="BN250" s="94"/>
      <c r="BO250" s="94"/>
      <c r="BP250" s="115"/>
      <c r="BQ250" s="115"/>
      <c r="BR250" s="115"/>
      <c r="BS250" s="115"/>
      <c r="BT250" s="115"/>
      <c r="BU250" s="115"/>
      <c r="BV250" s="94"/>
      <c r="BW250" s="94"/>
      <c r="BX250" s="94"/>
      <c r="BY250" s="94"/>
      <c r="BZ250" s="94"/>
      <c r="CA250" s="94"/>
      <c r="CB250" s="94"/>
      <c r="CC250" s="94"/>
      <c r="CD250" s="94"/>
      <c r="CE250" s="94"/>
      <c r="CF250" s="94"/>
      <c r="CG250" s="94"/>
      <c r="CH250" s="94"/>
      <c r="CI250" s="94"/>
      <c r="CJ250" s="94"/>
      <c r="CK250" s="94"/>
      <c r="CL250" s="94"/>
      <c r="CM250" s="94"/>
      <c r="CN250" s="94"/>
      <c r="CO250" s="94"/>
      <c r="CP250" s="94"/>
      <c r="CQ250" s="94"/>
      <c r="CR250" s="94"/>
      <c r="CS250" s="94"/>
      <c r="CT250" s="94"/>
      <c r="CU250" s="94"/>
      <c r="CV250" s="94"/>
      <c r="CW250" s="94"/>
      <c r="CX250" s="94"/>
      <c r="CY250" s="94"/>
      <c r="CZ250" s="94"/>
      <c r="DA250" s="94"/>
      <c r="DB250" s="94"/>
      <c r="DC250" s="94"/>
      <c r="DD250" s="94"/>
      <c r="DE250" s="94"/>
      <c r="DF250" s="94"/>
      <c r="DG250" s="94"/>
      <c r="DH250" s="94"/>
      <c r="DI250" s="94"/>
      <c r="DJ250" s="94"/>
      <c r="DK250" s="94"/>
      <c r="DL250" s="94"/>
      <c r="DM250" s="94"/>
      <c r="DN250" s="94"/>
      <c r="DO250" s="94"/>
      <c r="DP250" s="94"/>
      <c r="DQ250" s="94"/>
      <c r="DR250" s="94"/>
      <c r="DS250" s="94"/>
      <c r="DT250" s="94"/>
      <c r="DU250" s="94"/>
      <c r="DV250" s="94"/>
      <c r="DW250" s="94"/>
      <c r="DX250" s="94"/>
      <c r="DY250" s="94"/>
      <c r="DZ250" s="218"/>
      <c r="EA250" s="231"/>
      <c r="EB250" s="231"/>
      <c r="EC250" s="231"/>
      <c r="ED250" s="231"/>
      <c r="EE250" s="231"/>
      <c r="EF250" s="231"/>
      <c r="EG250" s="231"/>
      <c r="EH250" s="231"/>
      <c r="EI250" s="231"/>
      <c r="EJ250" s="231"/>
      <c r="EK250" s="231"/>
      <c r="EL250" s="231"/>
      <c r="EM250" s="231"/>
      <c r="EN250" s="231"/>
      <c r="EO250" s="231"/>
      <c r="EP250" s="231"/>
      <c r="EQ250" s="231"/>
    </row>
    <row r="251" spans="1:147" ht="22.9" customHeight="1" outlineLevel="4" x14ac:dyDescent="0.2">
      <c r="A251" s="150" t="s">
        <v>805</v>
      </c>
      <c r="B251" s="53" t="s">
        <v>788</v>
      </c>
      <c r="C251" s="50" t="s">
        <v>100</v>
      </c>
      <c r="D251" s="165">
        <v>1</v>
      </c>
      <c r="E251" s="158">
        <v>1</v>
      </c>
      <c r="F251" s="52">
        <f>SUM(H251:EQ251)*E251*Table1[[#This Row],[Cycles]]</f>
        <v>0</v>
      </c>
      <c r="G251" s="46">
        <f>SUMPRODUCT($H$2:$EQ$2,$H251:$EQ251)*E251*D251</f>
        <v>0</v>
      </c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  <c r="BH251" s="94"/>
      <c r="BI251" s="94"/>
      <c r="BJ251" s="94"/>
      <c r="BK251" s="94"/>
      <c r="BL251" s="94"/>
      <c r="BM251" s="94"/>
      <c r="BN251" s="94"/>
      <c r="BO251" s="94"/>
      <c r="BP251" s="94"/>
      <c r="BQ251" s="94"/>
      <c r="BR251" s="94"/>
      <c r="BS251" s="94"/>
      <c r="BT251" s="94"/>
      <c r="BU251" s="94"/>
      <c r="BV251" s="94"/>
      <c r="BW251" s="94"/>
      <c r="BX251" s="94"/>
      <c r="BY251" s="94"/>
      <c r="BZ251" s="94"/>
      <c r="CA251" s="94"/>
      <c r="CB251" s="94"/>
      <c r="CC251" s="94"/>
      <c r="CD251" s="94"/>
      <c r="CE251" s="94"/>
      <c r="CF251" s="94"/>
      <c r="CG251" s="94"/>
      <c r="CH251" s="94"/>
      <c r="CI251" s="94"/>
      <c r="CJ251" s="94"/>
      <c r="CK251" s="94"/>
      <c r="CL251" s="94"/>
      <c r="CM251" s="94"/>
      <c r="CN251" s="94"/>
      <c r="CO251" s="94"/>
      <c r="CP251" s="94"/>
      <c r="CQ251" s="94"/>
      <c r="CR251" s="94"/>
      <c r="CS251" s="94"/>
      <c r="CT251" s="94"/>
      <c r="CU251" s="94"/>
      <c r="CV251" s="94"/>
      <c r="CW251" s="94"/>
      <c r="CX251" s="94"/>
      <c r="CY251" s="94"/>
      <c r="CZ251" s="94"/>
      <c r="DA251" s="94"/>
      <c r="DB251" s="94"/>
      <c r="DC251" s="94"/>
      <c r="DD251" s="94"/>
      <c r="DE251" s="94"/>
      <c r="DF251" s="94"/>
      <c r="DG251" s="94"/>
      <c r="DH251" s="94"/>
      <c r="DI251" s="94"/>
      <c r="DJ251" s="94"/>
      <c r="DK251" s="94"/>
      <c r="DL251" s="94"/>
      <c r="DM251" s="94"/>
      <c r="DN251" s="94"/>
      <c r="DO251" s="94"/>
      <c r="DP251" s="94"/>
      <c r="DQ251" s="94"/>
      <c r="DR251" s="94"/>
      <c r="DS251" s="94"/>
      <c r="DT251" s="94"/>
      <c r="DU251" s="94"/>
      <c r="DV251" s="94"/>
      <c r="DW251" s="94"/>
      <c r="DX251" s="94"/>
      <c r="DY251" s="94"/>
      <c r="DZ251" s="218"/>
      <c r="EA251" s="231"/>
      <c r="EB251" s="231"/>
      <c r="EC251" s="231"/>
      <c r="ED251" s="231"/>
      <c r="EE251" s="231"/>
      <c r="EF251" s="231"/>
      <c r="EG251" s="231"/>
      <c r="EH251" s="231"/>
      <c r="EI251" s="231"/>
      <c r="EJ251" s="231"/>
      <c r="EK251" s="231"/>
      <c r="EL251" s="231"/>
      <c r="EM251" s="231"/>
      <c r="EN251" s="231"/>
      <c r="EO251" s="231"/>
      <c r="EP251" s="231"/>
      <c r="EQ251" s="231"/>
    </row>
    <row r="252" spans="1:147" ht="22.9" customHeight="1" outlineLevel="4" x14ac:dyDescent="0.2">
      <c r="A252" s="150" t="s">
        <v>806</v>
      </c>
      <c r="B252" s="53" t="s">
        <v>789</v>
      </c>
      <c r="C252" s="50" t="s">
        <v>100</v>
      </c>
      <c r="D252" s="165">
        <v>1</v>
      </c>
      <c r="E252" s="158">
        <v>1</v>
      </c>
      <c r="F252" s="52">
        <f>SUM(H252:EQ252)*E252*Table1[[#This Row],[Cycles]]</f>
        <v>0</v>
      </c>
      <c r="G252" s="46">
        <f>SUMPRODUCT($H$2:$EQ$2,$H252:$EQ252)*E252*D252</f>
        <v>0</v>
      </c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  <c r="BH252" s="94"/>
      <c r="BI252" s="94"/>
      <c r="BJ252" s="94"/>
      <c r="BK252" s="94"/>
      <c r="BL252" s="94"/>
      <c r="BM252" s="94"/>
      <c r="BN252" s="94"/>
      <c r="BO252" s="94"/>
      <c r="BP252" s="115"/>
      <c r="BQ252" s="115"/>
      <c r="BR252" s="115"/>
      <c r="BS252" s="115"/>
      <c r="BT252" s="115"/>
      <c r="BU252" s="115"/>
      <c r="BV252" s="94"/>
      <c r="BW252" s="94"/>
      <c r="BX252" s="94"/>
      <c r="BY252" s="94"/>
      <c r="BZ252" s="94"/>
      <c r="CA252" s="94"/>
      <c r="CB252" s="94"/>
      <c r="CC252" s="94"/>
      <c r="CD252" s="94"/>
      <c r="CE252" s="94"/>
      <c r="CF252" s="94"/>
      <c r="CG252" s="94"/>
      <c r="CH252" s="94"/>
      <c r="CI252" s="94"/>
      <c r="CJ252" s="94"/>
      <c r="CK252" s="94"/>
      <c r="CL252" s="94"/>
      <c r="CM252" s="94"/>
      <c r="CN252" s="94"/>
      <c r="CO252" s="94"/>
      <c r="CP252" s="94"/>
      <c r="CQ252" s="94"/>
      <c r="CR252" s="94"/>
      <c r="CS252" s="94"/>
      <c r="CT252" s="94"/>
      <c r="CU252" s="94"/>
      <c r="CV252" s="94"/>
      <c r="CW252" s="94"/>
      <c r="CX252" s="94"/>
      <c r="CY252" s="94"/>
      <c r="CZ252" s="94"/>
      <c r="DA252" s="94"/>
      <c r="DB252" s="94"/>
      <c r="DC252" s="94"/>
      <c r="DD252" s="94"/>
      <c r="DE252" s="94"/>
      <c r="DF252" s="94"/>
      <c r="DG252" s="94"/>
      <c r="DH252" s="94"/>
      <c r="DI252" s="94"/>
      <c r="DJ252" s="94"/>
      <c r="DK252" s="94"/>
      <c r="DL252" s="94"/>
      <c r="DM252" s="94"/>
      <c r="DN252" s="94"/>
      <c r="DO252" s="94"/>
      <c r="DP252" s="94"/>
      <c r="DQ252" s="94"/>
      <c r="DR252" s="94"/>
      <c r="DS252" s="94"/>
      <c r="DT252" s="94"/>
      <c r="DU252" s="94"/>
      <c r="DV252" s="94"/>
      <c r="DW252" s="94"/>
      <c r="DX252" s="94"/>
      <c r="DY252" s="94"/>
      <c r="DZ252" s="218"/>
      <c r="EA252" s="231"/>
      <c r="EB252" s="231"/>
      <c r="EC252" s="231"/>
      <c r="ED252" s="231"/>
      <c r="EE252" s="231"/>
      <c r="EF252" s="231"/>
      <c r="EG252" s="231"/>
      <c r="EH252" s="231"/>
      <c r="EI252" s="231"/>
      <c r="EJ252" s="231"/>
      <c r="EK252" s="231"/>
      <c r="EL252" s="231"/>
      <c r="EM252" s="231"/>
      <c r="EN252" s="231"/>
      <c r="EO252" s="231"/>
      <c r="EP252" s="231"/>
      <c r="EQ252" s="231"/>
    </row>
    <row r="253" spans="1:147" ht="22.9" customHeight="1" outlineLevel="4" x14ac:dyDescent="0.2">
      <c r="A253" s="150" t="s">
        <v>807</v>
      </c>
      <c r="B253" s="53" t="s">
        <v>790</v>
      </c>
      <c r="C253" s="50" t="s">
        <v>100</v>
      </c>
      <c r="D253" s="165">
        <v>1</v>
      </c>
      <c r="E253" s="158">
        <v>1</v>
      </c>
      <c r="F253" s="52">
        <f>SUM(H253:EQ253)*E253*Table1[[#This Row],[Cycles]]</f>
        <v>0</v>
      </c>
      <c r="G253" s="46">
        <f>SUMPRODUCT($H$2:$EQ$2,$H253:$EQ253)*E253*D253</f>
        <v>0</v>
      </c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  <c r="BH253" s="94"/>
      <c r="BI253" s="94"/>
      <c r="BJ253" s="94"/>
      <c r="BK253" s="94"/>
      <c r="BL253" s="94"/>
      <c r="BM253" s="94"/>
      <c r="BN253" s="94"/>
      <c r="BO253" s="94"/>
      <c r="BP253" s="115"/>
      <c r="BQ253" s="115"/>
      <c r="BR253" s="115"/>
      <c r="BS253" s="115"/>
      <c r="BT253" s="115"/>
      <c r="BU253" s="115"/>
      <c r="BV253" s="94"/>
      <c r="BW253" s="94"/>
      <c r="BX253" s="94"/>
      <c r="BY253" s="94"/>
      <c r="BZ253" s="94"/>
      <c r="CA253" s="94"/>
      <c r="CB253" s="94"/>
      <c r="CC253" s="94"/>
      <c r="CD253" s="94"/>
      <c r="CE253" s="94"/>
      <c r="CF253" s="94"/>
      <c r="CG253" s="94"/>
      <c r="CH253" s="94"/>
      <c r="CI253" s="94"/>
      <c r="CJ253" s="94"/>
      <c r="CK253" s="94"/>
      <c r="CL253" s="94"/>
      <c r="CM253" s="94"/>
      <c r="CN253" s="94"/>
      <c r="CO253" s="94"/>
      <c r="CP253" s="94"/>
      <c r="CQ253" s="94"/>
      <c r="CR253" s="94"/>
      <c r="CS253" s="94"/>
      <c r="CT253" s="94"/>
      <c r="CU253" s="94"/>
      <c r="CV253" s="94"/>
      <c r="CW253" s="94"/>
      <c r="CX253" s="94"/>
      <c r="CY253" s="94"/>
      <c r="CZ253" s="94"/>
      <c r="DA253" s="94"/>
      <c r="DB253" s="94"/>
      <c r="DC253" s="94"/>
      <c r="DD253" s="94"/>
      <c r="DE253" s="94"/>
      <c r="DF253" s="94"/>
      <c r="DG253" s="94"/>
      <c r="DH253" s="94"/>
      <c r="DI253" s="94"/>
      <c r="DJ253" s="94"/>
      <c r="DK253" s="94"/>
      <c r="DL253" s="94"/>
      <c r="DM253" s="94"/>
      <c r="DN253" s="94"/>
      <c r="DO253" s="94"/>
      <c r="DP253" s="94"/>
      <c r="DQ253" s="94"/>
      <c r="DR253" s="94"/>
      <c r="DS253" s="94"/>
      <c r="DT253" s="94"/>
      <c r="DU253" s="94"/>
      <c r="DV253" s="94"/>
      <c r="DW253" s="94"/>
      <c r="DX253" s="94"/>
      <c r="DY253" s="94"/>
      <c r="DZ253" s="218"/>
      <c r="EA253" s="231"/>
      <c r="EB253" s="231"/>
      <c r="EC253" s="231"/>
      <c r="ED253" s="231"/>
      <c r="EE253" s="231"/>
      <c r="EF253" s="231"/>
      <c r="EG253" s="231"/>
      <c r="EH253" s="231"/>
      <c r="EI253" s="231"/>
      <c r="EJ253" s="231"/>
      <c r="EK253" s="231"/>
      <c r="EL253" s="231"/>
      <c r="EM253" s="231"/>
      <c r="EN253" s="231"/>
      <c r="EO253" s="231"/>
      <c r="EP253" s="231"/>
      <c r="EQ253" s="231"/>
    </row>
    <row r="254" spans="1:147" ht="22.9" customHeight="1" outlineLevel="4" x14ac:dyDescent="0.2">
      <c r="A254" s="150" t="s">
        <v>808</v>
      </c>
      <c r="B254" s="53" t="s">
        <v>791</v>
      </c>
      <c r="C254" s="50" t="s">
        <v>100</v>
      </c>
      <c r="D254" s="165">
        <v>1</v>
      </c>
      <c r="E254" s="158">
        <v>1</v>
      </c>
      <c r="F254" s="52">
        <f>SUM(H254:EQ254)*E254*Table1[[#This Row],[Cycles]]</f>
        <v>0</v>
      </c>
      <c r="G254" s="46">
        <f>SUMPRODUCT($H$2:$EQ$2,$H254:$EQ254)*E254*D254</f>
        <v>0</v>
      </c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  <c r="BH254" s="94"/>
      <c r="BI254" s="94"/>
      <c r="BJ254" s="94"/>
      <c r="BK254" s="94"/>
      <c r="BL254" s="94"/>
      <c r="BM254" s="94"/>
      <c r="BN254" s="94"/>
      <c r="BO254" s="94"/>
      <c r="BP254" s="115"/>
      <c r="BQ254" s="115"/>
      <c r="BR254" s="115"/>
      <c r="BS254" s="115"/>
      <c r="BT254" s="115"/>
      <c r="BU254" s="115"/>
      <c r="BV254" s="94"/>
      <c r="BW254" s="94"/>
      <c r="BX254" s="94"/>
      <c r="BY254" s="94"/>
      <c r="BZ254" s="94"/>
      <c r="CA254" s="94"/>
      <c r="CB254" s="94"/>
      <c r="CC254" s="94"/>
      <c r="CD254" s="94"/>
      <c r="CE254" s="94"/>
      <c r="CF254" s="94"/>
      <c r="CG254" s="94"/>
      <c r="CH254" s="94"/>
      <c r="CI254" s="94"/>
      <c r="CJ254" s="94"/>
      <c r="CK254" s="94"/>
      <c r="CL254" s="94"/>
      <c r="CM254" s="94"/>
      <c r="CN254" s="94"/>
      <c r="CO254" s="94"/>
      <c r="CP254" s="94"/>
      <c r="CQ254" s="94"/>
      <c r="CR254" s="94"/>
      <c r="CS254" s="94"/>
      <c r="CT254" s="94"/>
      <c r="CU254" s="94"/>
      <c r="CV254" s="94"/>
      <c r="CW254" s="94"/>
      <c r="CX254" s="94"/>
      <c r="CY254" s="94"/>
      <c r="CZ254" s="94"/>
      <c r="DA254" s="94"/>
      <c r="DB254" s="94"/>
      <c r="DC254" s="94"/>
      <c r="DD254" s="94"/>
      <c r="DE254" s="94"/>
      <c r="DF254" s="94"/>
      <c r="DG254" s="94"/>
      <c r="DH254" s="94"/>
      <c r="DI254" s="94"/>
      <c r="DJ254" s="94"/>
      <c r="DK254" s="94"/>
      <c r="DL254" s="94"/>
      <c r="DM254" s="94"/>
      <c r="DN254" s="94"/>
      <c r="DO254" s="94"/>
      <c r="DP254" s="94"/>
      <c r="DQ254" s="94"/>
      <c r="DR254" s="94"/>
      <c r="DS254" s="94"/>
      <c r="DT254" s="94"/>
      <c r="DU254" s="94"/>
      <c r="DV254" s="94"/>
      <c r="DW254" s="94"/>
      <c r="DX254" s="94"/>
      <c r="DY254" s="94"/>
      <c r="DZ254" s="218"/>
      <c r="EA254" s="231"/>
      <c r="EB254" s="231"/>
      <c r="EC254" s="231"/>
      <c r="ED254" s="231"/>
      <c r="EE254" s="231"/>
      <c r="EF254" s="231"/>
      <c r="EG254" s="231"/>
      <c r="EH254" s="231"/>
      <c r="EI254" s="231"/>
      <c r="EJ254" s="231"/>
      <c r="EK254" s="231"/>
      <c r="EL254" s="231"/>
      <c r="EM254" s="231"/>
      <c r="EN254" s="231"/>
      <c r="EO254" s="231"/>
      <c r="EP254" s="231"/>
      <c r="EQ254" s="231"/>
    </row>
    <row r="255" spans="1:147" s="40" customFormat="1" ht="22.9" customHeight="1" outlineLevel="1" x14ac:dyDescent="0.2">
      <c r="A255" s="149" t="s">
        <v>688</v>
      </c>
      <c r="B255" s="34" t="s">
        <v>713</v>
      </c>
      <c r="C255" s="30" t="s">
        <v>100</v>
      </c>
      <c r="D255" s="164"/>
      <c r="E255" s="164"/>
      <c r="F255" s="45">
        <f>SUM(F256:F262)</f>
        <v>0</v>
      </c>
      <c r="G255" s="44">
        <f>SUM(G256:G262)</f>
        <v>0</v>
      </c>
      <c r="H255" s="45">
        <f>SUMPRODUCT($D$256:$D$262,$E$256:$E$262,H256:H262)</f>
        <v>0</v>
      </c>
      <c r="I255" s="45">
        <f>SUMPRODUCT($D$256:$D$262,$E$256:$E$262,I256:I262)</f>
        <v>0</v>
      </c>
      <c r="J255" s="45">
        <f t="shared" ref="J255:BT255" si="189">SUMPRODUCT($D$256:$D$262,$E$256:$E$262,J256:J262)</f>
        <v>0</v>
      </c>
      <c r="K255" s="45">
        <f t="shared" si="189"/>
        <v>0</v>
      </c>
      <c r="L255" s="45">
        <f>SUMPRODUCT($D$256:$D$262,$E$256:$E$262,L256:L262)</f>
        <v>0</v>
      </c>
      <c r="M255" s="45">
        <f t="shared" si="189"/>
        <v>0</v>
      </c>
      <c r="N255" s="45">
        <f t="shared" si="189"/>
        <v>0</v>
      </c>
      <c r="O255" s="45">
        <f t="shared" si="189"/>
        <v>0</v>
      </c>
      <c r="P255" s="45">
        <f t="shared" si="189"/>
        <v>0</v>
      </c>
      <c r="Q255" s="45">
        <f t="shared" si="189"/>
        <v>0</v>
      </c>
      <c r="R255" s="45">
        <f t="shared" si="189"/>
        <v>0</v>
      </c>
      <c r="S255" s="45">
        <f t="shared" si="189"/>
        <v>0</v>
      </c>
      <c r="T255" s="45">
        <f t="shared" si="189"/>
        <v>0</v>
      </c>
      <c r="U255" s="45">
        <f t="shared" si="189"/>
        <v>0</v>
      </c>
      <c r="V255" s="45">
        <f t="shared" si="189"/>
        <v>0</v>
      </c>
      <c r="W255" s="45">
        <f t="shared" si="189"/>
        <v>0</v>
      </c>
      <c r="X255" s="45">
        <f t="shared" si="189"/>
        <v>0</v>
      </c>
      <c r="Y255" s="45">
        <f t="shared" si="189"/>
        <v>0</v>
      </c>
      <c r="Z255" s="45">
        <f t="shared" si="189"/>
        <v>0</v>
      </c>
      <c r="AA255" s="45">
        <f t="shared" si="189"/>
        <v>0</v>
      </c>
      <c r="AB255" s="45">
        <f t="shared" si="189"/>
        <v>0</v>
      </c>
      <c r="AC255" s="45">
        <f t="shared" si="189"/>
        <v>0</v>
      </c>
      <c r="AD255" s="45">
        <f t="shared" si="189"/>
        <v>0</v>
      </c>
      <c r="AE255" s="45">
        <f t="shared" si="189"/>
        <v>0</v>
      </c>
      <c r="AF255" s="45">
        <f t="shared" si="189"/>
        <v>0</v>
      </c>
      <c r="AG255" s="45">
        <f t="shared" si="189"/>
        <v>0</v>
      </c>
      <c r="AH255" s="45">
        <f t="shared" si="189"/>
        <v>0</v>
      </c>
      <c r="AI255" s="45">
        <f t="shared" si="189"/>
        <v>0</v>
      </c>
      <c r="AJ255" s="45">
        <f t="shared" si="189"/>
        <v>0</v>
      </c>
      <c r="AK255" s="45">
        <f t="shared" si="189"/>
        <v>0</v>
      </c>
      <c r="AL255" s="45">
        <f t="shared" si="189"/>
        <v>0</v>
      </c>
      <c r="AM255" s="45">
        <f t="shared" si="189"/>
        <v>0</v>
      </c>
      <c r="AN255" s="45">
        <f t="shared" si="189"/>
        <v>0</v>
      </c>
      <c r="AO255" s="45">
        <f t="shared" si="189"/>
        <v>0</v>
      </c>
      <c r="AP255" s="45">
        <f t="shared" si="189"/>
        <v>0</v>
      </c>
      <c r="AQ255" s="45">
        <f t="shared" si="189"/>
        <v>0</v>
      </c>
      <c r="AR255" s="45">
        <f t="shared" si="189"/>
        <v>0</v>
      </c>
      <c r="AS255" s="45">
        <f t="shared" si="189"/>
        <v>0</v>
      </c>
      <c r="AT255" s="45">
        <f t="shared" si="189"/>
        <v>0</v>
      </c>
      <c r="AU255" s="45">
        <f t="shared" si="189"/>
        <v>0</v>
      </c>
      <c r="AV255" s="45">
        <f t="shared" si="189"/>
        <v>0</v>
      </c>
      <c r="AW255" s="45">
        <f t="shared" si="189"/>
        <v>0</v>
      </c>
      <c r="AX255" s="45">
        <f t="shared" si="189"/>
        <v>0</v>
      </c>
      <c r="AY255" s="45">
        <f t="shared" si="189"/>
        <v>0</v>
      </c>
      <c r="AZ255" s="45">
        <f t="shared" si="189"/>
        <v>0</v>
      </c>
      <c r="BA255" s="45">
        <f t="shared" si="189"/>
        <v>0</v>
      </c>
      <c r="BB255" s="45">
        <f t="shared" si="189"/>
        <v>0</v>
      </c>
      <c r="BC255" s="45">
        <f t="shared" si="189"/>
        <v>0</v>
      </c>
      <c r="BD255" s="45">
        <f t="shared" si="189"/>
        <v>0</v>
      </c>
      <c r="BE255" s="45">
        <f t="shared" si="189"/>
        <v>0</v>
      </c>
      <c r="BF255" s="45">
        <f t="shared" si="189"/>
        <v>0</v>
      </c>
      <c r="BG255" s="45">
        <f t="shared" si="189"/>
        <v>0</v>
      </c>
      <c r="BH255" s="45">
        <f t="shared" si="189"/>
        <v>0</v>
      </c>
      <c r="BI255" s="45">
        <f t="shared" si="189"/>
        <v>0</v>
      </c>
      <c r="BJ255" s="45">
        <f t="shared" si="189"/>
        <v>0</v>
      </c>
      <c r="BK255" s="45">
        <f t="shared" si="189"/>
        <v>0</v>
      </c>
      <c r="BL255" s="45">
        <f t="shared" si="189"/>
        <v>0</v>
      </c>
      <c r="BM255" s="45">
        <f t="shared" si="189"/>
        <v>0</v>
      </c>
      <c r="BN255" s="45">
        <f t="shared" si="189"/>
        <v>0</v>
      </c>
      <c r="BO255" s="45">
        <f t="shared" si="189"/>
        <v>0</v>
      </c>
      <c r="BP255" s="45">
        <f t="shared" si="189"/>
        <v>0</v>
      </c>
      <c r="BQ255" s="45">
        <f t="shared" si="189"/>
        <v>0</v>
      </c>
      <c r="BR255" s="45">
        <f t="shared" si="189"/>
        <v>0</v>
      </c>
      <c r="BS255" s="45">
        <f>SUMPRODUCT($D$256:$D$262,$E$256:$E$262,BS256:BS262)</f>
        <v>0</v>
      </c>
      <c r="BT255" s="45">
        <f t="shared" si="189"/>
        <v>0</v>
      </c>
      <c r="BU255" s="45">
        <f t="shared" ref="BU255:DY255" si="190">SUMPRODUCT($D$256:$D$262,$E$256:$E$262,BU256:BU262)</f>
        <v>0</v>
      </c>
      <c r="BV255" s="45">
        <f t="shared" si="190"/>
        <v>0</v>
      </c>
      <c r="BW255" s="45">
        <f t="shared" si="190"/>
        <v>0</v>
      </c>
      <c r="BX255" s="45">
        <f t="shared" si="190"/>
        <v>0</v>
      </c>
      <c r="BY255" s="45">
        <f t="shared" si="190"/>
        <v>0</v>
      </c>
      <c r="BZ255" s="45">
        <f t="shared" si="190"/>
        <v>0</v>
      </c>
      <c r="CA255" s="45">
        <f t="shared" si="190"/>
        <v>0</v>
      </c>
      <c r="CB255" s="45">
        <f t="shared" si="190"/>
        <v>0</v>
      </c>
      <c r="CC255" s="45">
        <f t="shared" si="190"/>
        <v>0</v>
      </c>
      <c r="CD255" s="45">
        <f t="shared" si="190"/>
        <v>0</v>
      </c>
      <c r="CE255" s="45">
        <f t="shared" si="190"/>
        <v>0</v>
      </c>
      <c r="CF255" s="45">
        <f t="shared" si="190"/>
        <v>0</v>
      </c>
      <c r="CG255" s="45">
        <f t="shared" si="190"/>
        <v>0</v>
      </c>
      <c r="CH255" s="45">
        <f t="shared" si="190"/>
        <v>0</v>
      </c>
      <c r="CI255" s="45">
        <f t="shared" si="190"/>
        <v>0</v>
      </c>
      <c r="CJ255" s="45">
        <f t="shared" si="190"/>
        <v>0</v>
      </c>
      <c r="CK255" s="45">
        <f t="shared" si="190"/>
        <v>0</v>
      </c>
      <c r="CL255" s="45">
        <f t="shared" si="190"/>
        <v>0</v>
      </c>
      <c r="CM255" s="45">
        <f t="shared" si="190"/>
        <v>0</v>
      </c>
      <c r="CN255" s="45">
        <f t="shared" si="190"/>
        <v>0</v>
      </c>
      <c r="CO255" s="45">
        <f t="shared" si="190"/>
        <v>0</v>
      </c>
      <c r="CP255" s="45">
        <f t="shared" si="190"/>
        <v>0</v>
      </c>
      <c r="CQ255" s="45">
        <f t="shared" si="190"/>
        <v>0</v>
      </c>
      <c r="CR255" s="45">
        <f t="shared" si="190"/>
        <v>0</v>
      </c>
      <c r="CS255" s="45">
        <f t="shared" si="190"/>
        <v>0</v>
      </c>
      <c r="CT255" s="45">
        <f t="shared" si="190"/>
        <v>0</v>
      </c>
      <c r="CU255" s="45">
        <f t="shared" si="190"/>
        <v>0</v>
      </c>
      <c r="CV255" s="45">
        <f t="shared" si="190"/>
        <v>0</v>
      </c>
      <c r="CW255" s="45">
        <f t="shared" si="190"/>
        <v>0</v>
      </c>
      <c r="CX255" s="45">
        <f t="shared" si="190"/>
        <v>0</v>
      </c>
      <c r="CY255" s="45">
        <f t="shared" si="190"/>
        <v>0</v>
      </c>
      <c r="CZ255" s="45">
        <f t="shared" si="190"/>
        <v>0</v>
      </c>
      <c r="DA255" s="45">
        <f t="shared" si="190"/>
        <v>0</v>
      </c>
      <c r="DB255" s="45">
        <f t="shared" si="190"/>
        <v>0</v>
      </c>
      <c r="DC255" s="45">
        <f t="shared" si="190"/>
        <v>0</v>
      </c>
      <c r="DD255" s="45">
        <f t="shared" si="190"/>
        <v>0</v>
      </c>
      <c r="DE255" s="45">
        <f t="shared" si="190"/>
        <v>0</v>
      </c>
      <c r="DF255" s="45">
        <f t="shared" si="190"/>
        <v>0</v>
      </c>
      <c r="DG255" s="45">
        <f t="shared" si="190"/>
        <v>0</v>
      </c>
      <c r="DH255" s="45">
        <f t="shared" si="190"/>
        <v>0</v>
      </c>
      <c r="DI255" s="45">
        <f t="shared" si="190"/>
        <v>0</v>
      </c>
      <c r="DJ255" s="45">
        <f t="shared" si="190"/>
        <v>0</v>
      </c>
      <c r="DK255" s="45">
        <f t="shared" si="190"/>
        <v>0</v>
      </c>
      <c r="DL255" s="45">
        <f t="shared" si="190"/>
        <v>0</v>
      </c>
      <c r="DM255" s="45">
        <f t="shared" si="190"/>
        <v>0</v>
      </c>
      <c r="DN255" s="45">
        <f t="shared" si="190"/>
        <v>0</v>
      </c>
      <c r="DO255" s="45">
        <f t="shared" si="190"/>
        <v>0</v>
      </c>
      <c r="DP255" s="45">
        <f t="shared" si="190"/>
        <v>0</v>
      </c>
      <c r="DQ255" s="45">
        <f t="shared" si="190"/>
        <v>0</v>
      </c>
      <c r="DR255" s="45">
        <f t="shared" si="190"/>
        <v>0</v>
      </c>
      <c r="DS255" s="45">
        <f t="shared" si="190"/>
        <v>0</v>
      </c>
      <c r="DT255" s="45">
        <f t="shared" si="190"/>
        <v>0</v>
      </c>
      <c r="DU255" s="45">
        <f t="shared" si="190"/>
        <v>0</v>
      </c>
      <c r="DV255" s="45">
        <f t="shared" si="190"/>
        <v>0</v>
      </c>
      <c r="DW255" s="45">
        <f t="shared" si="190"/>
        <v>0</v>
      </c>
      <c r="DX255" s="45">
        <f>SUMPRODUCT($D$256:$D$262,$E$256:$E$262,DX256:DX262)</f>
        <v>0</v>
      </c>
      <c r="DY255" s="45">
        <f t="shared" si="190"/>
        <v>0</v>
      </c>
      <c r="DZ255" s="218"/>
      <c r="EA255" s="231"/>
      <c r="EB255" s="231"/>
      <c r="EC255" s="231"/>
      <c r="ED255" s="231"/>
      <c r="EE255" s="231"/>
      <c r="EF255" s="231"/>
      <c r="EG255" s="231"/>
      <c r="EH255" s="231"/>
      <c r="EI255" s="231"/>
      <c r="EJ255" s="231"/>
      <c r="EK255" s="231"/>
      <c r="EL255" s="231"/>
      <c r="EM255" s="231"/>
      <c r="EN255" s="231"/>
      <c r="EO255" s="231"/>
      <c r="EP255" s="231"/>
      <c r="EQ255" s="231"/>
    </row>
    <row r="256" spans="1:147" ht="22.9" customHeight="1" outlineLevel="2" x14ac:dyDescent="0.2">
      <c r="A256" s="146" t="s">
        <v>954</v>
      </c>
      <c r="B256" s="53" t="s">
        <v>716</v>
      </c>
      <c r="C256" s="50" t="s">
        <v>133</v>
      </c>
      <c r="D256" s="165">
        <v>1</v>
      </c>
      <c r="E256" s="158">
        <v>1</v>
      </c>
      <c r="F256" s="52">
        <f>SUM(H256:DY256)*E256*Table1[[#This Row],[Cycles]]</f>
        <v>0</v>
      </c>
      <c r="G256" s="46">
        <f>SUMPRODUCT($H$2:$DY$2,$H256:$DY256)*E256*D256</f>
        <v>0</v>
      </c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  <c r="AN256" s="47"/>
      <c r="AO256" s="47"/>
      <c r="AP256" s="47"/>
      <c r="AQ256" s="47"/>
      <c r="AR256" s="47"/>
      <c r="AS256" s="47"/>
      <c r="AT256" s="47"/>
      <c r="AU256" s="47"/>
      <c r="AV256" s="47"/>
      <c r="AW256" s="47"/>
      <c r="AX256" s="47"/>
      <c r="AY256" s="47"/>
      <c r="AZ256" s="47"/>
      <c r="BA256" s="47"/>
      <c r="BB256" s="47"/>
      <c r="BC256" s="47"/>
      <c r="BD256" s="47"/>
      <c r="BE256" s="47"/>
      <c r="BF256" s="47"/>
      <c r="BG256" s="47"/>
      <c r="BH256" s="47"/>
      <c r="BI256" s="47"/>
      <c r="BJ256" s="47"/>
      <c r="BK256" s="47"/>
      <c r="BL256" s="47"/>
      <c r="BM256" s="47"/>
      <c r="BN256" s="47"/>
      <c r="BO256" s="47"/>
      <c r="BP256" s="47"/>
      <c r="BQ256" s="47"/>
      <c r="BR256" s="47"/>
      <c r="BS256" s="47"/>
      <c r="BT256" s="47"/>
      <c r="BU256" s="47"/>
      <c r="BV256" s="47"/>
      <c r="BW256" s="47"/>
      <c r="BX256" s="47"/>
      <c r="BY256" s="47"/>
      <c r="BZ256" s="47"/>
      <c r="CA256" s="47"/>
      <c r="CB256" s="47"/>
      <c r="CC256" s="47"/>
      <c r="CD256" s="47"/>
      <c r="CE256" s="47"/>
      <c r="CF256" s="47"/>
      <c r="CG256" s="47"/>
      <c r="CH256" s="47"/>
      <c r="CI256" s="47"/>
      <c r="CJ256" s="47"/>
      <c r="CK256" s="47"/>
      <c r="CL256" s="47"/>
      <c r="CM256" s="47"/>
      <c r="CN256" s="47"/>
      <c r="CO256" s="47"/>
      <c r="CP256" s="47"/>
      <c r="CQ256" s="47"/>
      <c r="CR256" s="47"/>
      <c r="CS256" s="47"/>
      <c r="CT256" s="47"/>
      <c r="CU256" s="47"/>
      <c r="CV256" s="47"/>
      <c r="CW256" s="47"/>
      <c r="CX256" s="47"/>
      <c r="CY256" s="47"/>
      <c r="CZ256" s="47"/>
      <c r="DA256" s="47"/>
      <c r="DB256" s="47"/>
      <c r="DC256" s="47"/>
      <c r="DD256" s="47"/>
      <c r="DE256" s="47"/>
      <c r="DF256" s="47"/>
      <c r="DG256" s="47"/>
      <c r="DH256" s="47"/>
      <c r="DI256" s="47"/>
      <c r="DJ256" s="47"/>
      <c r="DK256" s="47"/>
      <c r="DL256" s="47"/>
      <c r="DM256" s="47"/>
      <c r="DN256" s="47"/>
      <c r="DO256" s="47"/>
      <c r="DP256" s="47"/>
      <c r="DQ256" s="47"/>
      <c r="DR256" s="47"/>
      <c r="DS256" s="47"/>
      <c r="DT256" s="47"/>
      <c r="DU256" s="47"/>
      <c r="DV256" s="47"/>
      <c r="DW256" s="47"/>
      <c r="DX256" s="47"/>
      <c r="DY256" s="47"/>
      <c r="DZ256" s="219"/>
      <c r="EA256" s="231"/>
      <c r="EB256" s="231"/>
      <c r="EC256" s="231"/>
      <c r="ED256" s="231"/>
      <c r="EE256" s="231"/>
      <c r="EF256" s="231"/>
      <c r="EG256" s="231"/>
      <c r="EH256" s="231"/>
      <c r="EI256" s="231"/>
      <c r="EJ256" s="231"/>
      <c r="EK256" s="231"/>
      <c r="EL256" s="231"/>
      <c r="EM256" s="231"/>
      <c r="EN256" s="231"/>
      <c r="EO256" s="231"/>
      <c r="EP256" s="231"/>
      <c r="EQ256" s="231"/>
    </row>
    <row r="257" spans="1:147" ht="22.9" customHeight="1" outlineLevel="2" x14ac:dyDescent="0.2">
      <c r="A257" s="146" t="s">
        <v>955</v>
      </c>
      <c r="B257" s="53" t="s">
        <v>717</v>
      </c>
      <c r="C257" s="50" t="s">
        <v>133</v>
      </c>
      <c r="D257" s="165">
        <v>1</v>
      </c>
      <c r="E257" s="158">
        <v>1</v>
      </c>
      <c r="F257" s="52">
        <f>SUM(H257:DY257)*E257*Table1[[#This Row],[Cycles]]</f>
        <v>0</v>
      </c>
      <c r="G257" s="46">
        <f t="shared" ref="G257:G262" si="191">SUMPRODUCT($H$2:$DY$2,$H257:$DY257)*E257*D257</f>
        <v>0</v>
      </c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  <c r="AN257" s="47"/>
      <c r="AO257" s="47"/>
      <c r="AP257" s="47"/>
      <c r="AQ257" s="47"/>
      <c r="AR257" s="47"/>
      <c r="AS257" s="47"/>
      <c r="AT257" s="47"/>
      <c r="AU257" s="47"/>
      <c r="AV257" s="47"/>
      <c r="AW257" s="47"/>
      <c r="AX257" s="47"/>
      <c r="AY257" s="47"/>
      <c r="AZ257" s="47"/>
      <c r="BA257" s="47"/>
      <c r="BB257" s="47"/>
      <c r="BC257" s="47"/>
      <c r="BD257" s="47"/>
      <c r="BE257" s="47"/>
      <c r="BF257" s="47"/>
      <c r="BG257" s="47"/>
      <c r="BH257" s="47"/>
      <c r="BI257" s="47"/>
      <c r="BJ257" s="47"/>
      <c r="BK257" s="47"/>
      <c r="BL257" s="47"/>
      <c r="BM257" s="47"/>
      <c r="BN257" s="47"/>
      <c r="BO257" s="47"/>
      <c r="BP257" s="47"/>
      <c r="BQ257" s="47"/>
      <c r="BR257" s="47"/>
      <c r="BS257" s="47"/>
      <c r="BT257" s="47"/>
      <c r="BU257" s="47"/>
      <c r="BV257" s="47"/>
      <c r="BW257" s="47"/>
      <c r="BX257" s="47"/>
      <c r="BY257" s="47"/>
      <c r="BZ257" s="47"/>
      <c r="CA257" s="47"/>
      <c r="CB257" s="47"/>
      <c r="CC257" s="47"/>
      <c r="CD257" s="47"/>
      <c r="CE257" s="47"/>
      <c r="CF257" s="47"/>
      <c r="CG257" s="47"/>
      <c r="CH257" s="47"/>
      <c r="CI257" s="47"/>
      <c r="CJ257" s="47"/>
      <c r="CK257" s="47"/>
      <c r="CL257" s="47"/>
      <c r="CM257" s="47"/>
      <c r="CN257" s="47"/>
      <c r="CO257" s="47"/>
      <c r="CP257" s="47"/>
      <c r="CQ257" s="47"/>
      <c r="CR257" s="47"/>
      <c r="CS257" s="47"/>
      <c r="CT257" s="47"/>
      <c r="CU257" s="47"/>
      <c r="CV257" s="47"/>
      <c r="CW257" s="47"/>
      <c r="CX257" s="47"/>
      <c r="CY257" s="47"/>
      <c r="CZ257" s="47"/>
      <c r="DA257" s="47"/>
      <c r="DB257" s="47"/>
      <c r="DC257" s="47"/>
      <c r="DD257" s="47"/>
      <c r="DE257" s="47"/>
      <c r="DF257" s="47"/>
      <c r="DG257" s="47"/>
      <c r="DH257" s="47"/>
      <c r="DI257" s="47"/>
      <c r="DJ257" s="47"/>
      <c r="DK257" s="47"/>
      <c r="DL257" s="47"/>
      <c r="DM257" s="47"/>
      <c r="DN257" s="47"/>
      <c r="DO257" s="47"/>
      <c r="DP257" s="47"/>
      <c r="DQ257" s="47"/>
      <c r="DR257" s="47"/>
      <c r="DS257" s="47"/>
      <c r="DT257" s="47"/>
      <c r="DU257" s="47"/>
      <c r="DV257" s="47"/>
      <c r="DW257" s="47"/>
      <c r="DX257" s="47"/>
      <c r="DY257" s="47"/>
      <c r="DZ257" s="219"/>
      <c r="EA257" s="231"/>
      <c r="EB257" s="231"/>
      <c r="EC257" s="231"/>
      <c r="ED257" s="231"/>
      <c r="EE257" s="231"/>
      <c r="EF257" s="231"/>
      <c r="EG257" s="231"/>
      <c r="EH257" s="231"/>
      <c r="EI257" s="231"/>
      <c r="EJ257" s="231"/>
      <c r="EK257" s="231"/>
      <c r="EL257" s="231"/>
      <c r="EM257" s="231"/>
      <c r="EN257" s="231"/>
      <c r="EO257" s="231"/>
      <c r="EP257" s="231"/>
      <c r="EQ257" s="231"/>
    </row>
    <row r="258" spans="1:147" ht="22.9" customHeight="1" outlineLevel="2" x14ac:dyDescent="0.2">
      <c r="A258" s="146" t="s">
        <v>956</v>
      </c>
      <c r="B258" s="53" t="s">
        <v>718</v>
      </c>
      <c r="C258" s="50" t="s">
        <v>133</v>
      </c>
      <c r="D258" s="165">
        <v>1</v>
      </c>
      <c r="E258" s="158">
        <v>1</v>
      </c>
      <c r="F258" s="52">
        <f>SUM(H258:DY258)*E258*Table1[[#This Row],[Cycles]]</f>
        <v>0</v>
      </c>
      <c r="G258" s="46">
        <f t="shared" si="191"/>
        <v>0</v>
      </c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  <c r="AN258" s="47"/>
      <c r="AO258" s="47"/>
      <c r="AP258" s="47"/>
      <c r="AQ258" s="47"/>
      <c r="AR258" s="47"/>
      <c r="AS258" s="47"/>
      <c r="AT258" s="47"/>
      <c r="AU258" s="47"/>
      <c r="AV258" s="47"/>
      <c r="AW258" s="47"/>
      <c r="AX258" s="47"/>
      <c r="AY258" s="47"/>
      <c r="AZ258" s="47"/>
      <c r="BA258" s="47"/>
      <c r="BB258" s="47"/>
      <c r="BC258" s="47"/>
      <c r="BD258" s="47"/>
      <c r="BE258" s="47"/>
      <c r="BF258" s="47"/>
      <c r="BG258" s="47"/>
      <c r="BH258" s="47"/>
      <c r="BI258" s="47"/>
      <c r="BJ258" s="47"/>
      <c r="BK258" s="47"/>
      <c r="BL258" s="47"/>
      <c r="BM258" s="47"/>
      <c r="BN258" s="47"/>
      <c r="BO258" s="47"/>
      <c r="BP258" s="47"/>
      <c r="BQ258" s="47"/>
      <c r="BR258" s="47"/>
      <c r="BS258" s="47"/>
      <c r="BT258" s="47"/>
      <c r="BU258" s="47"/>
      <c r="BV258" s="47"/>
      <c r="BW258" s="47"/>
      <c r="BX258" s="47"/>
      <c r="BY258" s="47"/>
      <c r="BZ258" s="47"/>
      <c r="CA258" s="47"/>
      <c r="CB258" s="47"/>
      <c r="CC258" s="47"/>
      <c r="CD258" s="47"/>
      <c r="CE258" s="47"/>
      <c r="CF258" s="47"/>
      <c r="CG258" s="47"/>
      <c r="CH258" s="47"/>
      <c r="CI258" s="47"/>
      <c r="CJ258" s="47"/>
      <c r="CK258" s="47"/>
      <c r="CL258" s="47"/>
      <c r="CM258" s="47"/>
      <c r="CN258" s="47"/>
      <c r="CO258" s="47"/>
      <c r="CP258" s="47"/>
      <c r="CQ258" s="47"/>
      <c r="CR258" s="47"/>
      <c r="CS258" s="47"/>
      <c r="CT258" s="47"/>
      <c r="CU258" s="47"/>
      <c r="CV258" s="47"/>
      <c r="CW258" s="47"/>
      <c r="CX258" s="47"/>
      <c r="CY258" s="47"/>
      <c r="CZ258" s="47"/>
      <c r="DA258" s="47"/>
      <c r="DB258" s="47"/>
      <c r="DC258" s="47"/>
      <c r="DD258" s="47"/>
      <c r="DE258" s="47"/>
      <c r="DF258" s="47"/>
      <c r="DG258" s="47"/>
      <c r="DH258" s="47"/>
      <c r="DI258" s="47"/>
      <c r="DJ258" s="47"/>
      <c r="DK258" s="47"/>
      <c r="DL258" s="47"/>
      <c r="DM258" s="47"/>
      <c r="DN258" s="47"/>
      <c r="DO258" s="47"/>
      <c r="DP258" s="47"/>
      <c r="DQ258" s="47"/>
      <c r="DR258" s="47"/>
      <c r="DS258" s="47"/>
      <c r="DT258" s="47"/>
      <c r="DU258" s="47"/>
      <c r="DV258" s="47"/>
      <c r="DW258" s="47"/>
      <c r="DX258" s="47"/>
      <c r="DY258" s="47"/>
      <c r="DZ258" s="219"/>
      <c r="EA258" s="231"/>
      <c r="EB258" s="231"/>
      <c r="EC258" s="231"/>
      <c r="ED258" s="231"/>
      <c r="EE258" s="231"/>
      <c r="EF258" s="231"/>
      <c r="EG258" s="231"/>
      <c r="EH258" s="231"/>
      <c r="EI258" s="231"/>
      <c r="EJ258" s="231"/>
      <c r="EK258" s="231"/>
      <c r="EL258" s="231"/>
      <c r="EM258" s="231"/>
      <c r="EN258" s="231"/>
      <c r="EO258" s="231"/>
      <c r="EP258" s="231"/>
      <c r="EQ258" s="231"/>
    </row>
    <row r="259" spans="1:147" ht="22.9" customHeight="1" outlineLevel="2" x14ac:dyDescent="0.2">
      <c r="A259" s="146" t="s">
        <v>957</v>
      </c>
      <c r="B259" s="53" t="s">
        <v>719</v>
      </c>
      <c r="C259" s="50" t="s">
        <v>133</v>
      </c>
      <c r="D259" s="165">
        <v>1</v>
      </c>
      <c r="E259" s="158">
        <v>1</v>
      </c>
      <c r="F259" s="52">
        <f>SUM(H259:DY259)*E259*Table1[[#This Row],[Cycles]]</f>
        <v>0</v>
      </c>
      <c r="G259" s="46">
        <f t="shared" si="191"/>
        <v>0</v>
      </c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  <c r="AN259" s="47"/>
      <c r="AO259" s="47"/>
      <c r="AP259" s="47"/>
      <c r="AQ259" s="47"/>
      <c r="AR259" s="47"/>
      <c r="AS259" s="47"/>
      <c r="AT259" s="47"/>
      <c r="AU259" s="47"/>
      <c r="AV259" s="47"/>
      <c r="AW259" s="47"/>
      <c r="AX259" s="47"/>
      <c r="AY259" s="47"/>
      <c r="AZ259" s="47"/>
      <c r="BA259" s="47"/>
      <c r="BB259" s="47"/>
      <c r="BC259" s="47"/>
      <c r="BD259" s="47"/>
      <c r="BE259" s="47"/>
      <c r="BF259" s="47"/>
      <c r="BG259" s="47"/>
      <c r="BH259" s="47"/>
      <c r="BI259" s="47"/>
      <c r="BJ259" s="47"/>
      <c r="BK259" s="47"/>
      <c r="BL259" s="47"/>
      <c r="BM259" s="47"/>
      <c r="BN259" s="47"/>
      <c r="BO259" s="47"/>
      <c r="BP259" s="47"/>
      <c r="BQ259" s="47"/>
      <c r="BR259" s="47"/>
      <c r="BS259" s="47"/>
      <c r="BT259" s="47"/>
      <c r="BU259" s="47"/>
      <c r="BV259" s="47"/>
      <c r="BW259" s="47"/>
      <c r="BX259" s="47"/>
      <c r="BY259" s="47"/>
      <c r="BZ259" s="47"/>
      <c r="CA259" s="47"/>
      <c r="CB259" s="47"/>
      <c r="CC259" s="47"/>
      <c r="CD259" s="47"/>
      <c r="CE259" s="47"/>
      <c r="CF259" s="47"/>
      <c r="CG259" s="47"/>
      <c r="CH259" s="47"/>
      <c r="CI259" s="47"/>
      <c r="CJ259" s="47"/>
      <c r="CK259" s="47"/>
      <c r="CL259" s="47"/>
      <c r="CM259" s="47"/>
      <c r="CN259" s="47"/>
      <c r="CO259" s="47"/>
      <c r="CP259" s="47"/>
      <c r="CQ259" s="47"/>
      <c r="CR259" s="47"/>
      <c r="CS259" s="47"/>
      <c r="CT259" s="47"/>
      <c r="CU259" s="47"/>
      <c r="CV259" s="47"/>
      <c r="CW259" s="47"/>
      <c r="CX259" s="47"/>
      <c r="CY259" s="47"/>
      <c r="CZ259" s="47"/>
      <c r="DA259" s="47"/>
      <c r="DB259" s="47"/>
      <c r="DC259" s="47"/>
      <c r="DD259" s="47"/>
      <c r="DE259" s="47"/>
      <c r="DF259" s="47"/>
      <c r="DG259" s="47"/>
      <c r="DH259" s="47"/>
      <c r="DI259" s="47"/>
      <c r="DJ259" s="47"/>
      <c r="DK259" s="47"/>
      <c r="DL259" s="47"/>
      <c r="DM259" s="47"/>
      <c r="DN259" s="47"/>
      <c r="DO259" s="47"/>
      <c r="DP259" s="47"/>
      <c r="DQ259" s="47"/>
      <c r="DR259" s="47"/>
      <c r="DS259" s="47"/>
      <c r="DT259" s="47"/>
      <c r="DU259" s="47"/>
      <c r="DV259" s="47"/>
      <c r="DW259" s="47"/>
      <c r="DX259" s="47"/>
      <c r="DY259" s="47"/>
      <c r="DZ259" s="219"/>
      <c r="EA259" s="231"/>
      <c r="EB259" s="231"/>
      <c r="EC259" s="231"/>
      <c r="ED259" s="231"/>
      <c r="EE259" s="231"/>
      <c r="EF259" s="231"/>
      <c r="EG259" s="231"/>
      <c r="EH259" s="231"/>
      <c r="EI259" s="231"/>
      <c r="EJ259" s="231"/>
      <c r="EK259" s="231"/>
      <c r="EL259" s="231"/>
      <c r="EM259" s="231"/>
      <c r="EN259" s="231"/>
      <c r="EO259" s="231"/>
      <c r="EP259" s="231"/>
      <c r="EQ259" s="231"/>
    </row>
    <row r="260" spans="1:147" ht="22.9" customHeight="1" outlineLevel="2" x14ac:dyDescent="0.2">
      <c r="A260" s="146" t="s">
        <v>958</v>
      </c>
      <c r="B260" s="53" t="s">
        <v>720</v>
      </c>
      <c r="C260" s="50" t="s">
        <v>133</v>
      </c>
      <c r="D260" s="165">
        <v>1</v>
      </c>
      <c r="E260" s="158">
        <v>1</v>
      </c>
      <c r="F260" s="52">
        <f>SUM(H260:DY260)*E260*Table1[[#This Row],[Cycles]]</f>
        <v>0</v>
      </c>
      <c r="G260" s="46">
        <f t="shared" si="191"/>
        <v>0</v>
      </c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  <c r="AX260" s="47"/>
      <c r="AY260" s="47"/>
      <c r="AZ260" s="47"/>
      <c r="BA260" s="47"/>
      <c r="BB260" s="47"/>
      <c r="BC260" s="47"/>
      <c r="BD260" s="47"/>
      <c r="BE260" s="47"/>
      <c r="BF260" s="47"/>
      <c r="BG260" s="47"/>
      <c r="BH260" s="47"/>
      <c r="BI260" s="47"/>
      <c r="BJ260" s="47"/>
      <c r="BK260" s="47"/>
      <c r="BL260" s="47"/>
      <c r="BM260" s="47"/>
      <c r="BN260" s="47"/>
      <c r="BO260" s="47"/>
      <c r="BP260" s="47"/>
      <c r="BQ260" s="47"/>
      <c r="BR260" s="47"/>
      <c r="BS260" s="47"/>
      <c r="BT260" s="47"/>
      <c r="BU260" s="47"/>
      <c r="BV260" s="47"/>
      <c r="BW260" s="47"/>
      <c r="BX260" s="47"/>
      <c r="BY260" s="47"/>
      <c r="BZ260" s="47"/>
      <c r="CA260" s="47"/>
      <c r="CB260" s="47"/>
      <c r="CC260" s="47"/>
      <c r="CD260" s="47"/>
      <c r="CE260" s="47"/>
      <c r="CF260" s="47"/>
      <c r="CG260" s="47"/>
      <c r="CH260" s="47"/>
      <c r="CI260" s="47"/>
      <c r="CJ260" s="47"/>
      <c r="CK260" s="47"/>
      <c r="CL260" s="47"/>
      <c r="CM260" s="47"/>
      <c r="CN260" s="47"/>
      <c r="CO260" s="47"/>
      <c r="CP260" s="47"/>
      <c r="CQ260" s="47"/>
      <c r="CR260" s="47"/>
      <c r="CS260" s="47"/>
      <c r="CT260" s="47"/>
      <c r="CU260" s="47"/>
      <c r="CV260" s="47"/>
      <c r="CW260" s="47"/>
      <c r="CX260" s="47"/>
      <c r="CY260" s="47"/>
      <c r="CZ260" s="47"/>
      <c r="DA260" s="47"/>
      <c r="DB260" s="47"/>
      <c r="DC260" s="47"/>
      <c r="DD260" s="47"/>
      <c r="DE260" s="47"/>
      <c r="DF260" s="47"/>
      <c r="DG260" s="47"/>
      <c r="DH260" s="47"/>
      <c r="DI260" s="47"/>
      <c r="DJ260" s="47"/>
      <c r="DK260" s="47"/>
      <c r="DL260" s="47"/>
      <c r="DM260" s="47"/>
      <c r="DN260" s="47"/>
      <c r="DO260" s="47"/>
      <c r="DP260" s="47"/>
      <c r="DQ260" s="47"/>
      <c r="DR260" s="47"/>
      <c r="DS260" s="47"/>
      <c r="DT260" s="47"/>
      <c r="DU260" s="47"/>
      <c r="DV260" s="47"/>
      <c r="DW260" s="47"/>
      <c r="DX260" s="47"/>
      <c r="DY260" s="47"/>
      <c r="DZ260" s="219"/>
      <c r="EA260" s="231"/>
      <c r="EB260" s="231"/>
      <c r="EC260" s="231"/>
      <c r="ED260" s="231"/>
      <c r="EE260" s="231"/>
      <c r="EF260" s="231"/>
      <c r="EG260" s="231"/>
      <c r="EH260" s="231"/>
      <c r="EI260" s="231"/>
      <c r="EJ260" s="231"/>
      <c r="EK260" s="231"/>
      <c r="EL260" s="231"/>
      <c r="EM260" s="231"/>
      <c r="EN260" s="231"/>
      <c r="EO260" s="231"/>
      <c r="EP260" s="231"/>
      <c r="EQ260" s="231"/>
    </row>
    <row r="261" spans="1:147" ht="22.9" customHeight="1" outlineLevel="2" x14ac:dyDescent="0.2">
      <c r="A261" s="146" t="s">
        <v>959</v>
      </c>
      <c r="B261" s="53" t="s">
        <v>721</v>
      </c>
      <c r="C261" s="50" t="s">
        <v>133</v>
      </c>
      <c r="D261" s="165">
        <v>1</v>
      </c>
      <c r="E261" s="158">
        <v>1</v>
      </c>
      <c r="F261" s="52">
        <f>SUM(H261:DY261)*E261*Table1[[#This Row],[Cycles]]</f>
        <v>0</v>
      </c>
      <c r="G261" s="46">
        <f t="shared" si="191"/>
        <v>0</v>
      </c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  <c r="AN261" s="47"/>
      <c r="AO261" s="47"/>
      <c r="AP261" s="47"/>
      <c r="AQ261" s="47"/>
      <c r="AR261" s="47"/>
      <c r="AS261" s="47"/>
      <c r="AT261" s="47"/>
      <c r="AU261" s="47"/>
      <c r="AV261" s="47"/>
      <c r="AW261" s="47"/>
      <c r="AX261" s="47"/>
      <c r="AY261" s="47"/>
      <c r="AZ261" s="47"/>
      <c r="BA261" s="47"/>
      <c r="BB261" s="47"/>
      <c r="BC261" s="47"/>
      <c r="BD261" s="47"/>
      <c r="BE261" s="47"/>
      <c r="BF261" s="47"/>
      <c r="BG261" s="47"/>
      <c r="BH261" s="47"/>
      <c r="BI261" s="47"/>
      <c r="BJ261" s="47"/>
      <c r="BK261" s="47"/>
      <c r="BL261" s="47"/>
      <c r="BM261" s="47"/>
      <c r="BN261" s="47"/>
      <c r="BO261" s="47"/>
      <c r="BP261" s="47"/>
      <c r="BQ261" s="47"/>
      <c r="BR261" s="47"/>
      <c r="BS261" s="47"/>
      <c r="BT261" s="47"/>
      <c r="BU261" s="47"/>
      <c r="BV261" s="47"/>
      <c r="BW261" s="47"/>
      <c r="BX261" s="47"/>
      <c r="BY261" s="47"/>
      <c r="BZ261" s="47"/>
      <c r="CA261" s="47"/>
      <c r="CB261" s="47"/>
      <c r="CC261" s="47"/>
      <c r="CD261" s="47"/>
      <c r="CE261" s="47"/>
      <c r="CF261" s="47"/>
      <c r="CG261" s="47"/>
      <c r="CH261" s="47"/>
      <c r="CI261" s="47"/>
      <c r="CJ261" s="47"/>
      <c r="CK261" s="47"/>
      <c r="CL261" s="47"/>
      <c r="CM261" s="47"/>
      <c r="CN261" s="47"/>
      <c r="CO261" s="47"/>
      <c r="CP261" s="47"/>
      <c r="CQ261" s="47"/>
      <c r="CR261" s="47"/>
      <c r="CS261" s="47"/>
      <c r="CT261" s="47"/>
      <c r="CU261" s="47"/>
      <c r="CV261" s="47"/>
      <c r="CW261" s="47"/>
      <c r="CX261" s="47"/>
      <c r="CY261" s="47"/>
      <c r="CZ261" s="47"/>
      <c r="DA261" s="47"/>
      <c r="DB261" s="47"/>
      <c r="DC261" s="47"/>
      <c r="DD261" s="47"/>
      <c r="DE261" s="47"/>
      <c r="DF261" s="47"/>
      <c r="DG261" s="47"/>
      <c r="DH261" s="47"/>
      <c r="DI261" s="47"/>
      <c r="DJ261" s="47"/>
      <c r="DK261" s="47"/>
      <c r="DL261" s="47"/>
      <c r="DM261" s="47"/>
      <c r="DN261" s="47"/>
      <c r="DO261" s="47"/>
      <c r="DP261" s="47"/>
      <c r="DQ261" s="47"/>
      <c r="DR261" s="47"/>
      <c r="DS261" s="47"/>
      <c r="DT261" s="47"/>
      <c r="DU261" s="47"/>
      <c r="DV261" s="47"/>
      <c r="DW261" s="47"/>
      <c r="DX261" s="47"/>
      <c r="DY261" s="47"/>
      <c r="DZ261" s="219"/>
      <c r="EA261" s="231"/>
      <c r="EB261" s="231"/>
      <c r="EC261" s="231"/>
      <c r="ED261" s="231"/>
      <c r="EE261" s="231"/>
      <c r="EF261" s="231"/>
      <c r="EG261" s="231"/>
      <c r="EH261" s="231"/>
      <c r="EI261" s="231"/>
      <c r="EJ261" s="231"/>
      <c r="EK261" s="231"/>
      <c r="EL261" s="231"/>
      <c r="EM261" s="231"/>
      <c r="EN261" s="231"/>
      <c r="EO261" s="231"/>
      <c r="EP261" s="231"/>
      <c r="EQ261" s="231"/>
    </row>
    <row r="262" spans="1:147" ht="22.9" customHeight="1" outlineLevel="2" x14ac:dyDescent="0.2">
      <c r="A262" s="146" t="s">
        <v>960</v>
      </c>
      <c r="B262" s="53" t="s">
        <v>722</v>
      </c>
      <c r="C262" s="50" t="s">
        <v>133</v>
      </c>
      <c r="D262" s="165">
        <v>1</v>
      </c>
      <c r="E262" s="158">
        <v>1</v>
      </c>
      <c r="F262" s="52">
        <f>SUM(H262:DY262)*E262*Table1[[#This Row],[Cycles]]</f>
        <v>0</v>
      </c>
      <c r="G262" s="46">
        <f t="shared" si="191"/>
        <v>0</v>
      </c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  <c r="AX262" s="47"/>
      <c r="AY262" s="47"/>
      <c r="AZ262" s="47"/>
      <c r="BA262" s="47"/>
      <c r="BB262" s="47"/>
      <c r="BC262" s="47"/>
      <c r="BD262" s="47"/>
      <c r="BE262" s="47"/>
      <c r="BF262" s="47"/>
      <c r="BG262" s="47"/>
      <c r="BH262" s="47"/>
      <c r="BI262" s="47"/>
      <c r="BJ262" s="47"/>
      <c r="BK262" s="47"/>
      <c r="BL262" s="47"/>
      <c r="BM262" s="47"/>
      <c r="BN262" s="47"/>
      <c r="BO262" s="47"/>
      <c r="BP262" s="47"/>
      <c r="BQ262" s="47"/>
      <c r="BR262" s="47"/>
      <c r="BS262" s="47"/>
      <c r="BT262" s="47"/>
      <c r="BU262" s="47"/>
      <c r="BV262" s="47"/>
      <c r="BW262" s="47"/>
      <c r="BX262" s="47"/>
      <c r="BY262" s="47"/>
      <c r="BZ262" s="47"/>
      <c r="CA262" s="47"/>
      <c r="CB262" s="47"/>
      <c r="CC262" s="47"/>
      <c r="CD262" s="47"/>
      <c r="CE262" s="47"/>
      <c r="CF262" s="47"/>
      <c r="CG262" s="47"/>
      <c r="CH262" s="47"/>
      <c r="CI262" s="47"/>
      <c r="CJ262" s="47"/>
      <c r="CK262" s="47"/>
      <c r="CL262" s="47"/>
      <c r="CM262" s="47"/>
      <c r="CN262" s="47"/>
      <c r="CO262" s="47"/>
      <c r="CP262" s="47"/>
      <c r="CQ262" s="47"/>
      <c r="CR262" s="47"/>
      <c r="CS262" s="47"/>
      <c r="CT262" s="47"/>
      <c r="CU262" s="47"/>
      <c r="CV262" s="47"/>
      <c r="CW262" s="47"/>
      <c r="CX262" s="47"/>
      <c r="CY262" s="47"/>
      <c r="CZ262" s="47"/>
      <c r="DA262" s="47"/>
      <c r="DB262" s="47"/>
      <c r="DC262" s="47"/>
      <c r="DD262" s="47"/>
      <c r="DE262" s="47"/>
      <c r="DF262" s="47"/>
      <c r="DG262" s="47"/>
      <c r="DH262" s="47"/>
      <c r="DI262" s="47"/>
      <c r="DJ262" s="47"/>
      <c r="DK262" s="47"/>
      <c r="DL262" s="47"/>
      <c r="DM262" s="47"/>
      <c r="DN262" s="47"/>
      <c r="DO262" s="47"/>
      <c r="DP262" s="47"/>
      <c r="DQ262" s="47"/>
      <c r="DR262" s="47"/>
      <c r="DS262" s="47"/>
      <c r="DT262" s="47"/>
      <c r="DU262" s="47"/>
      <c r="DV262" s="47"/>
      <c r="DW262" s="47"/>
      <c r="DX262" s="47"/>
      <c r="DY262" s="47"/>
      <c r="DZ262" s="219"/>
      <c r="EA262" s="231"/>
      <c r="EB262" s="231"/>
      <c r="EC262" s="231"/>
      <c r="ED262" s="231"/>
      <c r="EE262" s="231"/>
      <c r="EF262" s="231"/>
      <c r="EG262" s="231"/>
      <c r="EH262" s="231"/>
      <c r="EI262" s="231"/>
      <c r="EJ262" s="231"/>
      <c r="EK262" s="231"/>
      <c r="EL262" s="231"/>
      <c r="EM262" s="231"/>
      <c r="EN262" s="231"/>
      <c r="EO262" s="231"/>
      <c r="EP262" s="231"/>
      <c r="EQ262" s="231"/>
    </row>
    <row r="263" spans="1:147" s="40" customFormat="1" ht="22.9" customHeight="1" x14ac:dyDescent="0.2">
      <c r="A263" s="148" t="s">
        <v>153</v>
      </c>
      <c r="B263" s="48" t="s">
        <v>710</v>
      </c>
      <c r="C263" s="33"/>
      <c r="D263" s="163"/>
      <c r="E263" s="163"/>
      <c r="F263" s="31">
        <f>F264</f>
        <v>0</v>
      </c>
      <c r="G263" s="31">
        <f>G264</f>
        <v>0</v>
      </c>
      <c r="H263" s="31">
        <f>H264</f>
        <v>0</v>
      </c>
      <c r="I263" s="31">
        <f>I264</f>
        <v>0</v>
      </c>
      <c r="J263" s="31">
        <f t="shared" ref="J263:BS263" si="192">J264</f>
        <v>0</v>
      </c>
      <c r="K263" s="31">
        <f t="shared" si="192"/>
        <v>0</v>
      </c>
      <c r="L263" s="31">
        <f t="shared" si="192"/>
        <v>0</v>
      </c>
      <c r="M263" s="31">
        <f>M264</f>
        <v>0</v>
      </c>
      <c r="N263" s="31">
        <f t="shared" si="192"/>
        <v>0</v>
      </c>
      <c r="O263" s="31">
        <f t="shared" si="192"/>
        <v>0</v>
      </c>
      <c r="P263" s="31">
        <f t="shared" si="192"/>
        <v>0</v>
      </c>
      <c r="Q263" s="31">
        <f t="shared" si="192"/>
        <v>0</v>
      </c>
      <c r="R263" s="31">
        <f t="shared" si="192"/>
        <v>0</v>
      </c>
      <c r="S263" s="31">
        <f t="shared" si="192"/>
        <v>0</v>
      </c>
      <c r="T263" s="31">
        <f t="shared" si="192"/>
        <v>0</v>
      </c>
      <c r="U263" s="31">
        <f t="shared" si="192"/>
        <v>0</v>
      </c>
      <c r="V263" s="31">
        <f t="shared" si="192"/>
        <v>0</v>
      </c>
      <c r="W263" s="31">
        <f t="shared" si="192"/>
        <v>0</v>
      </c>
      <c r="X263" s="31">
        <f t="shared" si="192"/>
        <v>0</v>
      </c>
      <c r="Y263" s="31">
        <f t="shared" si="192"/>
        <v>0</v>
      </c>
      <c r="Z263" s="31">
        <f t="shared" si="192"/>
        <v>0</v>
      </c>
      <c r="AA263" s="31">
        <f t="shared" si="192"/>
        <v>0</v>
      </c>
      <c r="AB263" s="31">
        <f t="shared" si="192"/>
        <v>0</v>
      </c>
      <c r="AC263" s="31">
        <f t="shared" si="192"/>
        <v>0</v>
      </c>
      <c r="AD263" s="31">
        <f t="shared" si="192"/>
        <v>0</v>
      </c>
      <c r="AE263" s="31">
        <f t="shared" si="192"/>
        <v>0</v>
      </c>
      <c r="AF263" s="31">
        <f t="shared" si="192"/>
        <v>0</v>
      </c>
      <c r="AG263" s="31">
        <f t="shared" si="192"/>
        <v>0</v>
      </c>
      <c r="AH263" s="31">
        <f t="shared" si="192"/>
        <v>0</v>
      </c>
      <c r="AI263" s="31">
        <f t="shared" si="192"/>
        <v>0</v>
      </c>
      <c r="AJ263" s="31">
        <f t="shared" si="192"/>
        <v>0</v>
      </c>
      <c r="AK263" s="31">
        <f t="shared" si="192"/>
        <v>0</v>
      </c>
      <c r="AL263" s="31">
        <f t="shared" si="192"/>
        <v>0</v>
      </c>
      <c r="AM263" s="31">
        <f t="shared" si="192"/>
        <v>0</v>
      </c>
      <c r="AN263" s="31">
        <f t="shared" si="192"/>
        <v>0</v>
      </c>
      <c r="AO263" s="31">
        <f t="shared" si="192"/>
        <v>0</v>
      </c>
      <c r="AP263" s="31">
        <f t="shared" si="192"/>
        <v>0</v>
      </c>
      <c r="AQ263" s="31">
        <f t="shared" si="192"/>
        <v>0</v>
      </c>
      <c r="AR263" s="31">
        <f t="shared" si="192"/>
        <v>0</v>
      </c>
      <c r="AS263" s="31">
        <f t="shared" si="192"/>
        <v>0</v>
      </c>
      <c r="AT263" s="31">
        <f t="shared" si="192"/>
        <v>0</v>
      </c>
      <c r="AU263" s="31">
        <f t="shared" si="192"/>
        <v>0</v>
      </c>
      <c r="AV263" s="31">
        <f t="shared" si="192"/>
        <v>0</v>
      </c>
      <c r="AW263" s="31">
        <f t="shared" si="192"/>
        <v>0</v>
      </c>
      <c r="AX263" s="31">
        <f t="shared" si="192"/>
        <v>0</v>
      </c>
      <c r="AY263" s="31">
        <f t="shared" si="192"/>
        <v>0</v>
      </c>
      <c r="AZ263" s="31">
        <f t="shared" si="192"/>
        <v>0</v>
      </c>
      <c r="BA263" s="31">
        <f t="shared" si="192"/>
        <v>0</v>
      </c>
      <c r="BB263" s="31">
        <f t="shared" si="192"/>
        <v>0</v>
      </c>
      <c r="BC263" s="31">
        <f t="shared" si="192"/>
        <v>0</v>
      </c>
      <c r="BD263" s="31">
        <f t="shared" si="192"/>
        <v>0</v>
      </c>
      <c r="BE263" s="31">
        <f t="shared" si="192"/>
        <v>0</v>
      </c>
      <c r="BF263" s="31">
        <f t="shared" si="192"/>
        <v>0</v>
      </c>
      <c r="BG263" s="31">
        <f t="shared" si="192"/>
        <v>0</v>
      </c>
      <c r="BH263" s="31">
        <f t="shared" si="192"/>
        <v>0</v>
      </c>
      <c r="BI263" s="31">
        <f t="shared" si="192"/>
        <v>0</v>
      </c>
      <c r="BJ263" s="31">
        <f t="shared" si="192"/>
        <v>0</v>
      </c>
      <c r="BK263" s="31">
        <f t="shared" si="192"/>
        <v>0</v>
      </c>
      <c r="BL263" s="31">
        <f t="shared" si="192"/>
        <v>0</v>
      </c>
      <c r="BM263" s="31">
        <f t="shared" si="192"/>
        <v>0</v>
      </c>
      <c r="BN263" s="31">
        <f t="shared" si="192"/>
        <v>0</v>
      </c>
      <c r="BO263" s="31">
        <f t="shared" si="192"/>
        <v>0</v>
      </c>
      <c r="BP263" s="31">
        <f t="shared" si="192"/>
        <v>0</v>
      </c>
      <c r="BQ263" s="31">
        <f t="shared" si="192"/>
        <v>0</v>
      </c>
      <c r="BR263" s="31">
        <f t="shared" si="192"/>
        <v>0</v>
      </c>
      <c r="BS263" s="31">
        <f t="shared" si="192"/>
        <v>0</v>
      </c>
      <c r="BT263" s="31">
        <f t="shared" ref="BT263:DY263" si="193">BT264</f>
        <v>0</v>
      </c>
      <c r="BU263" s="31">
        <f t="shared" si="193"/>
        <v>0</v>
      </c>
      <c r="BV263" s="31">
        <f t="shared" si="193"/>
        <v>0</v>
      </c>
      <c r="BW263" s="31">
        <f t="shared" si="193"/>
        <v>0</v>
      </c>
      <c r="BX263" s="31">
        <f t="shared" si="193"/>
        <v>0</v>
      </c>
      <c r="BY263" s="31">
        <f t="shared" si="193"/>
        <v>0</v>
      </c>
      <c r="BZ263" s="31">
        <f t="shared" si="193"/>
        <v>0</v>
      </c>
      <c r="CA263" s="31">
        <f t="shared" si="193"/>
        <v>0</v>
      </c>
      <c r="CB263" s="31">
        <f t="shared" si="193"/>
        <v>0</v>
      </c>
      <c r="CC263" s="31">
        <f t="shared" si="193"/>
        <v>0</v>
      </c>
      <c r="CD263" s="31">
        <f t="shared" si="193"/>
        <v>0</v>
      </c>
      <c r="CE263" s="31">
        <f t="shared" si="193"/>
        <v>0</v>
      </c>
      <c r="CF263" s="31">
        <f t="shared" si="193"/>
        <v>0</v>
      </c>
      <c r="CG263" s="31">
        <f t="shared" si="193"/>
        <v>0</v>
      </c>
      <c r="CH263" s="31">
        <f t="shared" si="193"/>
        <v>0</v>
      </c>
      <c r="CI263" s="31">
        <f t="shared" si="193"/>
        <v>0</v>
      </c>
      <c r="CJ263" s="31">
        <f t="shared" si="193"/>
        <v>0</v>
      </c>
      <c r="CK263" s="31">
        <f t="shared" si="193"/>
        <v>0</v>
      </c>
      <c r="CL263" s="31">
        <f t="shared" si="193"/>
        <v>0</v>
      </c>
      <c r="CM263" s="31">
        <f t="shared" si="193"/>
        <v>0</v>
      </c>
      <c r="CN263" s="31">
        <f t="shared" si="193"/>
        <v>0</v>
      </c>
      <c r="CO263" s="31">
        <f t="shared" si="193"/>
        <v>0</v>
      </c>
      <c r="CP263" s="31">
        <f t="shared" si="193"/>
        <v>0</v>
      </c>
      <c r="CQ263" s="31">
        <f t="shared" si="193"/>
        <v>0</v>
      </c>
      <c r="CR263" s="31">
        <f t="shared" si="193"/>
        <v>0</v>
      </c>
      <c r="CS263" s="31">
        <f t="shared" si="193"/>
        <v>0</v>
      </c>
      <c r="CT263" s="31">
        <f t="shared" si="193"/>
        <v>0</v>
      </c>
      <c r="CU263" s="31">
        <f t="shared" si="193"/>
        <v>0</v>
      </c>
      <c r="CV263" s="31">
        <f t="shared" si="193"/>
        <v>0</v>
      </c>
      <c r="CW263" s="31">
        <f t="shared" si="193"/>
        <v>0</v>
      </c>
      <c r="CX263" s="31">
        <f t="shared" si="193"/>
        <v>0</v>
      </c>
      <c r="CY263" s="31">
        <f t="shared" si="193"/>
        <v>0</v>
      </c>
      <c r="CZ263" s="31">
        <f t="shared" si="193"/>
        <v>0</v>
      </c>
      <c r="DA263" s="31">
        <f t="shared" si="193"/>
        <v>0</v>
      </c>
      <c r="DB263" s="31">
        <f t="shared" si="193"/>
        <v>0</v>
      </c>
      <c r="DC263" s="31">
        <f t="shared" si="193"/>
        <v>0</v>
      </c>
      <c r="DD263" s="31">
        <f t="shared" si="193"/>
        <v>0</v>
      </c>
      <c r="DE263" s="31">
        <f t="shared" si="193"/>
        <v>0</v>
      </c>
      <c r="DF263" s="31">
        <f t="shared" si="193"/>
        <v>0</v>
      </c>
      <c r="DG263" s="31">
        <f t="shared" si="193"/>
        <v>0</v>
      </c>
      <c r="DH263" s="31">
        <f t="shared" si="193"/>
        <v>0</v>
      </c>
      <c r="DI263" s="31">
        <f t="shared" si="193"/>
        <v>0</v>
      </c>
      <c r="DJ263" s="31">
        <f t="shared" si="193"/>
        <v>0</v>
      </c>
      <c r="DK263" s="31">
        <f t="shared" si="193"/>
        <v>0</v>
      </c>
      <c r="DL263" s="31">
        <f t="shared" si="193"/>
        <v>0</v>
      </c>
      <c r="DM263" s="31">
        <f t="shared" si="193"/>
        <v>0</v>
      </c>
      <c r="DN263" s="31">
        <f t="shared" si="193"/>
        <v>0</v>
      </c>
      <c r="DO263" s="31">
        <f t="shared" si="193"/>
        <v>0</v>
      </c>
      <c r="DP263" s="31">
        <f t="shared" si="193"/>
        <v>0</v>
      </c>
      <c r="DQ263" s="31">
        <f t="shared" si="193"/>
        <v>0</v>
      </c>
      <c r="DR263" s="31">
        <f t="shared" si="193"/>
        <v>0</v>
      </c>
      <c r="DS263" s="31">
        <f t="shared" si="193"/>
        <v>0</v>
      </c>
      <c r="DT263" s="31">
        <f t="shared" si="193"/>
        <v>0</v>
      </c>
      <c r="DU263" s="31">
        <f t="shared" si="193"/>
        <v>0</v>
      </c>
      <c r="DV263" s="31">
        <f t="shared" si="193"/>
        <v>0</v>
      </c>
      <c r="DW263" s="31">
        <f t="shared" si="193"/>
        <v>0</v>
      </c>
      <c r="DX263" s="31">
        <f t="shared" si="193"/>
        <v>0</v>
      </c>
      <c r="DY263" s="31">
        <f t="shared" si="193"/>
        <v>0</v>
      </c>
      <c r="DZ263" s="218"/>
      <c r="EA263" s="232"/>
      <c r="EB263" s="232"/>
      <c r="EC263" s="232"/>
      <c r="ED263" s="232"/>
      <c r="EE263" s="232"/>
      <c r="EF263" s="232"/>
      <c r="EG263" s="232"/>
      <c r="EH263" s="232"/>
      <c r="EI263" s="232"/>
      <c r="EJ263" s="232"/>
      <c r="EK263" s="232"/>
      <c r="EL263" s="232"/>
      <c r="EM263" s="232"/>
      <c r="EN263" s="232"/>
      <c r="EO263" s="232"/>
      <c r="EP263" s="232"/>
      <c r="EQ263" s="232"/>
    </row>
    <row r="264" spans="1:147" s="40" customFormat="1" ht="22.9" customHeight="1" outlineLevel="1" x14ac:dyDescent="0.2">
      <c r="A264" s="149" t="s">
        <v>697</v>
      </c>
      <c r="B264" s="34" t="s">
        <v>493</v>
      </c>
      <c r="C264" s="30" t="s">
        <v>100</v>
      </c>
      <c r="D264" s="164"/>
      <c r="E264" s="164"/>
      <c r="F264" s="45">
        <f>SUM(F265:F276)</f>
        <v>0</v>
      </c>
      <c r="G264" s="44">
        <f>SUM(G265:G276)</f>
        <v>0</v>
      </c>
      <c r="H264" s="45">
        <f>SUMPRODUCT($D$265:$D$276,$E$265:$E$276,H265:H276)</f>
        <v>0</v>
      </c>
      <c r="I264" s="45">
        <f t="shared" ref="I264:BT264" si="194">SUMPRODUCT($D$265:$D$276,$E$265:$E$276,I265:I276)</f>
        <v>0</v>
      </c>
      <c r="J264" s="45">
        <f t="shared" si="194"/>
        <v>0</v>
      </c>
      <c r="K264" s="45">
        <f t="shared" si="194"/>
        <v>0</v>
      </c>
      <c r="L264" s="45">
        <f t="shared" si="194"/>
        <v>0</v>
      </c>
      <c r="M264" s="45">
        <f t="shared" si="194"/>
        <v>0</v>
      </c>
      <c r="N264" s="45">
        <f>SUMPRODUCT($D$265:$D$276,$E$265:$E$276,N265:N276)</f>
        <v>0</v>
      </c>
      <c r="O264" s="45">
        <f t="shared" si="194"/>
        <v>0</v>
      </c>
      <c r="P264" s="45">
        <f t="shared" si="194"/>
        <v>0</v>
      </c>
      <c r="Q264" s="45">
        <f t="shared" si="194"/>
        <v>0</v>
      </c>
      <c r="R264" s="45">
        <f t="shared" si="194"/>
        <v>0</v>
      </c>
      <c r="S264" s="45">
        <f t="shared" si="194"/>
        <v>0</v>
      </c>
      <c r="T264" s="45">
        <f t="shared" si="194"/>
        <v>0</v>
      </c>
      <c r="U264" s="45">
        <f t="shared" si="194"/>
        <v>0</v>
      </c>
      <c r="V264" s="45">
        <f t="shared" si="194"/>
        <v>0</v>
      </c>
      <c r="W264" s="45">
        <f t="shared" si="194"/>
        <v>0</v>
      </c>
      <c r="X264" s="45">
        <f t="shared" si="194"/>
        <v>0</v>
      </c>
      <c r="Y264" s="45">
        <f t="shared" si="194"/>
        <v>0</v>
      </c>
      <c r="Z264" s="45">
        <f t="shared" si="194"/>
        <v>0</v>
      </c>
      <c r="AA264" s="45">
        <f t="shared" si="194"/>
        <v>0</v>
      </c>
      <c r="AB264" s="45">
        <f t="shared" si="194"/>
        <v>0</v>
      </c>
      <c r="AC264" s="45">
        <f t="shared" si="194"/>
        <v>0</v>
      </c>
      <c r="AD264" s="45">
        <f t="shared" si="194"/>
        <v>0</v>
      </c>
      <c r="AE264" s="45">
        <f t="shared" si="194"/>
        <v>0</v>
      </c>
      <c r="AF264" s="45">
        <f t="shared" si="194"/>
        <v>0</v>
      </c>
      <c r="AG264" s="45">
        <f t="shared" si="194"/>
        <v>0</v>
      </c>
      <c r="AH264" s="45">
        <f t="shared" si="194"/>
        <v>0</v>
      </c>
      <c r="AI264" s="45">
        <f t="shared" si="194"/>
        <v>0</v>
      </c>
      <c r="AJ264" s="45">
        <f t="shared" si="194"/>
        <v>0</v>
      </c>
      <c r="AK264" s="45">
        <f t="shared" si="194"/>
        <v>0</v>
      </c>
      <c r="AL264" s="45">
        <f t="shared" si="194"/>
        <v>0</v>
      </c>
      <c r="AM264" s="45">
        <f t="shared" si="194"/>
        <v>0</v>
      </c>
      <c r="AN264" s="45">
        <f t="shared" si="194"/>
        <v>0</v>
      </c>
      <c r="AO264" s="45">
        <f t="shared" si="194"/>
        <v>0</v>
      </c>
      <c r="AP264" s="45">
        <f t="shared" si="194"/>
        <v>0</v>
      </c>
      <c r="AQ264" s="45">
        <f t="shared" si="194"/>
        <v>0</v>
      </c>
      <c r="AR264" s="45">
        <f t="shared" si="194"/>
        <v>0</v>
      </c>
      <c r="AS264" s="45">
        <f t="shared" si="194"/>
        <v>0</v>
      </c>
      <c r="AT264" s="45">
        <f t="shared" si="194"/>
        <v>0</v>
      </c>
      <c r="AU264" s="45">
        <f t="shared" si="194"/>
        <v>0</v>
      </c>
      <c r="AV264" s="45">
        <f t="shared" si="194"/>
        <v>0</v>
      </c>
      <c r="AW264" s="45">
        <f t="shared" si="194"/>
        <v>0</v>
      </c>
      <c r="AX264" s="45">
        <f t="shared" si="194"/>
        <v>0</v>
      </c>
      <c r="AY264" s="45">
        <f t="shared" si="194"/>
        <v>0</v>
      </c>
      <c r="AZ264" s="45">
        <f t="shared" si="194"/>
        <v>0</v>
      </c>
      <c r="BA264" s="45">
        <f t="shared" si="194"/>
        <v>0</v>
      </c>
      <c r="BB264" s="45">
        <f t="shared" si="194"/>
        <v>0</v>
      </c>
      <c r="BC264" s="45">
        <f t="shared" si="194"/>
        <v>0</v>
      </c>
      <c r="BD264" s="45">
        <f t="shared" si="194"/>
        <v>0</v>
      </c>
      <c r="BE264" s="45">
        <f t="shared" si="194"/>
        <v>0</v>
      </c>
      <c r="BF264" s="45">
        <f t="shared" si="194"/>
        <v>0</v>
      </c>
      <c r="BG264" s="45">
        <f t="shared" si="194"/>
        <v>0</v>
      </c>
      <c r="BH264" s="45">
        <f t="shared" si="194"/>
        <v>0</v>
      </c>
      <c r="BI264" s="45">
        <f t="shared" si="194"/>
        <v>0</v>
      </c>
      <c r="BJ264" s="45">
        <f t="shared" si="194"/>
        <v>0</v>
      </c>
      <c r="BK264" s="45">
        <f t="shared" si="194"/>
        <v>0</v>
      </c>
      <c r="BL264" s="45">
        <f t="shared" si="194"/>
        <v>0</v>
      </c>
      <c r="BM264" s="45">
        <f t="shared" si="194"/>
        <v>0</v>
      </c>
      <c r="BN264" s="45">
        <f t="shared" si="194"/>
        <v>0</v>
      </c>
      <c r="BO264" s="45">
        <f t="shared" si="194"/>
        <v>0</v>
      </c>
      <c r="BP264" s="45">
        <f t="shared" si="194"/>
        <v>0</v>
      </c>
      <c r="BQ264" s="45">
        <f t="shared" si="194"/>
        <v>0</v>
      </c>
      <c r="BR264" s="45">
        <f t="shared" si="194"/>
        <v>0</v>
      </c>
      <c r="BS264" s="45">
        <f t="shared" si="194"/>
        <v>0</v>
      </c>
      <c r="BT264" s="45">
        <f t="shared" si="194"/>
        <v>0</v>
      </c>
      <c r="BU264" s="45">
        <f t="shared" ref="BU264:DY264" si="195">SUMPRODUCT($D$265:$D$276,$E$265:$E$276,BU265:BU276)</f>
        <v>0</v>
      </c>
      <c r="BV264" s="45">
        <f t="shared" si="195"/>
        <v>0</v>
      </c>
      <c r="BW264" s="45">
        <f t="shared" si="195"/>
        <v>0</v>
      </c>
      <c r="BX264" s="45">
        <f t="shared" si="195"/>
        <v>0</v>
      </c>
      <c r="BY264" s="45">
        <f t="shared" si="195"/>
        <v>0</v>
      </c>
      <c r="BZ264" s="45">
        <f t="shared" si="195"/>
        <v>0</v>
      </c>
      <c r="CA264" s="45">
        <f t="shared" si="195"/>
        <v>0</v>
      </c>
      <c r="CB264" s="45">
        <f t="shared" si="195"/>
        <v>0</v>
      </c>
      <c r="CC264" s="45">
        <f t="shared" si="195"/>
        <v>0</v>
      </c>
      <c r="CD264" s="45">
        <f t="shared" si="195"/>
        <v>0</v>
      </c>
      <c r="CE264" s="45">
        <f t="shared" si="195"/>
        <v>0</v>
      </c>
      <c r="CF264" s="45">
        <f t="shared" si="195"/>
        <v>0</v>
      </c>
      <c r="CG264" s="45">
        <f t="shared" si="195"/>
        <v>0</v>
      </c>
      <c r="CH264" s="45">
        <f t="shared" si="195"/>
        <v>0</v>
      </c>
      <c r="CI264" s="45">
        <f t="shared" si="195"/>
        <v>0</v>
      </c>
      <c r="CJ264" s="45">
        <f t="shared" si="195"/>
        <v>0</v>
      </c>
      <c r="CK264" s="45">
        <f t="shared" si="195"/>
        <v>0</v>
      </c>
      <c r="CL264" s="45">
        <f t="shared" si="195"/>
        <v>0</v>
      </c>
      <c r="CM264" s="45">
        <f t="shared" si="195"/>
        <v>0</v>
      </c>
      <c r="CN264" s="45">
        <f t="shared" si="195"/>
        <v>0</v>
      </c>
      <c r="CO264" s="45">
        <f t="shared" si="195"/>
        <v>0</v>
      </c>
      <c r="CP264" s="45">
        <f t="shared" si="195"/>
        <v>0</v>
      </c>
      <c r="CQ264" s="45">
        <f t="shared" si="195"/>
        <v>0</v>
      </c>
      <c r="CR264" s="45">
        <f t="shared" si="195"/>
        <v>0</v>
      </c>
      <c r="CS264" s="45">
        <f t="shared" si="195"/>
        <v>0</v>
      </c>
      <c r="CT264" s="45">
        <f t="shared" si="195"/>
        <v>0</v>
      </c>
      <c r="CU264" s="45">
        <f t="shared" si="195"/>
        <v>0</v>
      </c>
      <c r="CV264" s="45">
        <f t="shared" si="195"/>
        <v>0</v>
      </c>
      <c r="CW264" s="45">
        <f t="shared" si="195"/>
        <v>0</v>
      </c>
      <c r="CX264" s="45">
        <f t="shared" si="195"/>
        <v>0</v>
      </c>
      <c r="CY264" s="45">
        <f t="shared" si="195"/>
        <v>0</v>
      </c>
      <c r="CZ264" s="45">
        <f t="shared" si="195"/>
        <v>0</v>
      </c>
      <c r="DA264" s="45">
        <f t="shared" si="195"/>
        <v>0</v>
      </c>
      <c r="DB264" s="45">
        <f t="shared" si="195"/>
        <v>0</v>
      </c>
      <c r="DC264" s="45">
        <f t="shared" si="195"/>
        <v>0</v>
      </c>
      <c r="DD264" s="45">
        <f t="shared" si="195"/>
        <v>0</v>
      </c>
      <c r="DE264" s="45">
        <f t="shared" si="195"/>
        <v>0</v>
      </c>
      <c r="DF264" s="45">
        <f t="shared" si="195"/>
        <v>0</v>
      </c>
      <c r="DG264" s="45">
        <f t="shared" si="195"/>
        <v>0</v>
      </c>
      <c r="DH264" s="45">
        <f t="shared" si="195"/>
        <v>0</v>
      </c>
      <c r="DI264" s="45">
        <f t="shared" si="195"/>
        <v>0</v>
      </c>
      <c r="DJ264" s="45">
        <f t="shared" si="195"/>
        <v>0</v>
      </c>
      <c r="DK264" s="45">
        <f t="shared" si="195"/>
        <v>0</v>
      </c>
      <c r="DL264" s="45">
        <f t="shared" si="195"/>
        <v>0</v>
      </c>
      <c r="DM264" s="45">
        <f t="shared" si="195"/>
        <v>0</v>
      </c>
      <c r="DN264" s="45">
        <f t="shared" si="195"/>
        <v>0</v>
      </c>
      <c r="DO264" s="45">
        <f t="shared" si="195"/>
        <v>0</v>
      </c>
      <c r="DP264" s="45">
        <f t="shared" si="195"/>
        <v>0</v>
      </c>
      <c r="DQ264" s="45">
        <f t="shared" si="195"/>
        <v>0</v>
      </c>
      <c r="DR264" s="45">
        <f t="shared" si="195"/>
        <v>0</v>
      </c>
      <c r="DS264" s="45">
        <f t="shared" si="195"/>
        <v>0</v>
      </c>
      <c r="DT264" s="45">
        <f t="shared" si="195"/>
        <v>0</v>
      </c>
      <c r="DU264" s="45">
        <f t="shared" si="195"/>
        <v>0</v>
      </c>
      <c r="DV264" s="45">
        <f t="shared" si="195"/>
        <v>0</v>
      </c>
      <c r="DW264" s="45">
        <f t="shared" si="195"/>
        <v>0</v>
      </c>
      <c r="DX264" s="45">
        <f>SUMPRODUCT($D$265:$D$276,$E$265:$E$276,DX265:DX276)</f>
        <v>0</v>
      </c>
      <c r="DY264" s="45">
        <f t="shared" si="195"/>
        <v>0</v>
      </c>
      <c r="DZ264" s="218"/>
      <c r="EA264" s="231"/>
      <c r="EB264" s="231"/>
      <c r="EC264" s="231"/>
      <c r="ED264" s="231"/>
      <c r="EE264" s="231"/>
      <c r="EF264" s="231"/>
      <c r="EG264" s="231"/>
      <c r="EH264" s="231"/>
      <c r="EI264" s="231"/>
      <c r="EJ264" s="231"/>
      <c r="EK264" s="231"/>
      <c r="EL264" s="231"/>
      <c r="EM264" s="231"/>
      <c r="EN264" s="231"/>
      <c r="EO264" s="231"/>
      <c r="EP264" s="231"/>
      <c r="EQ264" s="231"/>
    </row>
    <row r="265" spans="1:147" ht="22.9" customHeight="1" outlineLevel="2" x14ac:dyDescent="0.2">
      <c r="A265" s="146" t="s">
        <v>698</v>
      </c>
      <c r="B265" s="53" t="s">
        <v>436</v>
      </c>
      <c r="C265" s="50" t="s">
        <v>133</v>
      </c>
      <c r="D265" s="165">
        <v>1</v>
      </c>
      <c r="E265" s="158">
        <v>1</v>
      </c>
      <c r="F265" s="52">
        <f>SUM(H265:DY265)*E265*Table1[[#This Row],[Cycles]]</f>
        <v>0</v>
      </c>
      <c r="G265" s="46">
        <f>SUMPRODUCT($H$2:$DY$2,$H265:$DY265)*E265*D265</f>
        <v>0</v>
      </c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  <c r="AN265" s="47"/>
      <c r="AO265" s="47"/>
      <c r="AP265" s="47"/>
      <c r="AQ265" s="47"/>
      <c r="AR265" s="47"/>
      <c r="AS265" s="47"/>
      <c r="AT265" s="47"/>
      <c r="AU265" s="47"/>
      <c r="AV265" s="47"/>
      <c r="AW265" s="47"/>
      <c r="AX265" s="47"/>
      <c r="AY265" s="47"/>
      <c r="AZ265" s="47"/>
      <c r="BA265" s="47"/>
      <c r="BB265" s="47"/>
      <c r="BC265" s="47"/>
      <c r="BD265" s="47"/>
      <c r="BE265" s="47"/>
      <c r="BF265" s="47"/>
      <c r="BG265" s="47"/>
      <c r="BH265" s="47"/>
      <c r="BI265" s="47"/>
      <c r="BJ265" s="47"/>
      <c r="BK265" s="47"/>
      <c r="BL265" s="47"/>
      <c r="BM265" s="47"/>
      <c r="BN265" s="47"/>
      <c r="BO265" s="47"/>
      <c r="BP265" s="47"/>
      <c r="BQ265" s="47"/>
      <c r="BR265" s="47"/>
      <c r="BS265" s="47"/>
      <c r="BT265" s="47"/>
      <c r="BU265" s="47"/>
      <c r="BV265" s="47"/>
      <c r="BW265" s="47"/>
      <c r="BX265" s="47"/>
      <c r="BY265" s="47"/>
      <c r="BZ265" s="47"/>
      <c r="CA265" s="47"/>
      <c r="CB265" s="47"/>
      <c r="CC265" s="47"/>
      <c r="CD265" s="47"/>
      <c r="CE265" s="47"/>
      <c r="CF265" s="47"/>
      <c r="CG265" s="47"/>
      <c r="CH265" s="47"/>
      <c r="CI265" s="47"/>
      <c r="CJ265" s="47"/>
      <c r="CK265" s="47"/>
      <c r="CL265" s="47"/>
      <c r="CM265" s="47"/>
      <c r="CN265" s="47"/>
      <c r="CO265" s="47"/>
      <c r="CP265" s="47"/>
      <c r="CQ265" s="47"/>
      <c r="CR265" s="47"/>
      <c r="CS265" s="47"/>
      <c r="CT265" s="47"/>
      <c r="CU265" s="47"/>
      <c r="CV265" s="47"/>
      <c r="CW265" s="47"/>
      <c r="CX265" s="47"/>
      <c r="CY265" s="47"/>
      <c r="CZ265" s="47"/>
      <c r="DA265" s="47"/>
      <c r="DB265" s="47"/>
      <c r="DC265" s="47"/>
      <c r="DD265" s="47"/>
      <c r="DE265" s="47"/>
      <c r="DF265" s="47"/>
      <c r="DG265" s="47"/>
      <c r="DH265" s="47"/>
      <c r="DI265" s="47"/>
      <c r="DJ265" s="47"/>
      <c r="DK265" s="47"/>
      <c r="DL265" s="47"/>
      <c r="DM265" s="47"/>
      <c r="DN265" s="47"/>
      <c r="DO265" s="47"/>
      <c r="DP265" s="47"/>
      <c r="DQ265" s="47"/>
      <c r="DR265" s="47"/>
      <c r="DS265" s="47"/>
      <c r="DT265" s="47"/>
      <c r="DU265" s="47"/>
      <c r="DV265" s="47"/>
      <c r="DW265" s="47"/>
      <c r="DX265" s="47"/>
      <c r="DY265" s="47"/>
      <c r="DZ265" s="219"/>
      <c r="EA265" s="231"/>
      <c r="EB265" s="231"/>
      <c r="EC265" s="231"/>
      <c r="ED265" s="231"/>
      <c r="EE265" s="231"/>
      <c r="EF265" s="231"/>
      <c r="EG265" s="231"/>
      <c r="EH265" s="231"/>
      <c r="EI265" s="231"/>
      <c r="EJ265" s="231"/>
      <c r="EK265" s="231"/>
      <c r="EL265" s="231"/>
      <c r="EM265" s="231"/>
      <c r="EN265" s="231"/>
      <c r="EO265" s="231"/>
      <c r="EP265" s="231"/>
      <c r="EQ265" s="231"/>
    </row>
    <row r="266" spans="1:147" ht="22.9" customHeight="1" outlineLevel="2" x14ac:dyDescent="0.2">
      <c r="A266" s="146" t="s">
        <v>699</v>
      </c>
      <c r="B266" s="53" t="s">
        <v>288</v>
      </c>
      <c r="C266" s="50" t="s">
        <v>133</v>
      </c>
      <c r="D266" s="165">
        <v>1</v>
      </c>
      <c r="E266" s="158">
        <v>1</v>
      </c>
      <c r="F266" s="52">
        <f>SUM(H266:DY266)*E266*Table1[[#This Row],[Cycles]]</f>
        <v>0</v>
      </c>
      <c r="G266" s="46">
        <f t="shared" ref="G266:G276" si="196">SUMPRODUCT($H$2:$DY$2,$H266:$DY266)*E266*D266</f>
        <v>0</v>
      </c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  <c r="AN266" s="47"/>
      <c r="AO266" s="47"/>
      <c r="AP266" s="47"/>
      <c r="AQ266" s="47"/>
      <c r="AR266" s="47"/>
      <c r="AS266" s="47"/>
      <c r="AT266" s="47"/>
      <c r="AU266" s="47"/>
      <c r="AV266" s="47"/>
      <c r="AW266" s="47"/>
      <c r="AX266" s="47"/>
      <c r="AY266" s="47"/>
      <c r="AZ266" s="47"/>
      <c r="BA266" s="47"/>
      <c r="BB266" s="47"/>
      <c r="BC266" s="47"/>
      <c r="BD266" s="47"/>
      <c r="BE266" s="47"/>
      <c r="BF266" s="47"/>
      <c r="BG266" s="47"/>
      <c r="BH266" s="47"/>
      <c r="BI266" s="47"/>
      <c r="BJ266" s="47"/>
      <c r="BK266" s="47"/>
      <c r="BL266" s="47"/>
      <c r="BM266" s="47"/>
      <c r="BN266" s="47"/>
      <c r="BO266" s="47"/>
      <c r="BP266" s="47"/>
      <c r="BQ266" s="47"/>
      <c r="BR266" s="47"/>
      <c r="BS266" s="47"/>
      <c r="BT266" s="47"/>
      <c r="BU266" s="47"/>
      <c r="BV266" s="47"/>
      <c r="BW266" s="47"/>
      <c r="BX266" s="47"/>
      <c r="BY266" s="47"/>
      <c r="BZ266" s="47"/>
      <c r="CA266" s="47"/>
      <c r="CB266" s="47"/>
      <c r="CC266" s="47"/>
      <c r="CD266" s="47"/>
      <c r="CE266" s="47"/>
      <c r="CF266" s="47"/>
      <c r="CG266" s="47"/>
      <c r="CH266" s="47"/>
      <c r="CI266" s="47"/>
      <c r="CJ266" s="47"/>
      <c r="CK266" s="47"/>
      <c r="CL266" s="47"/>
      <c r="CM266" s="47"/>
      <c r="CN266" s="47"/>
      <c r="CO266" s="47"/>
      <c r="CP266" s="47"/>
      <c r="CQ266" s="47"/>
      <c r="CR266" s="47"/>
      <c r="CS266" s="47"/>
      <c r="CT266" s="47"/>
      <c r="CU266" s="47"/>
      <c r="CV266" s="47"/>
      <c r="CW266" s="47"/>
      <c r="CX266" s="47"/>
      <c r="CY266" s="47"/>
      <c r="CZ266" s="47"/>
      <c r="DA266" s="47"/>
      <c r="DB266" s="47"/>
      <c r="DC266" s="47"/>
      <c r="DD266" s="47"/>
      <c r="DE266" s="47"/>
      <c r="DF266" s="47"/>
      <c r="DG266" s="47"/>
      <c r="DH266" s="47"/>
      <c r="DI266" s="47"/>
      <c r="DJ266" s="47"/>
      <c r="DK266" s="47"/>
      <c r="DL266" s="47"/>
      <c r="DM266" s="47"/>
      <c r="DN266" s="47"/>
      <c r="DO266" s="47"/>
      <c r="DP266" s="47"/>
      <c r="DQ266" s="47"/>
      <c r="DR266" s="47"/>
      <c r="DS266" s="47"/>
      <c r="DT266" s="47"/>
      <c r="DU266" s="47"/>
      <c r="DV266" s="47"/>
      <c r="DW266" s="47"/>
      <c r="DX266" s="47"/>
      <c r="DY266" s="47"/>
      <c r="DZ266" s="219"/>
      <c r="EA266" s="231"/>
      <c r="EB266" s="231"/>
      <c r="EC266" s="231"/>
      <c r="ED266" s="231"/>
      <c r="EE266" s="231"/>
      <c r="EF266" s="231"/>
      <c r="EG266" s="231"/>
      <c r="EH266" s="231"/>
      <c r="EI266" s="231"/>
      <c r="EJ266" s="231"/>
      <c r="EK266" s="231"/>
      <c r="EL266" s="231"/>
      <c r="EM266" s="231"/>
      <c r="EN266" s="231"/>
      <c r="EO266" s="231"/>
      <c r="EP266" s="231"/>
      <c r="EQ266" s="231"/>
    </row>
    <row r="267" spans="1:147" ht="22.9" customHeight="1" outlineLevel="2" x14ac:dyDescent="0.2">
      <c r="A267" s="146" t="s">
        <v>700</v>
      </c>
      <c r="B267" s="53" t="s">
        <v>289</v>
      </c>
      <c r="C267" s="50" t="s">
        <v>133</v>
      </c>
      <c r="D267" s="165">
        <v>1</v>
      </c>
      <c r="E267" s="158">
        <v>1</v>
      </c>
      <c r="F267" s="52">
        <f>SUM(H267:DY267)*E267*Table1[[#This Row],[Cycles]]</f>
        <v>0</v>
      </c>
      <c r="G267" s="46">
        <f t="shared" si="196"/>
        <v>0</v>
      </c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  <c r="AN267" s="47"/>
      <c r="AO267" s="47"/>
      <c r="AP267" s="47"/>
      <c r="AQ267" s="47"/>
      <c r="AR267" s="47"/>
      <c r="AS267" s="47"/>
      <c r="AT267" s="47"/>
      <c r="AU267" s="47"/>
      <c r="AV267" s="47"/>
      <c r="AW267" s="47"/>
      <c r="AX267" s="47"/>
      <c r="AY267" s="47"/>
      <c r="AZ267" s="47"/>
      <c r="BA267" s="47"/>
      <c r="BB267" s="47"/>
      <c r="BC267" s="47"/>
      <c r="BD267" s="47"/>
      <c r="BE267" s="47"/>
      <c r="BF267" s="47"/>
      <c r="BG267" s="47"/>
      <c r="BH267" s="47"/>
      <c r="BI267" s="47"/>
      <c r="BJ267" s="47"/>
      <c r="BK267" s="47"/>
      <c r="BL267" s="47"/>
      <c r="BM267" s="47"/>
      <c r="BN267" s="47"/>
      <c r="BO267" s="47"/>
      <c r="BP267" s="47"/>
      <c r="BQ267" s="47"/>
      <c r="BR267" s="47"/>
      <c r="BS267" s="47"/>
      <c r="BT267" s="47"/>
      <c r="BU267" s="47"/>
      <c r="BV267" s="47"/>
      <c r="BW267" s="47"/>
      <c r="BX267" s="47"/>
      <c r="BY267" s="47"/>
      <c r="BZ267" s="47"/>
      <c r="CA267" s="47"/>
      <c r="CB267" s="47"/>
      <c r="CC267" s="47"/>
      <c r="CD267" s="47"/>
      <c r="CE267" s="47"/>
      <c r="CF267" s="47"/>
      <c r="CG267" s="47"/>
      <c r="CH267" s="47"/>
      <c r="CI267" s="47"/>
      <c r="CJ267" s="47"/>
      <c r="CK267" s="47"/>
      <c r="CL267" s="47"/>
      <c r="CM267" s="47"/>
      <c r="CN267" s="47"/>
      <c r="CO267" s="47"/>
      <c r="CP267" s="47"/>
      <c r="CQ267" s="47"/>
      <c r="CR267" s="47"/>
      <c r="CS267" s="47"/>
      <c r="CT267" s="47"/>
      <c r="CU267" s="47"/>
      <c r="CV267" s="47"/>
      <c r="CW267" s="47"/>
      <c r="CX267" s="47"/>
      <c r="CY267" s="47"/>
      <c r="CZ267" s="47"/>
      <c r="DA267" s="47"/>
      <c r="DB267" s="47"/>
      <c r="DC267" s="47"/>
      <c r="DD267" s="47"/>
      <c r="DE267" s="47"/>
      <c r="DF267" s="47"/>
      <c r="DG267" s="47"/>
      <c r="DH267" s="47"/>
      <c r="DI267" s="47"/>
      <c r="DJ267" s="47"/>
      <c r="DK267" s="47"/>
      <c r="DL267" s="47"/>
      <c r="DM267" s="47"/>
      <c r="DN267" s="47"/>
      <c r="DO267" s="47"/>
      <c r="DP267" s="47"/>
      <c r="DQ267" s="47"/>
      <c r="DR267" s="47"/>
      <c r="DS267" s="47"/>
      <c r="DT267" s="47"/>
      <c r="DU267" s="47"/>
      <c r="DV267" s="47"/>
      <c r="DW267" s="47"/>
      <c r="DX267" s="47"/>
      <c r="DY267" s="47"/>
      <c r="DZ267" s="219"/>
      <c r="EA267" s="231"/>
      <c r="EB267" s="231"/>
      <c r="EC267" s="231"/>
      <c r="ED267" s="231"/>
      <c r="EE267" s="231"/>
      <c r="EF267" s="231"/>
      <c r="EG267" s="231"/>
      <c r="EH267" s="231"/>
      <c r="EI267" s="231"/>
      <c r="EJ267" s="231"/>
      <c r="EK267" s="231"/>
      <c r="EL267" s="231"/>
      <c r="EM267" s="231"/>
      <c r="EN267" s="231"/>
      <c r="EO267" s="231"/>
      <c r="EP267" s="231"/>
      <c r="EQ267" s="231"/>
    </row>
    <row r="268" spans="1:147" ht="22.9" customHeight="1" outlineLevel="2" x14ac:dyDescent="0.2">
      <c r="A268" s="146" t="s">
        <v>701</v>
      </c>
      <c r="B268" s="53" t="s">
        <v>290</v>
      </c>
      <c r="C268" s="50" t="s">
        <v>133</v>
      </c>
      <c r="D268" s="165">
        <v>1</v>
      </c>
      <c r="E268" s="158">
        <v>1</v>
      </c>
      <c r="F268" s="52">
        <f>SUM(H268:DY268)*E268*Table1[[#This Row],[Cycles]]</f>
        <v>0</v>
      </c>
      <c r="G268" s="46">
        <f t="shared" si="196"/>
        <v>0</v>
      </c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  <c r="AN268" s="47"/>
      <c r="AO268" s="47"/>
      <c r="AP268" s="47"/>
      <c r="AQ268" s="47"/>
      <c r="AR268" s="47"/>
      <c r="AS268" s="47"/>
      <c r="AT268" s="47"/>
      <c r="AU268" s="47"/>
      <c r="AV268" s="47"/>
      <c r="AW268" s="47"/>
      <c r="AX268" s="47"/>
      <c r="AY268" s="47"/>
      <c r="AZ268" s="47"/>
      <c r="BA268" s="47"/>
      <c r="BB268" s="47"/>
      <c r="BC268" s="47"/>
      <c r="BD268" s="47"/>
      <c r="BE268" s="47"/>
      <c r="BF268" s="47"/>
      <c r="BG268" s="47"/>
      <c r="BH268" s="47"/>
      <c r="BI268" s="47"/>
      <c r="BJ268" s="47"/>
      <c r="BK268" s="47"/>
      <c r="BL268" s="47"/>
      <c r="BM268" s="47"/>
      <c r="BN268" s="47"/>
      <c r="BO268" s="47"/>
      <c r="BP268" s="47"/>
      <c r="BQ268" s="47"/>
      <c r="BR268" s="47"/>
      <c r="BS268" s="47"/>
      <c r="BT268" s="47"/>
      <c r="BU268" s="47"/>
      <c r="BV268" s="47"/>
      <c r="BW268" s="47"/>
      <c r="BX268" s="47"/>
      <c r="BY268" s="47"/>
      <c r="BZ268" s="47"/>
      <c r="CA268" s="47"/>
      <c r="CB268" s="47"/>
      <c r="CC268" s="47"/>
      <c r="CD268" s="47"/>
      <c r="CE268" s="47"/>
      <c r="CF268" s="47"/>
      <c r="CG268" s="47"/>
      <c r="CH268" s="47"/>
      <c r="CI268" s="47"/>
      <c r="CJ268" s="47"/>
      <c r="CK268" s="47"/>
      <c r="CL268" s="47"/>
      <c r="CM268" s="47"/>
      <c r="CN268" s="47"/>
      <c r="CO268" s="47"/>
      <c r="CP268" s="47"/>
      <c r="CQ268" s="47"/>
      <c r="CR268" s="47"/>
      <c r="CS268" s="47"/>
      <c r="CT268" s="47"/>
      <c r="CU268" s="47"/>
      <c r="CV268" s="47"/>
      <c r="CW268" s="47"/>
      <c r="CX268" s="47"/>
      <c r="CY268" s="47"/>
      <c r="CZ268" s="47"/>
      <c r="DA268" s="47"/>
      <c r="DB268" s="47"/>
      <c r="DC268" s="47"/>
      <c r="DD268" s="47"/>
      <c r="DE268" s="47"/>
      <c r="DF268" s="47"/>
      <c r="DG268" s="47"/>
      <c r="DH268" s="47"/>
      <c r="DI268" s="47"/>
      <c r="DJ268" s="47"/>
      <c r="DK268" s="47"/>
      <c r="DL268" s="47"/>
      <c r="DM268" s="47"/>
      <c r="DN268" s="47"/>
      <c r="DO268" s="47"/>
      <c r="DP268" s="47"/>
      <c r="DQ268" s="47"/>
      <c r="DR268" s="47"/>
      <c r="DS268" s="47"/>
      <c r="DT268" s="47"/>
      <c r="DU268" s="47"/>
      <c r="DV268" s="47"/>
      <c r="DW268" s="47"/>
      <c r="DX268" s="47"/>
      <c r="DY268" s="47"/>
      <c r="DZ268" s="219"/>
      <c r="EA268" s="231"/>
      <c r="EB268" s="231"/>
      <c r="EC268" s="231"/>
      <c r="ED268" s="231"/>
      <c r="EE268" s="231"/>
      <c r="EF268" s="231"/>
      <c r="EG268" s="231"/>
      <c r="EH268" s="231"/>
      <c r="EI268" s="231"/>
      <c r="EJ268" s="231"/>
      <c r="EK268" s="231"/>
      <c r="EL268" s="231"/>
      <c r="EM268" s="231"/>
      <c r="EN268" s="231"/>
      <c r="EO268" s="231"/>
      <c r="EP268" s="231"/>
      <c r="EQ268" s="231"/>
    </row>
    <row r="269" spans="1:147" ht="22.9" customHeight="1" outlineLevel="2" x14ac:dyDescent="0.2">
      <c r="A269" s="146" t="s">
        <v>702</v>
      </c>
      <c r="B269" s="53" t="s">
        <v>291</v>
      </c>
      <c r="C269" s="50" t="s">
        <v>133</v>
      </c>
      <c r="D269" s="165">
        <v>1</v>
      </c>
      <c r="E269" s="158">
        <v>1</v>
      </c>
      <c r="F269" s="52">
        <f>SUM(H269:DY269)*E269*Table1[[#This Row],[Cycles]]</f>
        <v>0</v>
      </c>
      <c r="G269" s="46">
        <f t="shared" si="196"/>
        <v>0</v>
      </c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47"/>
      <c r="BT269" s="47"/>
      <c r="BU269" s="47"/>
      <c r="BV269" s="47"/>
      <c r="BW269" s="47"/>
      <c r="BX269" s="47"/>
      <c r="BY269" s="47"/>
      <c r="BZ269" s="47"/>
      <c r="CA269" s="47"/>
      <c r="CB269" s="47"/>
      <c r="CC269" s="47"/>
      <c r="CD269" s="47"/>
      <c r="CE269" s="47"/>
      <c r="CF269" s="47"/>
      <c r="CG269" s="47"/>
      <c r="CH269" s="47"/>
      <c r="CI269" s="47"/>
      <c r="CJ269" s="47"/>
      <c r="CK269" s="47"/>
      <c r="CL269" s="47"/>
      <c r="CM269" s="47"/>
      <c r="CN269" s="47"/>
      <c r="CO269" s="47"/>
      <c r="CP269" s="47"/>
      <c r="CQ269" s="47"/>
      <c r="CR269" s="47"/>
      <c r="CS269" s="47"/>
      <c r="CT269" s="47"/>
      <c r="CU269" s="47"/>
      <c r="CV269" s="47"/>
      <c r="CW269" s="47"/>
      <c r="CX269" s="47"/>
      <c r="CY269" s="47"/>
      <c r="CZ269" s="47"/>
      <c r="DA269" s="47"/>
      <c r="DB269" s="47"/>
      <c r="DC269" s="47"/>
      <c r="DD269" s="47"/>
      <c r="DE269" s="47"/>
      <c r="DF269" s="47"/>
      <c r="DG269" s="47"/>
      <c r="DH269" s="47"/>
      <c r="DI269" s="47"/>
      <c r="DJ269" s="47"/>
      <c r="DK269" s="47"/>
      <c r="DL269" s="47"/>
      <c r="DM269" s="47"/>
      <c r="DN269" s="47"/>
      <c r="DO269" s="47"/>
      <c r="DP269" s="47"/>
      <c r="DQ269" s="47"/>
      <c r="DR269" s="47"/>
      <c r="DS269" s="47"/>
      <c r="DT269" s="47"/>
      <c r="DU269" s="47"/>
      <c r="DV269" s="47"/>
      <c r="DW269" s="47"/>
      <c r="DX269" s="47"/>
      <c r="DY269" s="47"/>
      <c r="DZ269" s="219"/>
      <c r="EA269" s="231"/>
      <c r="EB269" s="231"/>
      <c r="EC269" s="231"/>
      <c r="ED269" s="231"/>
      <c r="EE269" s="231"/>
      <c r="EF269" s="231"/>
      <c r="EG269" s="231"/>
      <c r="EH269" s="231"/>
      <c r="EI269" s="231"/>
      <c r="EJ269" s="231"/>
      <c r="EK269" s="231"/>
      <c r="EL269" s="231"/>
      <c r="EM269" s="231"/>
      <c r="EN269" s="231"/>
      <c r="EO269" s="231"/>
      <c r="EP269" s="231"/>
      <c r="EQ269" s="231"/>
    </row>
    <row r="270" spans="1:147" ht="22.9" customHeight="1" outlineLevel="2" x14ac:dyDescent="0.2">
      <c r="A270" s="146" t="s">
        <v>703</v>
      </c>
      <c r="B270" s="53" t="s">
        <v>292</v>
      </c>
      <c r="C270" s="50" t="s">
        <v>133</v>
      </c>
      <c r="D270" s="165">
        <v>1</v>
      </c>
      <c r="E270" s="158">
        <v>1</v>
      </c>
      <c r="F270" s="52">
        <f>SUM(H270:DY270)*E270*Table1[[#This Row],[Cycles]]</f>
        <v>0</v>
      </c>
      <c r="G270" s="46">
        <f t="shared" si="196"/>
        <v>0</v>
      </c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47"/>
      <c r="AT270" s="47"/>
      <c r="AU270" s="47"/>
      <c r="AV270" s="47"/>
      <c r="AW270" s="47"/>
      <c r="AX270" s="47"/>
      <c r="AY270" s="47"/>
      <c r="AZ270" s="47"/>
      <c r="BA270" s="47"/>
      <c r="BB270" s="47"/>
      <c r="BC270" s="47"/>
      <c r="BD270" s="47"/>
      <c r="BE270" s="47"/>
      <c r="BF270" s="47"/>
      <c r="BG270" s="47"/>
      <c r="BH270" s="47"/>
      <c r="BI270" s="47"/>
      <c r="BJ270" s="47"/>
      <c r="BK270" s="47"/>
      <c r="BL270" s="47"/>
      <c r="BM270" s="47"/>
      <c r="BN270" s="47"/>
      <c r="BO270" s="47"/>
      <c r="BP270" s="47"/>
      <c r="BQ270" s="47"/>
      <c r="BR270" s="47"/>
      <c r="BS270" s="47"/>
      <c r="BT270" s="47"/>
      <c r="BU270" s="47"/>
      <c r="BV270" s="47"/>
      <c r="BW270" s="47"/>
      <c r="BX270" s="47"/>
      <c r="BY270" s="47"/>
      <c r="BZ270" s="47"/>
      <c r="CA270" s="47"/>
      <c r="CB270" s="47"/>
      <c r="CC270" s="47"/>
      <c r="CD270" s="47"/>
      <c r="CE270" s="47"/>
      <c r="CF270" s="47"/>
      <c r="CG270" s="47"/>
      <c r="CH270" s="47"/>
      <c r="CI270" s="47"/>
      <c r="CJ270" s="47"/>
      <c r="CK270" s="47"/>
      <c r="CL270" s="47"/>
      <c r="CM270" s="47"/>
      <c r="CN270" s="47"/>
      <c r="CO270" s="47"/>
      <c r="CP270" s="47"/>
      <c r="CQ270" s="47"/>
      <c r="CR270" s="47"/>
      <c r="CS270" s="47"/>
      <c r="CT270" s="47"/>
      <c r="CU270" s="47"/>
      <c r="CV270" s="47"/>
      <c r="CW270" s="47"/>
      <c r="CX270" s="47"/>
      <c r="CY270" s="47"/>
      <c r="CZ270" s="47"/>
      <c r="DA270" s="47"/>
      <c r="DB270" s="47"/>
      <c r="DC270" s="47"/>
      <c r="DD270" s="47"/>
      <c r="DE270" s="47"/>
      <c r="DF270" s="47"/>
      <c r="DG270" s="47"/>
      <c r="DH270" s="47"/>
      <c r="DI270" s="47"/>
      <c r="DJ270" s="47"/>
      <c r="DK270" s="47"/>
      <c r="DL270" s="47"/>
      <c r="DM270" s="47"/>
      <c r="DN270" s="47"/>
      <c r="DO270" s="47"/>
      <c r="DP270" s="47"/>
      <c r="DQ270" s="47"/>
      <c r="DR270" s="47"/>
      <c r="DS270" s="47"/>
      <c r="DT270" s="47"/>
      <c r="DU270" s="47"/>
      <c r="DV270" s="47"/>
      <c r="DW270" s="47"/>
      <c r="DX270" s="47"/>
      <c r="DY270" s="47"/>
      <c r="DZ270" s="219"/>
      <c r="EA270" s="231"/>
      <c r="EB270" s="231"/>
      <c r="EC270" s="231"/>
      <c r="ED270" s="231"/>
      <c r="EE270" s="231"/>
      <c r="EF270" s="231"/>
      <c r="EG270" s="231"/>
      <c r="EH270" s="231"/>
      <c r="EI270" s="231"/>
      <c r="EJ270" s="231"/>
      <c r="EK270" s="231"/>
      <c r="EL270" s="231"/>
      <c r="EM270" s="231"/>
      <c r="EN270" s="231"/>
      <c r="EO270" s="231"/>
      <c r="EP270" s="231"/>
      <c r="EQ270" s="231"/>
    </row>
    <row r="271" spans="1:147" ht="22.9" customHeight="1" outlineLevel="2" x14ac:dyDescent="0.2">
      <c r="A271" s="146" t="s">
        <v>704</v>
      </c>
      <c r="B271" s="53" t="s">
        <v>293</v>
      </c>
      <c r="C271" s="50" t="s">
        <v>133</v>
      </c>
      <c r="D271" s="165">
        <v>1</v>
      </c>
      <c r="E271" s="158">
        <v>1</v>
      </c>
      <c r="F271" s="52">
        <f>SUM(H271:DY271)*E271*Table1[[#This Row],[Cycles]]</f>
        <v>0</v>
      </c>
      <c r="G271" s="46">
        <f t="shared" si="196"/>
        <v>0</v>
      </c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47"/>
      <c r="AN271" s="47"/>
      <c r="AO271" s="47"/>
      <c r="AP271" s="47"/>
      <c r="AQ271" s="47"/>
      <c r="AR271" s="47"/>
      <c r="AS271" s="47"/>
      <c r="AT271" s="47"/>
      <c r="AU271" s="47"/>
      <c r="AV271" s="47"/>
      <c r="AW271" s="47"/>
      <c r="AX271" s="47"/>
      <c r="AY271" s="47"/>
      <c r="AZ271" s="47"/>
      <c r="BA271" s="47"/>
      <c r="BB271" s="47"/>
      <c r="BC271" s="47"/>
      <c r="BD271" s="47"/>
      <c r="BE271" s="47"/>
      <c r="BF271" s="47"/>
      <c r="BG271" s="47"/>
      <c r="BH271" s="47"/>
      <c r="BI271" s="47"/>
      <c r="BJ271" s="47"/>
      <c r="BK271" s="47"/>
      <c r="BL271" s="47"/>
      <c r="BM271" s="47"/>
      <c r="BN271" s="47"/>
      <c r="BO271" s="47"/>
      <c r="BP271" s="47"/>
      <c r="BQ271" s="47"/>
      <c r="BR271" s="47"/>
      <c r="BS271" s="47"/>
      <c r="BT271" s="47"/>
      <c r="BU271" s="47"/>
      <c r="BV271" s="47"/>
      <c r="BW271" s="47"/>
      <c r="BX271" s="47"/>
      <c r="BY271" s="47"/>
      <c r="BZ271" s="47"/>
      <c r="CA271" s="47"/>
      <c r="CB271" s="47"/>
      <c r="CC271" s="47"/>
      <c r="CD271" s="47"/>
      <c r="CE271" s="47"/>
      <c r="CF271" s="47"/>
      <c r="CG271" s="47"/>
      <c r="CH271" s="47"/>
      <c r="CI271" s="47"/>
      <c r="CJ271" s="47"/>
      <c r="CK271" s="47"/>
      <c r="CL271" s="47"/>
      <c r="CM271" s="47"/>
      <c r="CN271" s="47"/>
      <c r="CO271" s="47"/>
      <c r="CP271" s="47"/>
      <c r="CQ271" s="47"/>
      <c r="CR271" s="47"/>
      <c r="CS271" s="47"/>
      <c r="CT271" s="47"/>
      <c r="CU271" s="47"/>
      <c r="CV271" s="47"/>
      <c r="CW271" s="47"/>
      <c r="CX271" s="47"/>
      <c r="CY271" s="47"/>
      <c r="CZ271" s="47"/>
      <c r="DA271" s="47"/>
      <c r="DB271" s="47"/>
      <c r="DC271" s="47"/>
      <c r="DD271" s="47"/>
      <c r="DE271" s="47"/>
      <c r="DF271" s="47"/>
      <c r="DG271" s="47"/>
      <c r="DH271" s="47"/>
      <c r="DI271" s="47"/>
      <c r="DJ271" s="47"/>
      <c r="DK271" s="47"/>
      <c r="DL271" s="47"/>
      <c r="DM271" s="47"/>
      <c r="DN271" s="47"/>
      <c r="DO271" s="47"/>
      <c r="DP271" s="47"/>
      <c r="DQ271" s="47"/>
      <c r="DR271" s="47"/>
      <c r="DS271" s="47"/>
      <c r="DT271" s="47"/>
      <c r="DU271" s="47"/>
      <c r="DV271" s="47"/>
      <c r="DW271" s="47"/>
      <c r="DX271" s="47"/>
      <c r="DY271" s="47"/>
      <c r="DZ271" s="219"/>
      <c r="EA271" s="231"/>
      <c r="EB271" s="231"/>
      <c r="EC271" s="231"/>
      <c r="ED271" s="231"/>
      <c r="EE271" s="231"/>
      <c r="EF271" s="231"/>
      <c r="EG271" s="231"/>
      <c r="EH271" s="231"/>
      <c r="EI271" s="231"/>
      <c r="EJ271" s="231"/>
      <c r="EK271" s="231"/>
      <c r="EL271" s="231"/>
      <c r="EM271" s="231"/>
      <c r="EN271" s="231"/>
      <c r="EO271" s="231"/>
      <c r="EP271" s="231"/>
      <c r="EQ271" s="231"/>
    </row>
    <row r="272" spans="1:147" ht="22.9" customHeight="1" outlineLevel="2" x14ac:dyDescent="0.2">
      <c r="A272" s="146" t="s">
        <v>705</v>
      </c>
      <c r="B272" s="53" t="s">
        <v>294</v>
      </c>
      <c r="C272" s="50" t="s">
        <v>133</v>
      </c>
      <c r="D272" s="165">
        <v>1</v>
      </c>
      <c r="E272" s="158">
        <v>1</v>
      </c>
      <c r="F272" s="52">
        <f>SUM(H272:DY272)*E272*Table1[[#This Row],[Cycles]]</f>
        <v>0</v>
      </c>
      <c r="G272" s="46">
        <f t="shared" si="196"/>
        <v>0</v>
      </c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  <c r="AM272" s="47"/>
      <c r="AN272" s="47"/>
      <c r="AO272" s="47"/>
      <c r="AP272" s="47"/>
      <c r="AQ272" s="47"/>
      <c r="AR272" s="47"/>
      <c r="AS272" s="47"/>
      <c r="AT272" s="47"/>
      <c r="AU272" s="47"/>
      <c r="AV272" s="47"/>
      <c r="AW272" s="47"/>
      <c r="AX272" s="47"/>
      <c r="AY272" s="47"/>
      <c r="AZ272" s="47"/>
      <c r="BA272" s="47"/>
      <c r="BB272" s="47"/>
      <c r="BC272" s="47"/>
      <c r="BD272" s="47"/>
      <c r="BE272" s="47"/>
      <c r="BF272" s="47"/>
      <c r="BG272" s="47"/>
      <c r="BH272" s="47"/>
      <c r="BI272" s="47"/>
      <c r="BJ272" s="47"/>
      <c r="BK272" s="47"/>
      <c r="BL272" s="47"/>
      <c r="BM272" s="47"/>
      <c r="BN272" s="47"/>
      <c r="BO272" s="47"/>
      <c r="BP272" s="47"/>
      <c r="BQ272" s="47"/>
      <c r="BR272" s="47"/>
      <c r="BS272" s="47"/>
      <c r="BT272" s="47"/>
      <c r="BU272" s="47"/>
      <c r="BV272" s="47"/>
      <c r="BW272" s="47"/>
      <c r="BX272" s="47"/>
      <c r="BY272" s="47"/>
      <c r="BZ272" s="47"/>
      <c r="CA272" s="47"/>
      <c r="CB272" s="47"/>
      <c r="CC272" s="47"/>
      <c r="CD272" s="47"/>
      <c r="CE272" s="47"/>
      <c r="CF272" s="47"/>
      <c r="CG272" s="47"/>
      <c r="CH272" s="47"/>
      <c r="CI272" s="47"/>
      <c r="CJ272" s="47"/>
      <c r="CK272" s="47"/>
      <c r="CL272" s="47"/>
      <c r="CM272" s="47"/>
      <c r="CN272" s="47"/>
      <c r="CO272" s="47"/>
      <c r="CP272" s="47"/>
      <c r="CQ272" s="47"/>
      <c r="CR272" s="47"/>
      <c r="CS272" s="47"/>
      <c r="CT272" s="47"/>
      <c r="CU272" s="47"/>
      <c r="CV272" s="47"/>
      <c r="CW272" s="47"/>
      <c r="CX272" s="47"/>
      <c r="CY272" s="47"/>
      <c r="CZ272" s="47"/>
      <c r="DA272" s="47"/>
      <c r="DB272" s="47"/>
      <c r="DC272" s="47"/>
      <c r="DD272" s="47"/>
      <c r="DE272" s="47"/>
      <c r="DF272" s="47"/>
      <c r="DG272" s="47"/>
      <c r="DH272" s="47"/>
      <c r="DI272" s="47"/>
      <c r="DJ272" s="47"/>
      <c r="DK272" s="47"/>
      <c r="DL272" s="47"/>
      <c r="DM272" s="47"/>
      <c r="DN272" s="47"/>
      <c r="DO272" s="47"/>
      <c r="DP272" s="47"/>
      <c r="DQ272" s="47"/>
      <c r="DR272" s="47"/>
      <c r="DS272" s="47"/>
      <c r="DT272" s="47"/>
      <c r="DU272" s="47"/>
      <c r="DV272" s="47"/>
      <c r="DW272" s="47"/>
      <c r="DX272" s="47"/>
      <c r="DY272" s="47"/>
      <c r="DZ272" s="219"/>
      <c r="EA272" s="231"/>
      <c r="EB272" s="231"/>
      <c r="EC272" s="231"/>
      <c r="ED272" s="231"/>
      <c r="EE272" s="231"/>
      <c r="EF272" s="231"/>
      <c r="EG272" s="231"/>
      <c r="EH272" s="231"/>
      <c r="EI272" s="231"/>
      <c r="EJ272" s="231"/>
      <c r="EK272" s="231"/>
      <c r="EL272" s="231"/>
      <c r="EM272" s="231"/>
      <c r="EN272" s="231"/>
      <c r="EO272" s="231"/>
      <c r="EP272" s="231"/>
      <c r="EQ272" s="231"/>
    </row>
    <row r="273" spans="1:147" ht="22.9" customHeight="1" outlineLevel="2" x14ac:dyDescent="0.2">
      <c r="A273" s="146" t="s">
        <v>706</v>
      </c>
      <c r="B273" s="53" t="s">
        <v>295</v>
      </c>
      <c r="C273" s="50" t="s">
        <v>133</v>
      </c>
      <c r="D273" s="165">
        <v>1</v>
      </c>
      <c r="E273" s="158">
        <v>1</v>
      </c>
      <c r="F273" s="52">
        <f>SUM(H273:DY273)*E273*Table1[[#This Row],[Cycles]]</f>
        <v>0</v>
      </c>
      <c r="G273" s="46">
        <f t="shared" si="196"/>
        <v>0</v>
      </c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  <c r="AM273" s="47"/>
      <c r="AN273" s="47"/>
      <c r="AO273" s="47"/>
      <c r="AP273" s="47"/>
      <c r="AQ273" s="47"/>
      <c r="AR273" s="47"/>
      <c r="AS273" s="47"/>
      <c r="AT273" s="47"/>
      <c r="AU273" s="47"/>
      <c r="AV273" s="47"/>
      <c r="AW273" s="47"/>
      <c r="AX273" s="47"/>
      <c r="AY273" s="47"/>
      <c r="AZ273" s="47"/>
      <c r="BA273" s="47"/>
      <c r="BB273" s="47"/>
      <c r="BC273" s="47"/>
      <c r="BD273" s="47"/>
      <c r="BE273" s="47"/>
      <c r="BF273" s="47"/>
      <c r="BG273" s="47"/>
      <c r="BH273" s="47"/>
      <c r="BI273" s="47"/>
      <c r="BJ273" s="47"/>
      <c r="BK273" s="47"/>
      <c r="BL273" s="47"/>
      <c r="BM273" s="47"/>
      <c r="BN273" s="47"/>
      <c r="BO273" s="47"/>
      <c r="BP273" s="47"/>
      <c r="BQ273" s="47"/>
      <c r="BR273" s="47"/>
      <c r="BS273" s="47"/>
      <c r="BT273" s="47"/>
      <c r="BU273" s="47"/>
      <c r="BV273" s="47"/>
      <c r="BW273" s="47"/>
      <c r="BX273" s="47"/>
      <c r="BY273" s="47"/>
      <c r="BZ273" s="47"/>
      <c r="CA273" s="47"/>
      <c r="CB273" s="47"/>
      <c r="CC273" s="47"/>
      <c r="CD273" s="47"/>
      <c r="CE273" s="47"/>
      <c r="CF273" s="47"/>
      <c r="CG273" s="47"/>
      <c r="CH273" s="47"/>
      <c r="CI273" s="47"/>
      <c r="CJ273" s="47"/>
      <c r="CK273" s="47"/>
      <c r="CL273" s="47"/>
      <c r="CM273" s="47"/>
      <c r="CN273" s="47"/>
      <c r="CO273" s="47"/>
      <c r="CP273" s="47"/>
      <c r="CQ273" s="47"/>
      <c r="CR273" s="47"/>
      <c r="CS273" s="47"/>
      <c r="CT273" s="47"/>
      <c r="CU273" s="47"/>
      <c r="CV273" s="47"/>
      <c r="CW273" s="47"/>
      <c r="CX273" s="47"/>
      <c r="CY273" s="47"/>
      <c r="CZ273" s="47"/>
      <c r="DA273" s="47"/>
      <c r="DB273" s="47"/>
      <c r="DC273" s="47"/>
      <c r="DD273" s="47"/>
      <c r="DE273" s="47"/>
      <c r="DF273" s="47"/>
      <c r="DG273" s="47"/>
      <c r="DH273" s="47"/>
      <c r="DI273" s="47"/>
      <c r="DJ273" s="47"/>
      <c r="DK273" s="47"/>
      <c r="DL273" s="47"/>
      <c r="DM273" s="47"/>
      <c r="DN273" s="47"/>
      <c r="DO273" s="47"/>
      <c r="DP273" s="47"/>
      <c r="DQ273" s="47"/>
      <c r="DR273" s="47"/>
      <c r="DS273" s="47"/>
      <c r="DT273" s="47"/>
      <c r="DU273" s="47"/>
      <c r="DV273" s="47"/>
      <c r="DW273" s="47"/>
      <c r="DX273" s="47"/>
      <c r="DY273" s="47"/>
      <c r="DZ273" s="219"/>
      <c r="EA273" s="231"/>
      <c r="EB273" s="231"/>
      <c r="EC273" s="231"/>
      <c r="ED273" s="231"/>
      <c r="EE273" s="231"/>
      <c r="EF273" s="231"/>
      <c r="EG273" s="231"/>
      <c r="EH273" s="231"/>
      <c r="EI273" s="231"/>
      <c r="EJ273" s="231"/>
      <c r="EK273" s="231"/>
      <c r="EL273" s="231"/>
      <c r="EM273" s="231"/>
      <c r="EN273" s="231"/>
      <c r="EO273" s="231"/>
      <c r="EP273" s="231"/>
      <c r="EQ273" s="231"/>
    </row>
    <row r="274" spans="1:147" ht="22.9" customHeight="1" outlineLevel="2" x14ac:dyDescent="0.2">
      <c r="A274" s="146" t="s">
        <v>707</v>
      </c>
      <c r="B274" s="53" t="s">
        <v>296</v>
      </c>
      <c r="C274" s="50" t="s">
        <v>133</v>
      </c>
      <c r="D274" s="165">
        <v>1</v>
      </c>
      <c r="E274" s="158">
        <v>1</v>
      </c>
      <c r="F274" s="52">
        <f>SUM(H274:DY274)*E274*Table1[[#This Row],[Cycles]]</f>
        <v>0</v>
      </c>
      <c r="G274" s="46">
        <f t="shared" si="196"/>
        <v>0</v>
      </c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47"/>
      <c r="BT274" s="47"/>
      <c r="BU274" s="47"/>
      <c r="BV274" s="47"/>
      <c r="BW274" s="47"/>
      <c r="BX274" s="47"/>
      <c r="BY274" s="47"/>
      <c r="BZ274" s="47"/>
      <c r="CA274" s="47"/>
      <c r="CB274" s="47"/>
      <c r="CC274" s="47"/>
      <c r="CD274" s="47"/>
      <c r="CE274" s="47"/>
      <c r="CF274" s="47"/>
      <c r="CG274" s="47"/>
      <c r="CH274" s="47"/>
      <c r="CI274" s="47"/>
      <c r="CJ274" s="47"/>
      <c r="CK274" s="47"/>
      <c r="CL274" s="47"/>
      <c r="CM274" s="47"/>
      <c r="CN274" s="47"/>
      <c r="CO274" s="47"/>
      <c r="CP274" s="47"/>
      <c r="CQ274" s="47"/>
      <c r="CR274" s="47"/>
      <c r="CS274" s="47"/>
      <c r="CT274" s="47"/>
      <c r="CU274" s="47"/>
      <c r="CV274" s="47"/>
      <c r="CW274" s="47"/>
      <c r="CX274" s="47"/>
      <c r="CY274" s="47"/>
      <c r="CZ274" s="47"/>
      <c r="DA274" s="47"/>
      <c r="DB274" s="47"/>
      <c r="DC274" s="47"/>
      <c r="DD274" s="47"/>
      <c r="DE274" s="47"/>
      <c r="DF274" s="47"/>
      <c r="DG274" s="47"/>
      <c r="DH274" s="47"/>
      <c r="DI274" s="47"/>
      <c r="DJ274" s="47"/>
      <c r="DK274" s="47"/>
      <c r="DL274" s="47"/>
      <c r="DM274" s="47"/>
      <c r="DN274" s="47"/>
      <c r="DO274" s="47"/>
      <c r="DP274" s="47"/>
      <c r="DQ274" s="47"/>
      <c r="DR274" s="47"/>
      <c r="DS274" s="47"/>
      <c r="DT274" s="47"/>
      <c r="DU274" s="47"/>
      <c r="DV274" s="47"/>
      <c r="DW274" s="47"/>
      <c r="DX274" s="47"/>
      <c r="DY274" s="47"/>
      <c r="DZ274" s="219"/>
      <c r="EA274" s="231"/>
      <c r="EB274" s="231"/>
      <c r="EC274" s="231"/>
      <c r="ED274" s="231"/>
      <c r="EE274" s="231"/>
      <c r="EF274" s="231"/>
      <c r="EG274" s="231"/>
      <c r="EH274" s="231"/>
      <c r="EI274" s="231"/>
      <c r="EJ274" s="231"/>
      <c r="EK274" s="231"/>
      <c r="EL274" s="231"/>
      <c r="EM274" s="231"/>
      <c r="EN274" s="231"/>
      <c r="EO274" s="231"/>
      <c r="EP274" s="231"/>
      <c r="EQ274" s="231"/>
    </row>
    <row r="275" spans="1:147" ht="22.9" customHeight="1" outlineLevel="2" x14ac:dyDescent="0.2">
      <c r="A275" s="146" t="s">
        <v>708</v>
      </c>
      <c r="B275" s="53" t="s">
        <v>297</v>
      </c>
      <c r="C275" s="50" t="s">
        <v>133</v>
      </c>
      <c r="D275" s="165">
        <v>1</v>
      </c>
      <c r="E275" s="158">
        <v>1</v>
      </c>
      <c r="F275" s="52">
        <f>SUM(H275:DY275)*E275*Table1[[#This Row],[Cycles]]</f>
        <v>0</v>
      </c>
      <c r="G275" s="46">
        <f t="shared" si="196"/>
        <v>0</v>
      </c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  <c r="AM275" s="47"/>
      <c r="AN275" s="47"/>
      <c r="AO275" s="47"/>
      <c r="AP275" s="47"/>
      <c r="AQ275" s="47"/>
      <c r="AR275" s="47"/>
      <c r="AS275" s="47"/>
      <c r="AT275" s="47"/>
      <c r="AU275" s="47"/>
      <c r="AV275" s="47"/>
      <c r="AW275" s="47"/>
      <c r="AX275" s="47"/>
      <c r="AY275" s="47"/>
      <c r="AZ275" s="47"/>
      <c r="BA275" s="47"/>
      <c r="BB275" s="47"/>
      <c r="BC275" s="47"/>
      <c r="BD275" s="47"/>
      <c r="BE275" s="47"/>
      <c r="BF275" s="47"/>
      <c r="BG275" s="47"/>
      <c r="BH275" s="47"/>
      <c r="BI275" s="47"/>
      <c r="BJ275" s="47"/>
      <c r="BK275" s="47"/>
      <c r="BL275" s="47"/>
      <c r="BM275" s="47"/>
      <c r="BN275" s="47"/>
      <c r="BO275" s="47"/>
      <c r="BP275" s="47"/>
      <c r="BQ275" s="47"/>
      <c r="BR275" s="47"/>
      <c r="BS275" s="47"/>
      <c r="BT275" s="47"/>
      <c r="BU275" s="47"/>
      <c r="BV275" s="47"/>
      <c r="BW275" s="47"/>
      <c r="BX275" s="47"/>
      <c r="BY275" s="47"/>
      <c r="BZ275" s="47"/>
      <c r="CA275" s="47"/>
      <c r="CB275" s="47"/>
      <c r="CC275" s="47"/>
      <c r="CD275" s="47"/>
      <c r="CE275" s="47"/>
      <c r="CF275" s="47"/>
      <c r="CG275" s="47"/>
      <c r="CH275" s="47"/>
      <c r="CI275" s="47"/>
      <c r="CJ275" s="47"/>
      <c r="CK275" s="47"/>
      <c r="CL275" s="47"/>
      <c r="CM275" s="47"/>
      <c r="CN275" s="47"/>
      <c r="CO275" s="47"/>
      <c r="CP275" s="47"/>
      <c r="CQ275" s="47"/>
      <c r="CR275" s="47"/>
      <c r="CS275" s="47"/>
      <c r="CT275" s="47"/>
      <c r="CU275" s="47"/>
      <c r="CV275" s="47"/>
      <c r="CW275" s="47"/>
      <c r="CX275" s="47"/>
      <c r="CY275" s="47"/>
      <c r="CZ275" s="47"/>
      <c r="DA275" s="47"/>
      <c r="DB275" s="47"/>
      <c r="DC275" s="47"/>
      <c r="DD275" s="47"/>
      <c r="DE275" s="47"/>
      <c r="DF275" s="47"/>
      <c r="DG275" s="47"/>
      <c r="DH275" s="47"/>
      <c r="DI275" s="47"/>
      <c r="DJ275" s="47"/>
      <c r="DK275" s="47"/>
      <c r="DL275" s="47"/>
      <c r="DM275" s="47"/>
      <c r="DN275" s="47"/>
      <c r="DO275" s="47"/>
      <c r="DP275" s="47"/>
      <c r="DQ275" s="47"/>
      <c r="DR275" s="47"/>
      <c r="DS275" s="47"/>
      <c r="DT275" s="47"/>
      <c r="DU275" s="47"/>
      <c r="DV275" s="47"/>
      <c r="DW275" s="47"/>
      <c r="DX275" s="47"/>
      <c r="DY275" s="47"/>
      <c r="DZ275" s="219"/>
      <c r="EA275" s="231"/>
      <c r="EB275" s="231"/>
      <c r="EC275" s="231"/>
      <c r="ED275" s="231"/>
      <c r="EE275" s="231"/>
      <c r="EF275" s="231"/>
      <c r="EG275" s="231"/>
      <c r="EH275" s="231"/>
      <c r="EI275" s="231"/>
      <c r="EJ275" s="231"/>
      <c r="EK275" s="231"/>
      <c r="EL275" s="231"/>
      <c r="EM275" s="231"/>
      <c r="EN275" s="231"/>
      <c r="EO275" s="231"/>
      <c r="EP275" s="231"/>
      <c r="EQ275" s="231"/>
    </row>
    <row r="276" spans="1:147" ht="22.9" customHeight="1" outlineLevel="2" x14ac:dyDescent="0.2">
      <c r="A276" s="151" t="s">
        <v>709</v>
      </c>
      <c r="B276" s="96" t="s">
        <v>298</v>
      </c>
      <c r="C276" s="152" t="s">
        <v>133</v>
      </c>
      <c r="D276" s="165">
        <v>1</v>
      </c>
      <c r="E276" s="166">
        <v>1</v>
      </c>
      <c r="F276" s="52">
        <f>SUM(H276:DY276)*E276*Table1[[#This Row],[Cycles]]</f>
        <v>0</v>
      </c>
      <c r="G276" s="46">
        <f t="shared" si="196"/>
        <v>0</v>
      </c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3"/>
      <c r="DB276" s="153"/>
      <c r="DC276" s="153"/>
      <c r="DD276" s="153"/>
      <c r="DE276" s="153"/>
      <c r="DF276" s="153"/>
      <c r="DG276" s="153"/>
      <c r="DH276" s="153"/>
      <c r="DI276" s="153"/>
      <c r="DJ276" s="153"/>
      <c r="DK276" s="153"/>
      <c r="DL276" s="153"/>
      <c r="DM276" s="153"/>
      <c r="DN276" s="153"/>
      <c r="DO276" s="153"/>
      <c r="DP276" s="153"/>
      <c r="DQ276" s="153"/>
      <c r="DR276" s="153"/>
      <c r="DS276" s="153"/>
      <c r="DT276" s="153"/>
      <c r="DU276" s="153"/>
      <c r="DV276" s="153"/>
      <c r="DW276" s="153"/>
      <c r="DX276" s="153"/>
      <c r="DY276" s="153"/>
      <c r="DZ276" s="222"/>
      <c r="EA276" s="231"/>
      <c r="EB276" s="231"/>
      <c r="EC276" s="231"/>
      <c r="ED276" s="231"/>
      <c r="EE276" s="231"/>
      <c r="EF276" s="231"/>
      <c r="EG276" s="231"/>
      <c r="EH276" s="231"/>
      <c r="EI276" s="231"/>
      <c r="EJ276" s="231"/>
      <c r="EK276" s="231"/>
      <c r="EL276" s="231"/>
      <c r="EM276" s="231"/>
      <c r="EN276" s="231"/>
      <c r="EO276" s="231"/>
      <c r="EP276" s="231"/>
      <c r="EQ276" s="231"/>
    </row>
  </sheetData>
  <sheetProtection formatColumns="0" formatRows="0" selectLockedCells="1"/>
  <phoneticPr fontId="12" type="noConversion"/>
  <dataValidations xWindow="360" yWindow="540" count="5">
    <dataValidation allowBlank="1" showInputMessage="1" showErrorMessage="1" promptTitle="CDVC" prompt="This includes all Site Visits and Clarifications." sqref="D43:D52" xr:uid="{EDFFCF1F-1C8C-420C-AC07-69895BC4D2F8}"/>
    <dataValidation allowBlank="1" showInputMessage="1" showErrorMessage="1" promptTitle="Estimating Codes" prompt="This Codes are used for EST Purposes." sqref="A4" xr:uid="{8E47ADB3-FF2F-4545-B60E-2AFB37257A6D}"/>
    <dataValidation allowBlank="1" showInputMessage="1" showErrorMessage="1" prompt="Cable Tray, Channel &amp; Raceway, Conduit, Supports_x000a_" sqref="B232:C232" xr:uid="{24F1027F-7EE7-46FF-89B4-7531B0E5CC5E}"/>
    <dataValidation allowBlank="1" showInputMessage="1" showErrorMessage="1" promptTitle="El Devices" prompt="Control station, breaker, starter, switch, push button, control transformer, receptacle, etc." sqref="B235:C235" xr:uid="{3595E92E-0669-4EAE-8D82-EA2E8671796B}"/>
    <dataValidation type="list" allowBlank="1" showInputMessage="1" showErrorMessage="1" sqref="D220:D230" xr:uid="{E8D5BF82-BBD6-4E7E-A457-54CE52D46616}">
      <formula1>"0.8,0.9,1,1.1,1.2,1.3,1.4,1.5,1.6,1.7,1.8,1.9,2.0"</formula1>
    </dataValidation>
  </dataValidations>
  <pageMargins left="0.78740157480314965" right="0.35433070866141736" top="0.98425196850393704" bottom="0.98425196850393704" header="0.51181102362204722" footer="0.51181102362204722"/>
  <pageSetup paperSize="17" scale="13" fitToHeight="8" orientation="landscape" r:id="rId1"/>
  <headerFooter alignWithMargins="0">
    <oddHeader xml:space="preserve">&amp;CEngineering Manhours Cost Estimate&amp;RDate: &amp;D
</oddHeader>
    <oddFooter>&amp;RPage: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44" r:id="rId4" name="Button 152">
              <controlPr defaultSize="0" print="0" autoFill="0" autoPict="0" macro="[0]!UnhideColumns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 History</vt:lpstr>
      <vt:lpstr>RateSheet25</vt:lpstr>
      <vt:lpstr>Start EST</vt:lpstr>
      <vt:lpstr>Rates Sheet</vt:lpstr>
      <vt:lpstr>REFERENCE</vt:lpstr>
      <vt:lpstr>60 L1</vt:lpstr>
      <vt:lpstr>60 L2</vt:lpstr>
      <vt:lpstr>60 MTO</vt:lpstr>
      <vt:lpstr>'60 L1'!Print_Area</vt:lpstr>
      <vt:lpstr>'60 L2'!Print_Area</vt:lpstr>
      <vt:lpstr>'Rates Sheet'!Print_Area</vt:lpstr>
    </vt:vector>
  </TitlesOfParts>
  <Company>Catch Engineering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Proposal Estimate</dc:title>
  <dc:creator>Ivan Kolevski</dc:creator>
  <cp:lastModifiedBy>Kurt Bergmann</cp:lastModifiedBy>
  <cp:lastPrinted>2024-12-12T23:24:12Z</cp:lastPrinted>
  <dcterms:created xsi:type="dcterms:W3CDTF">2023-10-05T13:05:31Z</dcterms:created>
  <dcterms:modified xsi:type="dcterms:W3CDTF">2025-01-20T22:52:28Z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timate: ">
    <vt:lpwstr>Class 3</vt:lpwstr>
  </property>
  <property fmtid="{D5CDD505-2E9C-101B-9397-08002B2CF9AE}" pid="3" name="Revision">
    <vt:lpwstr>a</vt:lpwstr>
  </property>
</Properties>
</file>